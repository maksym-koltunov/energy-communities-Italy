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units-my.sharepoint.com/personal/s281158_ds_units_it/Documents/Documenti/PHD CE.TS/RESEARCH/4th paper/"/>
    </mc:Choice>
  </mc:AlternateContent>
  <xr:revisionPtr revIDLastSave="16" documentId="8_{7D7771AB-0E38-4CDD-8D7A-CB67504579C2}" xr6:coauthVersionLast="47" xr6:coauthVersionMax="47" xr10:uidLastSave="{512D29C8-E011-417C-A961-01E5D5A1FC34}"/>
  <bookViews>
    <workbookView xWindow="-120" yWindow="-120" windowWidth="20730" windowHeight="11760" xr2:uid="{5E35D81F-E4C0-4AA6-ADDD-00EAEB243957}"/>
  </bookViews>
  <sheets>
    <sheet name="Main CERs" sheetId="3" r:id="rId1"/>
    <sheet name="Existing AUC" sheetId="4" r:id="rId2"/>
  </sheets>
  <definedNames>
    <definedName name="_xlnm._FilterDatabase" localSheetId="0" hidden="1">'Main CERs'!$A$1:$AL$363</definedName>
    <definedName name="_xleta.MATCH"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3" i="3" l="1"/>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L126" i="3"/>
  <c r="AL127" i="3"/>
  <c r="AL128" i="3"/>
  <c r="AL129" i="3"/>
  <c r="AL130" i="3"/>
  <c r="AL131" i="3"/>
  <c r="AL132" i="3"/>
  <c r="AL133" i="3"/>
  <c r="AL134" i="3"/>
  <c r="AL135" i="3"/>
  <c r="AL136" i="3"/>
  <c r="AL137" i="3"/>
  <c r="AL138" i="3"/>
  <c r="AL139" i="3"/>
  <c r="AL140" i="3"/>
  <c r="AL141" i="3"/>
  <c r="AL142" i="3"/>
  <c r="AL143" i="3"/>
  <c r="AL144" i="3"/>
  <c r="AL145" i="3"/>
  <c r="AL146" i="3"/>
  <c r="AL147" i="3"/>
  <c r="AL148" i="3"/>
  <c r="AL149" i="3"/>
  <c r="AL150" i="3"/>
  <c r="AL151" i="3"/>
  <c r="AL152" i="3"/>
  <c r="AL153" i="3"/>
  <c r="AL154" i="3"/>
  <c r="AL155" i="3"/>
  <c r="AL156" i="3"/>
  <c r="AL157" i="3"/>
  <c r="AL158" i="3"/>
  <c r="AL159" i="3"/>
  <c r="AL160" i="3"/>
  <c r="AL161" i="3"/>
  <c r="AL162" i="3"/>
  <c r="AL163" i="3"/>
  <c r="AL164" i="3"/>
  <c r="AL165" i="3"/>
  <c r="AL166" i="3"/>
  <c r="AL167" i="3"/>
  <c r="AL168" i="3"/>
  <c r="AL169" i="3"/>
  <c r="AL170" i="3"/>
  <c r="AL171" i="3"/>
  <c r="AL172" i="3"/>
  <c r="AL173" i="3"/>
  <c r="AL174" i="3"/>
  <c r="AL175" i="3"/>
  <c r="AL176" i="3"/>
  <c r="AL177" i="3"/>
  <c r="AL178" i="3"/>
  <c r="AL179" i="3"/>
  <c r="AL180" i="3"/>
  <c r="AL181" i="3"/>
  <c r="AL182" i="3"/>
  <c r="AL183" i="3"/>
  <c r="AL184" i="3"/>
  <c r="AL185" i="3"/>
  <c r="AL186" i="3"/>
  <c r="AL187" i="3"/>
  <c r="AL188" i="3"/>
  <c r="AL189" i="3"/>
  <c r="AL190" i="3"/>
  <c r="AL191" i="3"/>
  <c r="AL192" i="3"/>
  <c r="AL193" i="3"/>
  <c r="AL194" i="3"/>
  <c r="AL195" i="3"/>
  <c r="AL196" i="3"/>
  <c r="AL197" i="3"/>
  <c r="AL198" i="3"/>
  <c r="AL199" i="3"/>
  <c r="AL200" i="3"/>
  <c r="AL201" i="3"/>
  <c r="AL202" i="3"/>
  <c r="AL203" i="3"/>
  <c r="AL204" i="3"/>
  <c r="AL205" i="3"/>
  <c r="AL206" i="3"/>
  <c r="AL207" i="3"/>
  <c r="AL208" i="3"/>
  <c r="AL209" i="3"/>
  <c r="AL210" i="3"/>
  <c r="AL211" i="3"/>
  <c r="AL212" i="3"/>
  <c r="AL213" i="3"/>
  <c r="AL214" i="3"/>
  <c r="AL215" i="3"/>
  <c r="AL216" i="3"/>
  <c r="AL217" i="3"/>
  <c r="AL218" i="3"/>
  <c r="AL219" i="3"/>
  <c r="AL220" i="3"/>
  <c r="AL221" i="3"/>
  <c r="AL222" i="3"/>
  <c r="AL223" i="3"/>
  <c r="AL224" i="3"/>
  <c r="AL225" i="3"/>
  <c r="AL226" i="3"/>
  <c r="AL227" i="3"/>
  <c r="AL228" i="3"/>
  <c r="AL229" i="3"/>
  <c r="AL230" i="3"/>
  <c r="AL231" i="3"/>
  <c r="AL232" i="3"/>
  <c r="AL233" i="3"/>
  <c r="AL234" i="3"/>
  <c r="AL235" i="3"/>
  <c r="AL236" i="3"/>
  <c r="AL237" i="3"/>
  <c r="AL238" i="3"/>
  <c r="AL239" i="3"/>
  <c r="AL240" i="3"/>
  <c r="AL241" i="3"/>
  <c r="AL242" i="3"/>
  <c r="AL243" i="3"/>
  <c r="AL244" i="3"/>
  <c r="AL245" i="3"/>
  <c r="AL246" i="3"/>
  <c r="AL247" i="3"/>
  <c r="AL248" i="3"/>
  <c r="AL249" i="3"/>
  <c r="AL250" i="3"/>
  <c r="AL251" i="3"/>
  <c r="AL252" i="3"/>
  <c r="AL253" i="3"/>
  <c r="AL254" i="3"/>
  <c r="AL255" i="3"/>
  <c r="AL256" i="3"/>
  <c r="AL257" i="3"/>
  <c r="AL258" i="3"/>
  <c r="AL259" i="3"/>
  <c r="AL260" i="3"/>
  <c r="AL261" i="3"/>
  <c r="AL262" i="3"/>
  <c r="AL263" i="3"/>
  <c r="AL264" i="3"/>
  <c r="AL265" i="3"/>
  <c r="AL266" i="3"/>
  <c r="AL267" i="3"/>
  <c r="AL268" i="3"/>
  <c r="AL269" i="3"/>
  <c r="AL270" i="3"/>
  <c r="AL271" i="3"/>
  <c r="AL272" i="3"/>
  <c r="AL273" i="3"/>
  <c r="AL274" i="3"/>
  <c r="AL275" i="3"/>
  <c r="AL276" i="3"/>
  <c r="AL277" i="3"/>
  <c r="AL278" i="3"/>
  <c r="AL279" i="3"/>
  <c r="AL280" i="3"/>
  <c r="AL281" i="3"/>
  <c r="AL282" i="3"/>
  <c r="AL283" i="3"/>
  <c r="AL284" i="3"/>
  <c r="AL285" i="3"/>
  <c r="AL286" i="3"/>
  <c r="AL287" i="3"/>
  <c r="AL288" i="3"/>
  <c r="AL289" i="3"/>
  <c r="AL290" i="3"/>
  <c r="AL291" i="3"/>
  <c r="AL292" i="3"/>
  <c r="AL293" i="3"/>
  <c r="AL294" i="3"/>
  <c r="AL295" i="3"/>
  <c r="AL296" i="3"/>
  <c r="AL297" i="3"/>
  <c r="AL298" i="3"/>
  <c r="AL299" i="3"/>
  <c r="AL300" i="3"/>
  <c r="AL301" i="3"/>
  <c r="AL302" i="3"/>
  <c r="AL303" i="3"/>
  <c r="AL304" i="3"/>
  <c r="AL305" i="3"/>
  <c r="AL306" i="3"/>
  <c r="AL307" i="3"/>
  <c r="AL308" i="3"/>
  <c r="AL309" i="3"/>
  <c r="AL310" i="3"/>
  <c r="AL311" i="3"/>
  <c r="AL312" i="3"/>
  <c r="AL313" i="3"/>
  <c r="AL314" i="3"/>
  <c r="AL315" i="3"/>
  <c r="AL316" i="3"/>
  <c r="AL317" i="3"/>
  <c r="AL318" i="3"/>
  <c r="AL319" i="3"/>
  <c r="AL320" i="3"/>
  <c r="AL321" i="3"/>
  <c r="AL322" i="3"/>
  <c r="AL323" i="3"/>
  <c r="AL324" i="3"/>
  <c r="AL325" i="3"/>
  <c r="AL326" i="3"/>
  <c r="AL327" i="3"/>
  <c r="AL328" i="3"/>
  <c r="AL329" i="3"/>
  <c r="AL330" i="3"/>
  <c r="AL331" i="3"/>
  <c r="AL332" i="3"/>
  <c r="AL333" i="3"/>
  <c r="AL334" i="3"/>
  <c r="AL335" i="3"/>
  <c r="AL336" i="3"/>
  <c r="AL337" i="3"/>
  <c r="AL338" i="3"/>
  <c r="AL339" i="3"/>
  <c r="AL340" i="3"/>
  <c r="AL341" i="3"/>
  <c r="AL342" i="3"/>
  <c r="AL343" i="3"/>
  <c r="AL344" i="3"/>
  <c r="AL345" i="3"/>
  <c r="AL346" i="3"/>
  <c r="AL347" i="3"/>
  <c r="AL348" i="3"/>
  <c r="AL349" i="3"/>
  <c r="AL350" i="3"/>
  <c r="AL351" i="3"/>
  <c r="AL352" i="3"/>
  <c r="AL353" i="3"/>
  <c r="AL354" i="3"/>
  <c r="AL355" i="3"/>
  <c r="AL356" i="3"/>
  <c r="AL357" i="3"/>
  <c r="AL358" i="3"/>
  <c r="AL359" i="3"/>
  <c r="AL360" i="3"/>
  <c r="AL361" i="3"/>
  <c r="AL362" i="3"/>
  <c r="AL363" i="3"/>
  <c r="AL2" i="3"/>
  <c r="B385" i="3"/>
  <c r="B387" i="3" l="1"/>
  <c r="B388" i="3"/>
  <c r="B386" i="3"/>
  <c r="B384" i="3"/>
  <c r="G95" i="3"/>
  <c r="G71" i="3" l="1"/>
  <c r="F268" i="3"/>
  <c r="F220" i="3"/>
  <c r="F267" i="3"/>
  <c r="F54" i="3"/>
  <c r="F132" i="3"/>
  <c r="F228" i="3"/>
  <c r="F207" i="3"/>
  <c r="F131" i="3"/>
  <c r="F50" i="3"/>
  <c r="F171" i="3"/>
  <c r="F103" i="3"/>
  <c r="F29" i="3"/>
  <c r="F288" i="3"/>
  <c r="F57" i="3"/>
  <c r="F181" i="3"/>
  <c r="F152" i="3"/>
  <c r="F227" i="3"/>
  <c r="G141" i="3"/>
  <c r="G303" i="3"/>
  <c r="G194" i="3"/>
  <c r="G209" i="3"/>
  <c r="F68" i="3"/>
  <c r="G172" i="3"/>
  <c r="F172" i="3"/>
  <c r="F258" i="3"/>
  <c r="F233" i="3"/>
  <c r="F202" i="3"/>
  <c r="G31" i="3"/>
  <c r="F94" i="3"/>
  <c r="G94" i="3"/>
  <c r="G63" i="3"/>
  <c r="G65" i="3"/>
  <c r="G69" i="3"/>
  <c r="F116" i="3"/>
  <c r="G116" i="3"/>
  <c r="G163" i="3"/>
  <c r="G249" i="3"/>
  <c r="G54" i="3"/>
  <c r="E102" i="3"/>
  <c r="F102" i="3" s="1"/>
  <c r="F209" i="3"/>
  <c r="F249" i="3"/>
  <c r="F65" i="3"/>
  <c r="E131" i="3"/>
  <c r="R94" i="3"/>
  <c r="Q94" i="3"/>
  <c r="R154" i="3"/>
  <c r="Q154" i="3"/>
  <c r="Q63" i="3"/>
  <c r="R63" i="3"/>
  <c r="J179" i="3"/>
  <c r="J254" i="3"/>
  <c r="J30" i="3"/>
  <c r="J271" i="3"/>
  <c r="AG203" i="3"/>
  <c r="AG217" i="3"/>
  <c r="J217" i="3"/>
  <c r="AG162" i="3"/>
  <c r="J162" i="3"/>
  <c r="AG76" i="3"/>
  <c r="AG197" i="3"/>
  <c r="J197" i="3"/>
  <c r="AG358" i="3"/>
  <c r="AG161" i="3"/>
  <c r="J161" i="3"/>
  <c r="AH218" i="3"/>
  <c r="AG218" i="3"/>
  <c r="J218" i="3"/>
  <c r="AG83" i="3"/>
  <c r="J83" i="3"/>
  <c r="AG133" i="3"/>
  <c r="J133" i="3"/>
  <c r="AG87" i="3"/>
  <c r="J87" i="3"/>
  <c r="G176" i="3"/>
  <c r="G160" i="3"/>
  <c r="AG136" i="3"/>
  <c r="AG170" i="3"/>
  <c r="AG164" i="3"/>
  <c r="J164" i="3"/>
  <c r="AG138" i="3"/>
  <c r="J138" i="3"/>
  <c r="AG200" i="3"/>
  <c r="J200" i="3"/>
  <c r="AG75" i="3"/>
  <c r="J75" i="3"/>
  <c r="AG223" i="3"/>
  <c r="AG355" i="3"/>
  <c r="AG354" i="3"/>
  <c r="AG97" i="3"/>
  <c r="J97" i="3"/>
  <c r="AG353" i="3"/>
  <c r="AG192" i="3"/>
  <c r="J192" i="3"/>
  <c r="AH66" i="3"/>
  <c r="AG66" i="3"/>
  <c r="AG352" i="3"/>
  <c r="AG67" i="3"/>
  <c r="J67" i="3"/>
  <c r="AG195" i="3"/>
  <c r="G102" i="3" l="1"/>
  <c r="AG134" i="3"/>
  <c r="J134" i="3"/>
  <c r="AG84" i="3"/>
  <c r="J160" i="3"/>
  <c r="AG160" i="3"/>
  <c r="AG82" i="3"/>
  <c r="AG214" i="3"/>
  <c r="J214" i="3"/>
  <c r="J216" i="3"/>
  <c r="AG216" i="3"/>
  <c r="AF268" i="3"/>
  <c r="AG268" i="3"/>
  <c r="AH268" i="3"/>
  <c r="AD268" i="3"/>
  <c r="E268" i="3"/>
  <c r="G268" i="3"/>
  <c r="AG99" i="3"/>
  <c r="AG142" i="3"/>
  <c r="AG167" i="3"/>
  <c r="AG158" i="3"/>
  <c r="AG157" i="3"/>
  <c r="AG140" i="3"/>
  <c r="AG349" i="3"/>
  <c r="AG215" i="3"/>
  <c r="J215" i="3"/>
  <c r="AG100" i="3"/>
  <c r="J100" i="3"/>
  <c r="G220" i="3"/>
  <c r="E220" i="3"/>
  <c r="AG141" i="3"/>
  <c r="AG135" i="3"/>
  <c r="J135" i="3"/>
  <c r="AK267" i="3"/>
  <c r="AI267" i="3"/>
  <c r="E267" i="3"/>
  <c r="J267" i="3"/>
  <c r="F194" i="3"/>
  <c r="E68" i="3" l="1"/>
  <c r="G68" i="3" s="1"/>
  <c r="E54" i="3"/>
  <c r="J54" i="3"/>
  <c r="E132" i="3"/>
  <c r="G132" i="3" s="1"/>
  <c r="J132" i="3"/>
  <c r="J228" i="3"/>
  <c r="E228" i="3"/>
  <c r="G228" i="3" s="1"/>
  <c r="J288" i="3"/>
  <c r="E288" i="3"/>
  <c r="G288" i="3" s="1"/>
  <c r="E207" i="3"/>
  <c r="G207" i="3" s="1"/>
  <c r="J207" i="3"/>
  <c r="G169" i="3"/>
  <c r="G213" i="3"/>
  <c r="E50" i="3"/>
  <c r="G50" i="3" s="1"/>
  <c r="E171" i="3"/>
  <c r="G171" i="3" s="1"/>
  <c r="E103" i="3"/>
  <c r="E29" i="3"/>
  <c r="G29" i="3" s="1"/>
  <c r="G73" i="3"/>
  <c r="G149" i="3"/>
  <c r="G248" i="3" l="1"/>
  <c r="G256" i="3"/>
  <c r="G165" i="3"/>
  <c r="E57" i="3"/>
  <c r="G57" i="3" s="1"/>
  <c r="G61" i="3"/>
  <c r="G186" i="3" l="1"/>
  <c r="G48" i="3"/>
  <c r="G60" i="3"/>
  <c r="G56" i="3"/>
  <c r="G32" i="3"/>
  <c r="G70" i="3"/>
  <c r="G78" i="3"/>
  <c r="G254" i="3"/>
  <c r="G271" i="3"/>
  <c r="G265" i="3"/>
  <c r="G154" i="3" l="1"/>
  <c r="G46" i="3"/>
  <c r="G225" i="3"/>
  <c r="G98" i="3"/>
  <c r="J56" i="3"/>
  <c r="J154" i="3"/>
  <c r="J94" i="3"/>
  <c r="J63" i="3"/>
  <c r="E181" i="3"/>
  <c r="G181" i="3" s="1"/>
  <c r="E152" i="3"/>
  <c r="G9" i="3"/>
  <c r="G148" i="3"/>
  <c r="G24" i="3"/>
  <c r="G255" i="3"/>
  <c r="G21" i="3"/>
  <c r="G38" i="3"/>
  <c r="G146" i="3"/>
  <c r="G23" i="3"/>
  <c r="G174" i="3"/>
  <c r="G253" i="3"/>
  <c r="G245" i="3"/>
  <c r="G10" i="3"/>
  <c r="G191" i="3"/>
  <c r="G241" i="3"/>
  <c r="G40" i="3"/>
  <c r="G33" i="3"/>
  <c r="G153" i="3"/>
  <c r="G22" i="3"/>
  <c r="G3" i="3"/>
  <c r="G263" i="3"/>
  <c r="G242" i="3"/>
  <c r="G49" i="3"/>
  <c r="G173" i="3"/>
  <c r="G150" i="3"/>
  <c r="G47" i="3"/>
  <c r="G190" i="3"/>
  <c r="G261" i="3"/>
  <c r="G41" i="3"/>
  <c r="G262" i="3"/>
  <c r="G246" i="3"/>
  <c r="G25" i="3"/>
  <c r="G180" i="3"/>
  <c r="G226" i="3"/>
  <c r="J227" i="3"/>
  <c r="E227" i="3"/>
  <c r="G227" i="3" l="1"/>
  <c r="E163" i="3"/>
  <c r="J163" i="3"/>
</calcChain>
</file>

<file path=xl/sharedStrings.xml><?xml version="1.0" encoding="utf-8"?>
<sst xmlns="http://schemas.openxmlformats.org/spreadsheetml/2006/main" count="3900" uniqueCount="2077">
  <si>
    <t>Name</t>
  </si>
  <si>
    <t>Location</t>
  </si>
  <si>
    <t>Technology</t>
  </si>
  <si>
    <t>Legal form</t>
  </si>
  <si>
    <t>CAPEX financing source</t>
  </si>
  <si>
    <t>Reference</t>
  </si>
  <si>
    <t xml:space="preserve">Stage of development </t>
  </si>
  <si>
    <t>CER Nuove Energie Alpine</t>
  </si>
  <si>
    <t>Valle Maira e Valle Grana (provincia di Cuneo)</t>
  </si>
  <si>
    <t>Associazione “Comunità Energetica Valli Maira e Grana” (CEVMG)</t>
  </si>
  <si>
    <t>Comune di Busca – co
fondatore
Comune di Villar San Costanzo
– co-fondatore
Comune di Macra – co
fondatore
Comune di Pradleves – co
fondatore
Enerbrain – partner tecnico</t>
  </si>
  <si>
    <t>15 + ?</t>
  </si>
  <si>
    <t>PV</t>
  </si>
  <si>
    <t>Centro di raccolta e mercato
del riuso; centro unico di
distribuzione alimentare;
ostello cittadino; un
condominio di quartiere; polo
sportivo ASD Rivasamba
(campo Andersen); uffici,
magazzini e archivio uffici
tecnici comunali in Via Salvi.</t>
  </si>
  <si>
    <t>Comune di Sestri Levante</t>
  </si>
  <si>
    <t>PV, solar termal</t>
  </si>
  <si>
    <t>Operational</t>
  </si>
  <si>
    <t>Design</t>
  </si>
  <si>
    <t>Comune di Basiglio</t>
  </si>
  <si>
    <t>Design, PV installed</t>
  </si>
  <si>
    <t>CER Basiglio A</t>
  </si>
  <si>
    <t>CER “Solisca”</t>
  </si>
  <si>
    <t>CER Quartiere Tannino</t>
  </si>
  <si>
    <t>Comune di Turano Lodigiano</t>
  </si>
  <si>
    <t>Self-consumption level, %</t>
  </si>
  <si>
    <t>Comune di Foiano di Turano, Comitato Idea Turano
Lodigiano</t>
  </si>
  <si>
    <t>Sorgenia S.p.A., citizens</t>
  </si>
  <si>
    <t>energy poverty</t>
  </si>
  <si>
    <t>Private</t>
  </si>
  <si>
    <t>Public (Municipal)</t>
  </si>
  <si>
    <t>Public, private</t>
  </si>
  <si>
    <t>Public (n. 395 “Programma
innovativo Qualità
dell’Abitare”)</t>
  </si>
  <si>
    <t>energy poverty, e-vehicle sharing</t>
  </si>
  <si>
    <t>PV, e-vehicle</t>
  </si>
  <si>
    <t>“Monticello Green Hill”</t>
  </si>
  <si>
    <t>Comune di Monticello Brianza</t>
  </si>
  <si>
    <t>Energy Saving Management
Consultants Spa</t>
  </si>
  <si>
    <t>associazione</t>
  </si>
  <si>
    <t>Other</t>
  </si>
  <si>
    <t>Residential (prosumers+consumers)</t>
  </si>
  <si>
    <t xml:space="preserve"> </t>
  </si>
  <si>
    <t>The medium-term objective is to expand the Brianza energy community by involving other prosumer subjects such as the Municipality, the three parishes present in the municipal area, commercial establishments, industrial factories and other Monticello families. remaining 50% will be used to finance territorial welfare initiatives, precisely in the "community" spirit</t>
  </si>
  <si>
    <t>CER Comunità Collinare
del Friuli – San Daniele 1</t>
  </si>
  <si>
    <t>Comune di San Daniele del
Friuli</t>
  </si>
  <si>
    <t>RECOCER project (Comunità Collinare del Friuli; Comune di San Daniele)</t>
  </si>
  <si>
    <t>associazione non riconosciuta</t>
  </si>
  <si>
    <t>Energia Verde Connessa</t>
  </si>
  <si>
    <t>Comune di Imola</t>
  </si>
  <si>
    <t>3 SMEs (2 prosumers, 1 consumer)</t>
  </si>
  <si>
    <t>Bryo SpA</t>
  </si>
  <si>
    <t>Private (ESCO-type contract)</t>
  </si>
  <si>
    <t>CER Gallese</t>
  </si>
  <si>
    <t>Comune di Gallese</t>
  </si>
  <si>
    <t>Redream EU project (Fondazione “Bio-distretto della Via Amerina e delle Forre”)</t>
  </si>
  <si>
    <t>Public (EU Horizon), private (loan from ESCO)</t>
  </si>
  <si>
    <t>CER "Verso il Futuro"</t>
  </si>
  <si>
    <t>Comune di Cassino</t>
  </si>
  <si>
    <t>Together Green S.r.l.</t>
  </si>
  <si>
    <t>2 Residential (prosumer+consumer), 1 SME (consumer)</t>
  </si>
  <si>
    <t>Superbonus tax relief, CER incentive</t>
  </si>
  <si>
    <t>Municipality</t>
  </si>
  <si>
    <t>CER Ventotene</t>
  </si>
  <si>
    <t>Comune di Ventotene</t>
  </si>
  <si>
    <t>Yes</t>
  </si>
  <si>
    <t>Associazione studentesca
GC-FSAlumni (Vincitori Bando
regionale VitaminaG)
Università La Sapienza di
Roma, D.I.M.A.
Lega Navale sezione di
Ventotene</t>
  </si>
  <si>
    <t>Public (PNRR)</t>
  </si>
  <si>
    <t>CER "CERossini"</t>
  </si>
  <si>
    <t>Comune di Montelabbate</t>
  </si>
  <si>
    <t>Public</t>
  </si>
  <si>
    <t>1 public (prosumer), 6 residential (consumer), 3 SMEs (commercial, consumer)</t>
  </si>
  <si>
    <t>Plans to grow in capacity, etc</t>
  </si>
  <si>
    <t>CER AMARES</t>
  </si>
  <si>
    <t>Comune di Ripalimosani</t>
  </si>
  <si>
    <t>Gruppo Amaranto</t>
  </si>
  <si>
    <t>Società Cooperativa a
responsabilità limitata
denominata “A.RE.S.”
“Amaranto Software Factory
S.r.l.” (Gruppo Amaranto)
società “Energia Prima
Services S.r.l.” (Gruppo
Amaranto)</t>
  </si>
  <si>
    <t>CER di Foiano di Val Fortore</t>
  </si>
  <si>
    <t>Comune di Foiano di Val
Fortore</t>
  </si>
  <si>
    <t>Comune di Foiano di Val
Fortore
Suprema – gestore dei servizi
elettrici comunali</t>
  </si>
  <si>
    <t>58 (hydro)</t>
  </si>
  <si>
    <t>Private (equity with Superbonus tax relief)</t>
  </si>
  <si>
    <t>Plan to grow</t>
  </si>
  <si>
    <t>CER Blue Green Energy</t>
  </si>
  <si>
    <t>Comune di Blufi</t>
  </si>
  <si>
    <t>Typology of members (role)</t>
  </si>
  <si>
    <t>CER di Messina</t>
  </si>
  <si>
    <t>Comune di Messina</t>
  </si>
  <si>
    <t>Public (D.L. Crescita 2021)</t>
  </si>
  <si>
    <t>Public (DL MISE 30/4/2019 interventi
per efficientamento
energetico)</t>
  </si>
  <si>
    <t>CER di Ragusa</t>
  </si>
  <si>
    <t>Comune di Ragusa</t>
  </si>
  <si>
    <t>Enel X</t>
  </si>
  <si>
    <t>Public (regional), Private</t>
  </si>
  <si>
    <t xml:space="preserve">1) 1 public (school, prosumer), 10 residential (consumer) and SMEs (consumer); 2) 25 residential (consumer); 3) 3 SMEs; 4) 4 public actors (prosumers) </t>
  </si>
  <si>
    <t>CER di Sortino</t>
  </si>
  <si>
    <t>Comune di Sortino</t>
  </si>
  <si>
    <t>Comune di Sortino;
Centro Sociale Giovanile;
Church San Giuseppe.</t>
  </si>
  <si>
    <t>CER GECO</t>
  </si>
  <si>
    <t xml:space="preserve">CAAB (prosumer); Fondazione FICO (prosumer); </t>
  </si>
  <si>
    <t>CER CommOn Light</t>
  </si>
  <si>
    <t>Comune di Ferla</t>
  </si>
  <si>
    <t>1 public (municipality, prosumer), 2 residential (consumer), 2 SMEs (consumer)</t>
  </si>
  <si>
    <t>Università di Catania</t>
  </si>
  <si>
    <t>CER Biddanoa E’ Forru</t>
  </si>
  <si>
    <t>Comune di Villanovaforru</t>
  </si>
  <si>
    <t>Comune di Villanovaforru
Cooperativa Energetica
ènostra</t>
  </si>
  <si>
    <t>Public (municipality)</t>
  </si>
  <si>
    <t>CER di Ussaramanna</t>
  </si>
  <si>
    <t>Comune di Ussaramanna</t>
  </si>
  <si>
    <t>Comune di Ussaramanna
Cooperativa Energetica
ènostra</t>
  </si>
  <si>
    <t>CER Miracer</t>
  </si>
  <si>
    <t>Mirabello Sannitico</t>
  </si>
  <si>
    <t>Ener4com coop.</t>
  </si>
  <si>
    <t>Consortium of municipalities</t>
  </si>
  <si>
    <t>1 Public (municipality, prosumer), 4 residentials (consumers)</t>
  </si>
  <si>
    <t>CER di Amendolara</t>
  </si>
  <si>
    <t>Comune di Amendolara</t>
  </si>
  <si>
    <t>CER d`imprese a Bari</t>
  </si>
  <si>
    <t>SMEs</t>
  </si>
  <si>
    <t>Confindustria Bari BAT, ASI Consortium of Bari</t>
  </si>
  <si>
    <t>aree del Consorzio
Asi di Bari</t>
  </si>
  <si>
    <t>CER di Fondo Saccà - E.T.S</t>
  </si>
  <si>
    <t>Fondazione di Comunità di Messina</t>
  </si>
  <si>
    <t>cost reduction of industry</t>
  </si>
  <si>
    <t>Progetto Energheia</t>
  </si>
  <si>
    <t>Tecnozenith</t>
  </si>
  <si>
    <t>ACEA Pinerolese Energia</t>
  </si>
  <si>
    <t>Comune di Cavour</t>
  </si>
  <si>
    <t>Condominio Genovesio</t>
  </si>
  <si>
    <t>BESS kwh</t>
  </si>
  <si>
    <t>80 (electric), 45 (termal)</t>
  </si>
  <si>
    <t>Condominio Cooperativa
Racconigese</t>
  </si>
  <si>
    <t>Comune di Racconigi</t>
  </si>
  <si>
    <t>77 (electric), 58 (termal)</t>
  </si>
  <si>
    <t>Condominio La Madonnina</t>
  </si>
  <si>
    <t>Comune di Pinerolo</t>
  </si>
  <si>
    <t>72 (electric), 32 (termal)</t>
  </si>
  <si>
    <t>Condominio Goffi</t>
  </si>
  <si>
    <t>66 (electric), 22 (termal)</t>
  </si>
  <si>
    <t>Condominio Bertairone</t>
  </si>
  <si>
    <t>79 (electric), 29 (termal)</t>
  </si>
  <si>
    <t>Condominio Gioberti</t>
  </si>
  <si>
    <t>57 (electric), 17 (termal)</t>
  </si>
  <si>
    <t>Condominio Alliaudi</t>
  </si>
  <si>
    <t>81 (electric), 37 (termal)</t>
  </si>
  <si>
    <t>Condominio Venere</t>
  </si>
  <si>
    <t>Comune di Torino</t>
  </si>
  <si>
    <t>Condominio Saturno</t>
  </si>
  <si>
    <t>Condominio Urano</t>
  </si>
  <si>
    <t>Private (utility with Superbonus tax relief)</t>
  </si>
  <si>
    <t>Superbonus tax relief, AUC incentive</t>
  </si>
  <si>
    <t>Residential (prosumer)</t>
  </si>
  <si>
    <t>Il Residence Cicogna</t>
  </si>
  <si>
    <t>Comune di Ponzano Veneto</t>
  </si>
  <si>
    <t>PV, BESS</t>
  </si>
  <si>
    <t>PV, solar termal, BESS</t>
  </si>
  <si>
    <t>Crema Costruzioni Snc</t>
  </si>
  <si>
    <t>Regalgrid Europe Srl</t>
  </si>
  <si>
    <t>Public (regional)</t>
  </si>
  <si>
    <t>RE(Y) VENICE</t>
  </si>
  <si>
    <t>Comune di Venezia</t>
  </si>
  <si>
    <t>InfinityHub: acceleratore di
startup ed ESCo.</t>
  </si>
  <si>
    <t>eAmbiente: società italiana di consulenza e progettazione ambientale per aziende ed enti pubblici.
Habitech: consorzio di 300 imprese specializzate nei settori dell’edilizia sostenibile, dell’efficienza energetica e delle tecnologie intelligenti per la gestione del territorio.
Ca’ Foscari Alumni: associazione degli ex-studenti dell’Università Ca’ Foscari di Venezia.
Regalgrid Europe srl.
Ecomill.</t>
  </si>
  <si>
    <t>redevelopment of a shopping center  "La Piazza"</t>
  </si>
  <si>
    <t>Commercial (prosumer), ? etcetera</t>
  </si>
  <si>
    <t>Legambiente 2022 report</t>
  </si>
  <si>
    <t>25 PV + 6 solar termal</t>
  </si>
  <si>
    <t>CER "Le Vele"</t>
  </si>
  <si>
    <t>Comune di Roma</t>
  </si>
  <si>
    <t>Banco dell’energia</t>
  </si>
  <si>
    <t>Private (grant from utility)</t>
  </si>
  <si>
    <t>Edison Energia, Istituto Leonardo Vaccari, Istituto Comprensivo Claudio Abbado, Associazione VAILV, Associazione “Il vento sulla vela”, Federconsumatori Lazio (operations coordinator in future)</t>
  </si>
  <si>
    <t>CER CERtosa</t>
  </si>
  <si>
    <t>ènostra, plesso Carlo Pisacane,
panificio dei Fratelli Marrocchini,
CDCA</t>
  </si>
  <si>
    <t>42 Residential, 1 public (school), 2 NPOs, 1 SME.</t>
  </si>
  <si>
    <t>Solar Club Ascoli Piceno</t>
  </si>
  <si>
    <t>Comune di Ascoli Piceno</t>
  </si>
  <si>
    <t>Octopus Energy</t>
  </si>
  <si>
    <t>Private (equity of promoter)</t>
  </si>
  <si>
    <t>80 residential, 1 SME</t>
  </si>
  <si>
    <t>Gruppo IREN Torino</t>
  </si>
  <si>
    <t>IREN Mercato</t>
  </si>
  <si>
    <t>Private (ESCO type contract), Public</t>
  </si>
  <si>
    <t>Comune di Parma</t>
  </si>
  <si>
    <t>Private (ESCO type contract)</t>
  </si>
  <si>
    <t>CER di Baganzola</t>
  </si>
  <si>
    <t>Residential (prosumer, condominium but CER not AUC)</t>
  </si>
  <si>
    <t>Intesa Sanpaolo Bank</t>
  </si>
  <si>
    <t>Private (bank loan)</t>
  </si>
  <si>
    <t>enostra</t>
  </si>
  <si>
    <t>Very innovative sheme combining coop members as consumers and Gubbio HHs and SMEs as members of a CER</t>
  </si>
  <si>
    <t>wind</t>
  </si>
  <si>
    <t>Comune di Gubbio</t>
  </si>
  <si>
    <t>CER di Plangreen</t>
  </si>
  <si>
    <t>Comune di Misano Adriatico</t>
  </si>
  <si>
    <t>Plangreen S.r.l.</t>
  </si>
  <si>
    <t>company employee welfare</t>
  </si>
  <si>
    <t>900 Residential + SMEs (consumers)+ enostra (producer), 1 public (municipality, consumer)</t>
  </si>
  <si>
    <t>CER Buccino</t>
  </si>
  <si>
    <t>CER Gubbio</t>
  </si>
  <si>
    <t>Enel X, Gruppo Magaldi</t>
  </si>
  <si>
    <t>FICEI</t>
  </si>
  <si>
    <t>CER Vallette</t>
  </si>
  <si>
    <t>Private (grant)</t>
  </si>
  <si>
    <t>1 Church (prosumer), 8 residential (consumer)</t>
  </si>
  <si>
    <t>IREN Smart Solutions</t>
  </si>
  <si>
    <t>Legacoop</t>
  </si>
  <si>
    <t>cooperativa</t>
  </si>
  <si>
    <t>PV at ex-landfill</t>
  </si>
  <si>
    <t>CER CESLA</t>
  </si>
  <si>
    <t>Comune di Pozza di Fassa</t>
  </si>
  <si>
    <t>students established</t>
  </si>
  <si>
    <t>Consorzio Elettrico di Storo, FassaCoop, Cassa Rurale Dolomiti, Cassa Raiffeisen</t>
  </si>
  <si>
    <t>Public (regional, municipal), private (equity crowdfunding at later stages)</t>
  </si>
  <si>
    <t>Private (loan, equity crowdfunding)</t>
  </si>
  <si>
    <t>Private (grants from coops and banks, equity crowdfunding)</t>
  </si>
  <si>
    <t>Private (equity crowdfunding)</t>
  </si>
  <si>
    <t>1 Public (school, prosumer), ? Residential</t>
  </si>
  <si>
    <t>Consorzio elettrico
di Pozza di Fassa</t>
  </si>
  <si>
    <t>CER Cagliari</t>
  </si>
  <si>
    <t>Comune di Cagliari</t>
  </si>
  <si>
    <t>CER Garda Uno</t>
  </si>
  <si>
    <t>Garda Uno Spa</t>
  </si>
  <si>
    <t>area bresciana del
Lago di Garda</t>
  </si>
  <si>
    <t>biggest CER in Italy</t>
  </si>
  <si>
    <t>Lombardia region</t>
  </si>
  <si>
    <t>Comunità Montana della Valtrompia</t>
  </si>
  <si>
    <t>Weproject</t>
  </si>
  <si>
    <t>CER Trissino</t>
  </si>
  <si>
    <t>Comune di Trissino</t>
  </si>
  <si>
    <t>Green Wolf S.r.l.</t>
  </si>
  <si>
    <t>Public, Private</t>
  </si>
  <si>
    <t>Public, Private (equity)</t>
  </si>
  <si>
    <t>CER Sole</t>
  </si>
  <si>
    <t>Comune di Genova</t>
  </si>
  <si>
    <t>Citizens</t>
  </si>
  <si>
    <t>brand Fra’Diavolo, Comune di Genova.</t>
  </si>
  <si>
    <t>CER Provinciale Asti</t>
  </si>
  <si>
    <t>Comune di Asti</t>
  </si>
  <si>
    <t>Provincia di Asti</t>
  </si>
  <si>
    <t>Comune di Milano</t>
  </si>
  <si>
    <t>CER Bovisa</t>
  </si>
  <si>
    <t>CER Città Studi</t>
  </si>
  <si>
    <t>CER Ghisolfa</t>
  </si>
  <si>
    <t>CER Niguarda/Affori</t>
  </si>
  <si>
    <t>CER Chiaravalle</t>
  </si>
  <si>
    <t>CER Magliano Alpi</t>
  </si>
  <si>
    <t>Comune di Magliano Alpi</t>
  </si>
  <si>
    <t>Legambiente 2024 report</t>
  </si>
  <si>
    <t>Energy Center of Politecnico di Torino, Ufficio Tecnico di Magliano Alpi</t>
  </si>
  <si>
    <t>Main Promoter</t>
  </si>
  <si>
    <t>Public (PNRR Fraccaro law)</t>
  </si>
  <si>
    <t>CER Energy Sporting Center</t>
  </si>
  <si>
    <t>Assistant promoters, CER-builders, financing entities</t>
  </si>
  <si>
    <t>Fondazione
Cassa di Risparmio di Cuneo</t>
  </si>
  <si>
    <t>3 Public (2 consumer, 1 prosumer 20kw), 2 SMEs, 2 residentials (1 prosumer 3kw, 1 consumer)</t>
  </si>
  <si>
    <t>CER Industrial Facility</t>
  </si>
  <si>
    <t>CER Parma North</t>
  </si>
  <si>
    <t>Condominio Biava</t>
  </si>
  <si>
    <t>Bergamo</t>
  </si>
  <si>
    <t>Edison Energia</t>
  </si>
  <si>
    <t>Condominio  Gardenia</t>
  </si>
  <si>
    <t>Dalmine</t>
  </si>
  <si>
    <t>Vimercate AUC</t>
  </si>
  <si>
    <t>Vimercate</t>
  </si>
  <si>
    <t>https://www.rinnovabili.it/mercato/le-aziende-informano/autoconsumo-condominiale-edison-energia-200-cer/</t>
  </si>
  <si>
    <t>AgriGreen</t>
  </si>
  <si>
    <t>Fondi (Latina)</t>
  </si>
  <si>
    <t>Cesab (Centro di Ricerche interuniversitario di Scienze Ambientali), Banca Popolare di Fondi</t>
  </si>
  <si>
    <r>
      <t xml:space="preserve">https://www.edison.it/it/edison-cesab; </t>
    </r>
    <r>
      <rPr>
        <b/>
        <sz val="10"/>
        <color theme="1"/>
        <rFont val="Calibri"/>
        <family val="2"/>
        <charset val="204"/>
        <scheme val="minor"/>
      </rPr>
      <t>https://www.repubblica.it/economia/rapporti/energitalia/lascossa/2023/09/25/news/comunita_energetiche_edison_e_cesab_insieme_per_la_presentazione_di_agrigreen_fondi-415776211/</t>
    </r>
  </si>
  <si>
    <t>Huge agricultural (greenhouse mostly) CER; Companies interested in adhere to an energy-environmental certification, the Bioagropro Certification, and obviously reduce energy costs.</t>
  </si>
  <si>
    <t>SMEs, Public (national park, municipality)</t>
  </si>
  <si>
    <t>CER Valpellice</t>
  </si>
  <si>
    <t>Valpellice</t>
  </si>
  <si>
    <t>Acea Pinerolese</t>
  </si>
  <si>
    <t>Private (equity)</t>
  </si>
  <si>
    <t>Tecnozenith, CONI national sports association</t>
  </si>
  <si>
    <t>Public (PNRR, Programma Nextappenino)</t>
  </si>
  <si>
    <t>PV, hydro</t>
  </si>
  <si>
    <t>Earthquake reconstruction</t>
  </si>
  <si>
    <t>PV, hydro, biomass</t>
  </si>
  <si>
    <t>PV, wind</t>
  </si>
  <si>
    <t>Legambiente 2024 report, https://sisma2016.gov.it/2024/04/02/finanziata-comunita-energetica-rinnovabile-a-tossicia-teramo/</t>
  </si>
  <si>
    <t>CER Fiemme</t>
  </si>
  <si>
    <t>Cooperativa</t>
  </si>
  <si>
    <t>FiemmePer Fondazione ETS</t>
  </si>
  <si>
    <t>Cassa Rurale Val di Fiemme ,  Famiglia Cooperativa di Cavalese ,  Cooperativa Terre altre,  BioEnergia Fiemme ,  Eurostandard ,  Elabora srl ,  Seda sas ,  Magnifica SB essence</t>
  </si>
  <si>
    <t xml:space="preserve">Municipalities of: Anterivo, Baselga di Pinè, Capriana, Castello-Molina di Fiemme, Cavalese, Lona-Lases, Panchià, Pieve Tesino, Sover, Telve, Tesero, Valfloriana, Ville di Fiemme and Ziano. </t>
  </si>
  <si>
    <t>https://energia.incooperazione.it/cer-in-trentino</t>
  </si>
  <si>
    <t>CERTO</t>
  </si>
  <si>
    <t>Baselga di Pinè, Bieno, Borgo Valsugana, Carzano, Castello Tesino, Castel Ivano, Castelnuovo, Cavalese, Castello-Molina di Fiemme, Cinte Tesino, Enego, Grigno, Fierozzo, Frassilongo, Novaledo, Palù del Fersina, Ospedaletto, Panchià, Pieve Tesino, Roncegno Terme, Ronchi Valsugana, Samone, Scurelle, Tesero, Telve, Telve di sopra, Torcegno and Ziano di Fiemme</t>
  </si>
  <si>
    <t xml:space="preserve">CER Valledeilaghi </t>
  </si>
  <si>
    <t>Biodistretto della Valle dei Laghi</t>
  </si>
  <si>
    <t>Madruzzo , Vallelaghi , Cavedine , Dro and Drena .</t>
  </si>
  <si>
    <t>Green Land</t>
  </si>
  <si>
    <t>Municipality of Lavarone</t>
  </si>
  <si>
    <t>Municipalities of: Altopiano della Vigolana, Besenello, Borgo Valsugana, Calceranica, Caldonazzo, Folgaria, Lavarone, Levico Terme, Luserna, Pergine Valsugana, Tenna and Vignola-Falesina.</t>
  </si>
  <si>
    <t>KönCerT</t>
  </si>
  <si>
    <t>Municipalities of: Fai della Paganella, Mezzocorona, Mezzolombardo, San Michele a/A, Roverè della Luna, Spormaggiore and Ton</t>
  </si>
  <si>
    <t>Call for involvment open to all entities of municipalities under the same cabin</t>
  </si>
  <si>
    <t>Banco dell'Energia</t>
  </si>
  <si>
    <t>Available info</t>
  </si>
  <si>
    <t>Number of CERs</t>
  </si>
  <si>
    <t>No number/no typology</t>
  </si>
  <si>
    <t>Self-consumption level</t>
  </si>
  <si>
    <t>BESS</t>
  </si>
  <si>
    <t>Additional OPEX financing source</t>
  </si>
  <si>
    <t>North</t>
  </si>
  <si>
    <t>Sestri Levante</t>
  </si>
  <si>
    <t>Central South</t>
  </si>
  <si>
    <t>Central North</t>
  </si>
  <si>
    <t>South</t>
  </si>
  <si>
    <t>Electrcitiy zone</t>
  </si>
  <si>
    <t>Sicily</t>
  </si>
  <si>
    <t>Sardegna</t>
  </si>
  <si>
    <t>Maregrosso, Messina</t>
  </si>
  <si>
    <t>CEDIS</t>
  </si>
  <si>
    <t>CER di Napoli Est</t>
  </si>
  <si>
    <t>Legambiente
Campania</t>
  </si>
  <si>
    <t>Fondazione Famiglia di Maria, Fondazione con il Sud</t>
  </si>
  <si>
    <t>CER Borutta</t>
  </si>
  <si>
    <t>Borutta</t>
  </si>
  <si>
    <t>Comune di
Borutta</t>
  </si>
  <si>
    <t>De Vidovich &amp; Tricarico</t>
  </si>
  <si>
    <t>Turano
Lodigiano e
Bertonico</t>
  </si>
  <si>
    <t>Macerata
Feltria (PU)</t>
  </si>
  <si>
    <t>Società ILM
Srl</t>
  </si>
  <si>
    <t>Gruppo Professione Energia, Energy People Alliance</t>
  </si>
  <si>
    <t>CER
dell’Università
G. D’Annunzio</t>
  </si>
  <si>
    <t>Chieti</t>
  </si>
  <si>
    <t>Università G.
D’Annunzio
di Chieti e
Pescara</t>
  </si>
  <si>
    <t>CER Tito</t>
  </si>
  <si>
    <t>Tito (PZ)</t>
  </si>
  <si>
    <t>Friendly Power
Srl</t>
  </si>
  <si>
    <t>Comune di Tito</t>
  </si>
  <si>
    <t>Filadelfia (VV)</t>
  </si>
  <si>
    <t>Comune di
Filadelfia</t>
  </si>
  <si>
    <t>Chamois e La
Magdeleine
(AO)</t>
  </si>
  <si>
    <t>Comune</t>
  </si>
  <si>
    <t>CER di Sferro</t>
  </si>
  <si>
    <t>Paternò (CT)</t>
  </si>
  <si>
    <t>Comune di Paterno</t>
  </si>
  <si>
    <t>CER di Biccari</t>
  </si>
  <si>
    <t>Comune di
Biccari, Arca
Capitanata</t>
  </si>
  <si>
    <t>energy poverty - main goal</t>
  </si>
  <si>
    <t>Biccari</t>
  </si>
  <si>
    <t>CER LELAT</t>
  </si>
  <si>
    <t>Rione
Mangialupi
(ME)</t>
  </si>
  <si>
    <t>Comune di
Messina</t>
  </si>
  <si>
    <t>Lega Lotta
Aids e Tossicodipendenza, Enel X</t>
  </si>
  <si>
    <t>Public, ? Residential</t>
  </si>
  <si>
    <t>De Vidovich &amp; Tricarico (2021), https://www.comunirinnovabili.it/comunita-energetica-di-macerata-feltria/</t>
  </si>
  <si>
    <t>Public,?  SMEs, ? residential</t>
  </si>
  <si>
    <t>De Vidovich &amp; Tricarico (2021), Orange Book RSE</t>
  </si>
  <si>
    <t>CER dell’Angitola</t>
  </si>
  <si>
    <t>De Vidovich &amp; Tricarico (2021), Orange Book RSE, https://www.comunirinnovabili.it/comunita-energetica-dellangitola/</t>
  </si>
  <si>
    <t>CER di Chamois - La Magdeleine</t>
  </si>
  <si>
    <t>Consorzio di
Bonifica, MACs Italia</t>
  </si>
  <si>
    <t>De Vidovich &amp; Tricarico (2021), Orange Book RSE, https://www.respira.coop/news/a-biccari-in-puglia-nasce-la-prima-cer-da-una-cooperativa-di-comunita/</t>
  </si>
  <si>
    <t>SMEs (prosumer)</t>
  </si>
  <si>
    <t>CER di Macerata Feltria</t>
  </si>
  <si>
    <t>Solisca</t>
  </si>
  <si>
    <t>Comuni
di Turano
Lodigiano e
Bertonico</t>
  </si>
  <si>
    <t>Sorgenia</t>
  </si>
  <si>
    <t>Solisca is served by a digital platform developed by Sorgenia , plan to add BESS</t>
  </si>
  <si>
    <t>De Vidovich &amp; Tricarico (2021), Orange Book RSE, https://www.thegoodintown.it/solisca-la-comunita-energetica-di-turano-lodigiano/, https://www.qualenergia.it/pro/articoli-pro/caso-comunita-energetica-rinnovabile-turano-lodigiano/</t>
  </si>
  <si>
    <t>1 Public (prosumer 9 PODs), 1 Church (consumer), 18 residential (consumers)</t>
  </si>
  <si>
    <t>San Giovanni a Teduccio</t>
  </si>
  <si>
    <t>Production and consumption are monitored through the Tesla app</t>
  </si>
  <si>
    <t>Riccomassimo, Storo (TN)</t>
  </si>
  <si>
    <t xml:space="preserve">CER di Riccomassimo </t>
  </si>
  <si>
    <t>Comune di Storo, Trentina Cooperation Federation, Associazione "La Buona Fonte”</t>
  </si>
  <si>
    <t>Only typology of members, no number</t>
  </si>
  <si>
    <t>AESS; ENEA; Università di Bologna; Agenzia locale di Sviluppo Pilastro Distretto Nord Est; Regione Emilia-Romagna e Comune di Bologna</t>
  </si>
  <si>
    <t>Public (EU Horizon, EIT Climate-KIC), Private (equity)</t>
  </si>
  <si>
    <t>Capacity (installed or foreseen) kw</t>
  </si>
  <si>
    <t>Number of members</t>
  </si>
  <si>
    <t>Public prosumer, %</t>
  </si>
  <si>
    <t>Residential prosumer, %</t>
  </si>
  <si>
    <t>NPO prosumer,%</t>
  </si>
  <si>
    <t>Public (prosumer), residential (consumer)</t>
  </si>
  <si>
    <t>PVs: 20+20, e-vehicle</t>
  </si>
  <si>
    <t>1) 3 residential (consumer) 2)1 public lightening (prosumer), 1 SME (prosumer), 1 municipal warehouse (prosumer)</t>
  </si>
  <si>
    <t>3 public (prosumer), 1 commercial (consumer), ? SME (1 hostel [prosumer] + ? Others), 1 residential (condominium, consumer)</t>
  </si>
  <si>
    <t>1 public (canteen, town hall, gymnasium, sports fileds, post office, firefighters [prosumers]), 1 religious (consumer), 20 residential (consumer)</t>
  </si>
  <si>
    <t>Public (school, prosumer), residential (consumer)</t>
  </si>
  <si>
    <t>Residential (consumers), SME (farm [prosumer])</t>
  </si>
  <si>
    <t>Public (prosumers), Residential (consumers)</t>
  </si>
  <si>
    <t>Associazione Le.LA.T.</t>
  </si>
  <si>
    <t>Enel X, Comune di Messina</t>
  </si>
  <si>
    <t>1 public (social center [prosumer]), 1 church (consumer), ? Residential (consumers)</t>
  </si>
  <si>
    <t>Enostra</t>
  </si>
  <si>
    <t>Public (school [prosumer]), Residential (consumers), SMEs (consumers)</t>
  </si>
  <si>
    <t>Public (town hall, social center [prosumers]), ? Residentials (consumers),? SMEs (consumers)</t>
  </si>
  <si>
    <t>Public (EU, Interreg)</t>
  </si>
  <si>
    <t>59 Public,? Residential, ? SMEs</t>
  </si>
  <si>
    <t>Legambiente 2022 report,https://www.ilbenecomune.it/2021/12/01/mirabello-sannitico-entra-nel-vivo-il-processo-di-costituzione-della-comunita-energetica-rinnovabile/</t>
  </si>
  <si>
    <t>? Residential (consumer),? SMEs (farm [prosumer 300kw]), RES standalone 1000 kw</t>
  </si>
  <si>
    <t>Public (school [prosumer]), ?Residentials (consumers)</t>
  </si>
  <si>
    <r>
      <t xml:space="preserve">De Vidovich &amp; Tricarico (2021), Orange Book RSE, </t>
    </r>
    <r>
      <rPr>
        <b/>
        <sz val="10"/>
        <color theme="1"/>
        <rFont val="Calibri"/>
        <family val="2"/>
        <charset val="204"/>
        <scheme val="minor"/>
      </rPr>
      <t>https://wec-italia.org/upload/pdf/riccomassima.pdf</t>
    </r>
  </si>
  <si>
    <t>Public (RSE bando), Private (equity)</t>
  </si>
  <si>
    <t>De Vidovich &amp; Tricarico (2021), Orange Book RSE, https://comune.tito.pz.it/wp-content/uploads/2022/04/1.-Modello-Economico-CER-1.pdf</t>
  </si>
  <si>
    <t>2 Public (school 20 kw, library 45 kw [prosumers]), 32 residential and SMEs (consumers)</t>
  </si>
  <si>
    <t>PV, e-vehicles</t>
  </si>
  <si>
    <t>All</t>
  </si>
  <si>
    <t>All North</t>
  </si>
  <si>
    <t>All Central North</t>
  </si>
  <si>
    <t>All Central South</t>
  </si>
  <si>
    <t>All South</t>
  </si>
  <si>
    <t>All Sicily</t>
  </si>
  <si>
    <t>All Sardegna</t>
  </si>
  <si>
    <t>Legambiente 2024 report, https://www.provinciaasti-consultazionecer.it/</t>
  </si>
  <si>
    <t>90 Public (89 municipalities: ? schools [prosumers], 1 municipality [consumer]), ? residential</t>
  </si>
  <si>
    <t>Number of configurations</t>
  </si>
  <si>
    <t>https://www.chiesadimilano.it/news/chiesa-diocesi/energie-rinnovabili-cosi-a-greco-si-fa-soledarieta-2797667.html</t>
  </si>
  <si>
    <t>Milano</t>
  </si>
  <si>
    <t>SOLEdarietà</t>
  </si>
  <si>
    <t>Caritas Ambrosiana</t>
  </si>
  <si>
    <t>Banco dell'Energia, Church of Greco</t>
  </si>
  <si>
    <t>energy poverty, solid impact assessment is envisaged</t>
  </si>
  <si>
    <t>Iren Mercato</t>
  </si>
  <si>
    <t>BBVA
Cooperativa Parma 80</t>
  </si>
  <si>
    <t>CER di Stifone</t>
  </si>
  <si>
    <t>Narni</t>
  </si>
  <si>
    <t>La Sapienza University of Rome, Local APS 'VitaNova Stifone'</t>
  </si>
  <si>
    <t>Comune di Narni</t>
  </si>
  <si>
    <t>PV, hydro, hydro-pump, e-vehicle</t>
  </si>
  <si>
    <t>Keystone is the recovery of the historic Stifone hydroelectric power plant, multimedia visitor center in the village</t>
  </si>
  <si>
    <t>https://www.ternitoday.it/zone/narni/narni-comunita-energetica-rinnovabile-a-stifone-comune-premiato-da-legambiente.html</t>
  </si>
  <si>
    <t>CER di Perugia 1</t>
  </si>
  <si>
    <t>CER di Perugia 2</t>
  </si>
  <si>
    <t>CER di Perugia 3</t>
  </si>
  <si>
    <t>CER di Perugia 4</t>
  </si>
  <si>
    <t>Perugia</t>
  </si>
  <si>
    <t>Solar Cash ESCO</t>
  </si>
  <si>
    <t>Ener2Crowd</t>
  </si>
  <si>
    <t>Private (lending crowdfunding)</t>
  </si>
  <si>
    <t>CER di Elmas</t>
  </si>
  <si>
    <t>SMEs (prosumer/office building), ?others (consumers)</t>
  </si>
  <si>
    <t>Elmas</t>
  </si>
  <si>
    <t>insurance is used on laon interet</t>
  </si>
  <si>
    <t>CER di Corciano</t>
  </si>
  <si>
    <t>Corciano</t>
  </si>
  <si>
    <t>SME (prosumer), others (consumers)</t>
  </si>
  <si>
    <t>Aequo ESCO</t>
  </si>
  <si>
    <t>CER di Rocchetta di Vara</t>
  </si>
  <si>
    <t>Rocchetta di Vara</t>
  </si>
  <si>
    <t>? Public (municipality [prosumer]), ?others (consumers)</t>
  </si>
  <si>
    <t>Ener2Crowd, Comune</t>
  </si>
  <si>
    <t>Private (45% lending crowdfunding, equity)</t>
  </si>
  <si>
    <t>Private (83 % lending crowdfunding, equity)</t>
  </si>
  <si>
    <t>https://www.ener2crowd.com/it/progetti/dettaglio/185-comunitagrave-energetica-4?_gl=1*1ws13mq*_up*MQ..&amp;gclid=CjwKCAjw-O6zBhASEiwAOHeGxbbww6yrUwosi5Q1mrnLA4PSrmOLG9F0a0I-4rs0Y3uo81NKhrIorhoCumMQAvD_BwE; personal communication with Ener2Crowd</t>
  </si>
  <si>
    <t>https://www.ener2crowd.com/it/progetti/dettaglio/236-comunitagrave-energetica-7?_gl=1*1ui9y0n*_up*MQ..&amp;gclid=CjwKCAjw-O6zBhASEiwAOHeGxbbww6yrUwosi5Q1mrnLA4PSrmOLG9F0a0I-4rs0Y3uo81NKhrIorhoCumMQAvD_BwE;; personal communication with Ener2Crowd</t>
  </si>
  <si>
    <t>https://www.ener2crowd.com/it/progetti/dettaglio/235-comunitagrave-energetica-2?_gl=1*1ui9y0n*_up*MQ..&amp;gclid=CjwKCAjw-O6zBhASEiwAOHeGxbbww6yrUwosi5Q1mrnLA4PSrmOLG9F0a0I-4rs0Y3uo81NKhrIorhoCumMQAvD_BwE; personal communication with Ener2Crowd</t>
  </si>
  <si>
    <t>CER di Tossicia (Teramo)</t>
  </si>
  <si>
    <t>Comune di Tossicia</t>
  </si>
  <si>
    <t>https://sisma2016.gov.it/2024/04/02/finanziata-comunita-energetica-rinnovabile-a-tossicia-teramo/</t>
  </si>
  <si>
    <t>Comune di Aquila</t>
  </si>
  <si>
    <t>Producer standalone</t>
  </si>
  <si>
    <t xml:space="preserve">Comune di Aquila </t>
  </si>
  <si>
    <t>CER 1 di Rete CER l'Aquila</t>
  </si>
  <si>
    <t>Public (Programma Nextapennino 2016 - 100%)</t>
  </si>
  <si>
    <t>CER 2 di Rete CER l'Aquila</t>
  </si>
  <si>
    <t>2 Public (prosumer [2 sport centers]), 105 residential and industrial</t>
  </si>
  <si>
    <t>CER 3 di Rete CER l'Aquila</t>
  </si>
  <si>
    <t>PV, e-vehicle (charged from PV on car parking)</t>
  </si>
  <si>
    <t>CER 4 di Rete CER l'Aquila</t>
  </si>
  <si>
    <t>SME (ind/com) prosumer, %</t>
  </si>
  <si>
    <t>prosumers: Office of utility company, waste collection facility</t>
  </si>
  <si>
    <t>2 Public (local utilitiy facilities [prosumer]), 50 residential and SMEs</t>
  </si>
  <si>
    <t>Public (Programma Nextapennino 2009 - 50%, municipality - 50%)</t>
  </si>
  <si>
    <t>University of Teramo</t>
  </si>
  <si>
    <t>CER di Matelica</t>
  </si>
  <si>
    <t>Comune di Matelica</t>
  </si>
  <si>
    <t>Public (Programma Nextapennino 2009 - 65%, municipalities - 35%)</t>
  </si>
  <si>
    <t>CER di Mountain Union of Monti Azzurri</t>
  </si>
  <si>
    <t>CER di Camerino</t>
  </si>
  <si>
    <t>Comune di Camerino</t>
  </si>
  <si>
    <t>Mountain Union of Monti Azzurri</t>
  </si>
  <si>
    <t>University of Camerino</t>
  </si>
  <si>
    <t>Public (Programma Nextapennino 2009 - 40%, municipalities - 60%)</t>
  </si>
  <si>
    <t>Public (Programma Nextapennino 2009 - 70%, municipalities - 30%)</t>
  </si>
  <si>
    <t>https://picchionews.it/varie/sisma-2016-comunita-energetiche-rinnovabili-oltre-50-milioni-nelle-marche-matelica-e-camerino-capofila</t>
  </si>
  <si>
    <t>PV, hydro (360 kw)</t>
  </si>
  <si>
    <t>CER di Castel Sant'Angelo</t>
  </si>
  <si>
    <t xml:space="preserve">CER di Micigliano </t>
  </si>
  <si>
    <t>Comune di Micigliano</t>
  </si>
  <si>
    <t>57 Residential (prosumer), 1 Public (consumer)</t>
  </si>
  <si>
    <t>https://www.corrieredirieti.it/rieti-provincia/otto-milioni-per-tre-comunita-energetiche-del-cratere/</t>
  </si>
  <si>
    <t>CER di Amatrice</t>
  </si>
  <si>
    <t>8 Residential (consumer), Public (17 PVs [prosumer], 1 hydro [producer])</t>
  </si>
  <si>
    <t>2387 Residential (consumers), 12 public (prosumers)</t>
  </si>
  <si>
    <t>Other CERs cumulative in Abruzzo</t>
  </si>
  <si>
    <t>Consorzio del Bacino Imbrifero Montano del Nera e Velino della Provincia di Perugia</t>
  </si>
  <si>
    <t>CER Valnerina</t>
  </si>
  <si>
    <t xml:space="preserve">Public (Programma Nextappenino 2016 - 20%, municipality 20%), Private 60% </t>
  </si>
  <si>
    <t>http://bimcascia.pg.it/cnsrzbimnv/po/mostra_news.php?id=25&amp;area=H</t>
  </si>
  <si>
    <t>940 Residential and SMEs (consumers), 7 public (prosumers, producer hydro and biomass)</t>
  </si>
  <si>
    <t>Industrial (100 kw), Public (parking (50 kw, producer hydro 10 kw)</t>
  </si>
  <si>
    <t>Suprema</t>
  </si>
  <si>
    <t>Legambiente 2022 report, https://www.comunirinnovabili.it/la-comunita-energetica-di-foiano-val-fortore/</t>
  </si>
  <si>
    <t>PV (939,51kw), wind (499 kw), hydrostorage (58,4kwp)</t>
  </si>
  <si>
    <t>Legambiente 2024 report; https://www.gardapost.it/2023/05/19/comunita-energetiche-rinnovabili-43-comuni-con-garda-uno-per-lenergia-pulita/</t>
  </si>
  <si>
    <t>43 municipalities, ENEA</t>
  </si>
  <si>
    <t>43 Public (31 municipality prosumers 80%- mostly schools, gyms, town hall, swimming pool, seniour center, etc.: , 12 municipality consumers, Producers 20%: hydro, biomass), ? 47 Residential (consumer).</t>
  </si>
  <si>
    <t>https://www.unite.it/UniTE/Bandi_di_gara_e_contratti/COMUNITA_ENERGETICA_DELL_UNIVERSITA_DI_TERAMO</t>
  </si>
  <si>
    <t>Capacity per PV rooftop configuration, kw</t>
  </si>
  <si>
    <t>Legambiente 2022 report; https://www.comunirinnovabili.it/geco-green-energy-community/</t>
  </si>
  <si>
    <t>CER UniTeramo</t>
  </si>
  <si>
    <t>CER Valle Trompia</t>
  </si>
  <si>
    <t>Legambiente 2024 report; https://www.comunitaenergetica-valletrompia.it/; https://weproject.it/project/la-cer-della-valle-trompia/</t>
  </si>
  <si>
    <t>10 Public (municipality [prosumer]), ? Residentials, ? SMEs, ?NPOs</t>
  </si>
  <si>
    <t>Ind/Com/Office (SME) prosumer, %</t>
  </si>
  <si>
    <t>NPO (Office) prosumer,%</t>
  </si>
  <si>
    <t>Legambiente</t>
  </si>
  <si>
    <t xml:space="preserve">Plan to add 400 more kw through new members to be more economically viable </t>
  </si>
  <si>
    <t>Public (regional bando FVG)</t>
  </si>
  <si>
    <t>Parrocchia di S. Domenico, Fondazione «Casa dell’Immacolata», ComunitàPiergiorgio onlus, Comune di Udine</t>
  </si>
  <si>
    <t>Fondazione</t>
  </si>
  <si>
    <t>CER S. Domenico di Udine</t>
  </si>
  <si>
    <t>Udine</t>
  </si>
  <si>
    <t>Palmanova</t>
  </si>
  <si>
    <t>Associazione no-profit</t>
  </si>
  <si>
    <t>personal participation at FVG regional event; https://www.e-oikos.it/</t>
  </si>
  <si>
    <t>CER E-Oikos</t>
  </si>
  <si>
    <t>CER di Lignano</t>
  </si>
  <si>
    <t>First seaside CER in Italy</t>
  </si>
  <si>
    <t>Lignano Pineta company</t>
  </si>
  <si>
    <t>https://www.gsaigieneurbana.it/in-evidenza/comunita-energetiche-rinnovabili-lignano-ud-la-prima-cer-balneare-della-penisola/</t>
  </si>
  <si>
    <t>Public (regional bando FVG), Private</t>
  </si>
  <si>
    <t>Public (school, [prosumer]), SME (hotel [prosumer]</t>
  </si>
  <si>
    <t>Comuni di Lignano Sabbiadoro, Latisana, Palazzolo dello Stella, Precenicco e Ronchis</t>
  </si>
  <si>
    <t>1 NPO (office, prosumer), 39 residential (consumer)</t>
  </si>
  <si>
    <t>3 NPO (1 prosumer social center, 2 consumer), 1 public (school, prosumer)</t>
  </si>
  <si>
    <t>19 Residential (consumers), NPO (prosumer, office)</t>
  </si>
  <si>
    <t>Church</t>
  </si>
  <si>
    <t>Public (prosumer 30 kw), 50 residentials (prosumer 60 kw)</t>
  </si>
  <si>
    <t>SMEs (parking space [producer]), NPO</t>
  </si>
  <si>
    <t>Generator capacity information</t>
  </si>
  <si>
    <t>SMEs [prosumers]</t>
  </si>
  <si>
    <t>Roofs of Pubilc Prosumers, N</t>
  </si>
  <si>
    <t>Roofs of Residential Prosumers, N</t>
  </si>
  <si>
    <t>Roofs of SMEs Prosumers, N</t>
  </si>
  <si>
    <t>Roofs of NPO Prosumers, N</t>
  </si>
  <si>
    <t>CER di Vado Ligure</t>
  </si>
  <si>
    <t>Vado Ligure</t>
  </si>
  <si>
    <t>Public (PNRR), Private</t>
  </si>
  <si>
    <t>https://www.solareb2b.it/vado-ligure-comunita-energetica-impianto-fotovoltaico-1-mwp/; https://www.tirrenopower.com/sostenibilita/</t>
  </si>
  <si>
    <t>4 SMEs (consumers), 2 public (consumers), producer standalone PV on 2 roofs of power plants.</t>
  </si>
  <si>
    <t>municipalitiy of Vado Ligure</t>
  </si>
  <si>
    <t>municipality of Quiliano</t>
  </si>
  <si>
    <t>Public (region)</t>
  </si>
  <si>
    <t>5 members but 19 PODs. 15 consumers, 6 prosumers</t>
  </si>
  <si>
    <t>Sassofeltrio, Monte Scudo-Monte Colombo, Gemmano, Mercatino Conca, Montegrimano Terme, Monte Cerignone</t>
  </si>
  <si>
    <t>https://esg.nexteconomia.org/utente/cer-di-sassofeltrio/; https://energy4com.eu/progetti/bando-emilia-romagna-comune-di-sassofeltrio</t>
  </si>
  <si>
    <t>CER Sinergia</t>
  </si>
  <si>
    <t>Fondazione di Partecipazione</t>
  </si>
  <si>
    <t>Ener4Com coop. ESCo, 23 founding municipalities</t>
  </si>
  <si>
    <t>https://energy4com.eu/progetti/</t>
  </si>
  <si>
    <t>CER di Trento B.I.M.</t>
  </si>
  <si>
    <t>Aldeno
Calliano
Besenello
Nogaredo
Nomi
Volano</t>
  </si>
  <si>
    <t>5 public (prosumers)</t>
  </si>
  <si>
    <t>Ener4com, Sinloc</t>
  </si>
  <si>
    <t>Consorzio dei Comuni della provincia di Trento B.I.M.</t>
  </si>
  <si>
    <t>Consorzio dei Comuni del B.I.M. SARCA MINCIO GARDA</t>
  </si>
  <si>
    <t>CER di B.I.M. SARCA MINCIO GARDA</t>
  </si>
  <si>
    <t>hydro</t>
  </si>
  <si>
    <t>CER “Via del Sole”</t>
  </si>
  <si>
    <t>Ener4com coop ESCO</t>
  </si>
  <si>
    <t>Sestu</t>
  </si>
  <si>
    <t>Public (various needs), producer standalone hydro</t>
  </si>
  <si>
    <t>Comune di Agliana</t>
  </si>
  <si>
    <t>CER di Salvadori Televisione SpA</t>
  </si>
  <si>
    <t>6 SMEs (2 prosumers [office]), 4 consumers)</t>
  </si>
  <si>
    <t>Salvadori Televisione SpA</t>
  </si>
  <si>
    <t>ENEA, Uni Pisa, Uni Cagliari, Uni Padua, Uni Tor Vergata.</t>
  </si>
  <si>
    <t>CER di Budrio</t>
  </si>
  <si>
    <t>Budrio</t>
  </si>
  <si>
    <t>Public (EU EFRD)</t>
  </si>
  <si>
    <t>Associazione</t>
  </si>
  <si>
    <t>Municipality of Budrio</t>
  </si>
  <si>
    <t>14 consumers, 9 prosumers</t>
  </si>
  <si>
    <t>https://esg.nexteconomia.org/utente/budrio/</t>
  </si>
  <si>
    <t>Municipality of Sassofeltrio</t>
  </si>
  <si>
    <t>Sinloc, Ener4com ESCO, Sani Zangrando law firm</t>
  </si>
  <si>
    <t>Alta Valle del Conca</t>
  </si>
  <si>
    <t>CER di Municipio VIII and the University of Rome 3</t>
  </si>
  <si>
    <t>ScuolaLiberaTutti NPO</t>
  </si>
  <si>
    <t>Municipio VIII, University of Rome 3</t>
  </si>
  <si>
    <t>Roma</t>
  </si>
  <si>
    <t>The entities have already decided that they will not redistribute the revenues among the individual users of the CER but will use them to finance educational projects for the benefit of all citizens. A collaboration agreement to be stipulated between the University, the Municipality, the CER and the organizations active in the territory will regulate everything .</t>
  </si>
  <si>
    <t>Almenno San Bartolomeo , Barzana, Bonate Sotto, Brembate Sopra, Calusco, Caprino, Carvico, Cisano, Lomagna, Mapello, Medolago, Monte Marenzo, Osnago, Paderno d'Adda, Paladina, Palazzago , Ponte San Pietro, Robbiate, Roncola , Sotto il Monte, Suisio, Terno d'Isola, Torre de' Busi, Verderio, Villa d'Adda.</t>
  </si>
  <si>
    <t>Cooperativa COAGRI</t>
  </si>
  <si>
    <t>Private (foundation grant, bank loans), Public (EU)</t>
  </si>
  <si>
    <t>https://www.sinloc.com/en/progetti/jessica-sardegna-implementation-of-an-energy-community-at-agri-food-wholesale-market-in-sestu/; https://energy4com.eu/progetti/; https://www.agromercatosardegna.it/unione-di-forze-per-lenergia-sostenibile-nasce-il-progetto-cer-via-del-sole/</t>
  </si>
  <si>
    <t>CER of the wholesale vegetabes and fruit market of Sardegna (largest market). Benefits estimated at around 3 million euros and a 20% reduction in energy costs for the approximately 70 market players. Project plans growing to 7 MW. Market consumes in morning, shopping center in evening thus maximizing profit by balancing becomes possible.</t>
  </si>
  <si>
    <t>Ener4com coop ESCO, Sinloc Spa, Legacoop, “La Corte del Sole” Shopping Centre (Domus de Janas owning company)</t>
  </si>
  <si>
    <t>CER PARMA 2030</t>
  </si>
  <si>
    <t>E'Nostra, Consiglio Nazionale delle Ricerche, dall’Università di Parma e dall’Azienda Unità Sanitaria Locale di Parma</t>
  </si>
  <si>
    <t>https://esg.nexteconomia.org/utente/c-e-r-parma-2030/; https://www.enostra.it/nasce-la-grande-cer-del-comune-di-parma/</t>
  </si>
  <si>
    <t>The Ljubljana Configuration , located in the city's district of the same name and promoted by the Municipality of Parma, will see the construction of a 224 kWp photovoltaic system , financed by the Cariparma Foundation, on the roof of the Albertelli-Newton Comprehensive Institute. The Campus Configuration , promoted by CNR and the University, will instead be powered by a 700 kWp photovoltaic system , financed by the CNR and which will be built on the site of the CNR-IMEM Institute within the Science and Technology Campus of the University of Parma. Plans to grow in capacity.</t>
  </si>
  <si>
    <t>Private (foundation grant, member equity), Public (region grant for feasibility)</t>
  </si>
  <si>
    <t>Public (1 prosumer 224 kwp [university/scientif institute], 1 standalone 700 kwp)</t>
  </si>
  <si>
    <t>La Pianticella</t>
  </si>
  <si>
    <t>Monastero S. Chiara</t>
  </si>
  <si>
    <t>Market (prosumer [market roof])</t>
  </si>
  <si>
    <t>17 consumers, 1 NPO  ([prosumer], church/monastery)</t>
  </si>
  <si>
    <t>https://esg.nexteconomia.org/utente/cer-la-pianticella/</t>
  </si>
  <si>
    <t>Associazione non Riconosciuta</t>
  </si>
  <si>
    <t>Alta Valle del Farfa</t>
  </si>
  <si>
    <t>Casaprota (RI)</t>
  </si>
  <si>
    <t>Cooperative</t>
  </si>
  <si>
    <t>Jesi</t>
  </si>
  <si>
    <t>Confindustria Ancona, Confcooperative Marche, Legacoop Marche, Anci Marche</t>
  </si>
  <si>
    <t>CER+Green</t>
  </si>
  <si>
    <t>Cer di Barberino Tavarnelle</t>
  </si>
  <si>
    <t>Firenze</t>
  </si>
  <si>
    <t>Comune di Barberino Tavarnelle</t>
  </si>
  <si>
    <t>Public (5 prosumers [66 kw school, 33 kw cemetry, 51 kw gym, 56kw nursery school, 62 kw primary school])</t>
  </si>
  <si>
    <t>https://esg.nexteconomia.org/utente/cer-di-barberino-tavarnelle/</t>
  </si>
  <si>
    <t>PV, e-charging planned</t>
  </si>
  <si>
    <t>CER di Borgo Val di Taro</t>
  </si>
  <si>
    <t>Comune di Borgo Val di Taro</t>
  </si>
  <si>
    <t>23 consumers, 7 prosumers</t>
  </si>
  <si>
    <t>Borgo Val di Taro</t>
  </si>
  <si>
    <t>CER Gualdo</t>
  </si>
  <si>
    <t>Gualdo Tadino</t>
  </si>
  <si>
    <t>https://www.comunisostenibili.eu/2024/11/07/presentata-la-cer-gualdo-comunita-energetica-a-gualdo-tadino-un-passo-verso-la-sostenibilita-e-lautosufficienza-energetica/</t>
  </si>
  <si>
    <t>Comune di Gualdo Tadino</t>
  </si>
  <si>
    <t>CER di Poggio Mirtero</t>
  </si>
  <si>
    <t>Comune di Poggio Mirteto</t>
  </si>
  <si>
    <t>Poggio Mirtero</t>
  </si>
  <si>
    <t>86 consumers, 7 prosumers</t>
  </si>
  <si>
    <t>https://esg.nexteconomia.org/utente/cer-di-cottanello/</t>
  </si>
  <si>
    <t>Cer di Quiliano e Vado Ligure</t>
  </si>
  <si>
    <t>Quiliano</t>
  </si>
  <si>
    <t xml:space="preserve">SMEs: MecPlast, See Art Hotel, Birrificio AltaVia, Vernazza Autogru. </t>
  </si>
  <si>
    <t>Tirreno Power as 3d-party producer. Municipality of Quiliano, Municipality of Vado Ligure</t>
  </si>
  <si>
    <t>4 SMEs [consumers], 3d party [prosumer, 2 roofs of thermo plant]</t>
  </si>
  <si>
    <t>The benefits intended for local authorities will be assigned through an agreement to the municipalities of Quiliano and Vado Ligure.</t>
  </si>
  <si>
    <t>https://esg.nexteconomia.org/utente/cer-di-quiliano-e-vado-ligure/; https://www.tirrenopower.com/Storia/la-condivisione-e-la-nuova-energia/; https://www.qualenergia.it/articoli/inaugurata-quiliano-vado-ligure-cer-piu-grande-italia/</t>
  </si>
  <si>
    <t>Comune di San Marcello Piteglio</t>
  </si>
  <si>
    <t>San Marcello Piteglio</t>
  </si>
  <si>
    <t>104 consumers, 27 prosumers</t>
  </si>
  <si>
    <t>Investment cost: €1,297,400. Regulation of redistribution of benefits:
Prosumer 45%
Consumer 45%
Management costs 10%</t>
  </si>
  <si>
    <t>Sinloc, Energy4com</t>
  </si>
  <si>
    <t>https://esg.nexteconomia.org/utente/cer-di-sal-marcello-piteglio/</t>
  </si>
  <si>
    <t xml:space="preserve">CER di Sal Marcello </t>
  </si>
  <si>
    <t>CER Energie Future</t>
  </si>
  <si>
    <t>Ancona</t>
  </si>
  <si>
    <t>30 consumers, 10 prosumers</t>
  </si>
  <si>
    <t>Investment cost: 52000 euro</t>
  </si>
  <si>
    <t>https://esg.nexteconomia.org/utente/cer-energie-future/</t>
  </si>
  <si>
    <t>Plan to grow in number of configurations. An economic benefit of 13,000 euros per year, for 20 years, has been foreseen.</t>
  </si>
  <si>
    <t>Legambiente 2022 report, https://esg.nexteconomia.org/utente/cer-green-blue-energy/</t>
  </si>
  <si>
    <t>Sovisma – Agenzia di sviluppo, Enel X, locale delle Madonie.</t>
  </si>
  <si>
    <t>13 SMEs and coops, 83 persons.</t>
  </si>
  <si>
    <t>https://energia.incooperazione.it/cer-in-trentino; https://greenland.tn.it/</t>
  </si>
  <si>
    <t>CER Guizzo di Energia</t>
  </si>
  <si>
    <t>https://www.guizzodienergia.it/</t>
  </si>
  <si>
    <t>Padova</t>
  </si>
  <si>
    <t>33 Residential</t>
  </si>
  <si>
    <t>https://esg.nexteconomia.org/utente/cer-i-care-reggio-emilia/</t>
  </si>
  <si>
    <t>Reggio Emilia</t>
  </si>
  <si>
    <t>27 Residential [22 consumers, 5 prosumers]</t>
  </si>
  <si>
    <t>Regulation of redistribution of benefits
the value of the energy fed into the grid is returned to the owners of the renewable energy plants, the value of the shared and incentivised energy is used to support families in energy poverty and in environmental projects</t>
  </si>
  <si>
    <t>Cer "I Care"</t>
  </si>
  <si>
    <t>Private citizens</t>
  </si>
  <si>
    <t>Fondazione di partecipazione</t>
  </si>
  <si>
    <t>Comune di Montevarchi</t>
  </si>
  <si>
    <t>Green Wolf srl, Gruppo SIM TEL</t>
  </si>
  <si>
    <t>Valdarno</t>
  </si>
  <si>
    <t>Private (members by equity crowdfunding)</t>
  </si>
  <si>
    <t>The financiers, or crowdfunders, will get a 4% return on investment</t>
  </si>
  <si>
    <t>MondoCer</t>
  </si>
  <si>
    <t>Mondovì (CN)</t>
  </si>
  <si>
    <t>https://unionemonregalese.it/2024/04/26/a-mondovi-nasce-la-comunita-energetica-mondocer/; https://esg.nexteconomia.org/utente/cer-mondocer/</t>
  </si>
  <si>
    <t>Private (foundation Cassa Risparmio Cuneo grant)</t>
  </si>
  <si>
    <t>Environment Park</t>
  </si>
  <si>
    <t>Fondazione Cassa Risparmio di Cuneo, Environment Park</t>
  </si>
  <si>
    <t>Professional Training Center at "Beila"</t>
  </si>
  <si>
    <t>Roero</t>
  </si>
  <si>
    <t>associazione riconosciuta</t>
  </si>
  <si>
    <t>Baldissero d'Alba, Bra, Canale, Castagnito, Castellinaldo, d'Alba, Corneliano d'Alba, Guarene, Magliano Alfieri, Montà, Montaldo Roero, Monteu Roero, Piobesi d'Alba, Pocapaglia, Priocca, Santa Vittoria d'Alba, Santo
Stefano Roero, Sommariva del Bosco, Sommariva Perno, Vezza d'Alba, Monticello d'Alba</t>
  </si>
  <si>
    <t>EU project - RECROSSES</t>
  </si>
  <si>
    <t>Private (foundations Cassa Risparmio Cuneo grant, Compagnia di San Paolo grant), Public (EU project)</t>
  </si>
  <si>
    <t>20 municipality members</t>
  </si>
  <si>
    <t>Cer Roseto Valfortore</t>
  </si>
  <si>
    <t>Roseto Valfortore (FG)</t>
  </si>
  <si>
    <t>Leasing from the energy company</t>
  </si>
  <si>
    <t>Creta Energie Speciali UniCalabria spin-off.</t>
  </si>
  <si>
    <t>Municipality, Friendly Power srl.</t>
  </si>
  <si>
    <t>Leasing from the Friendly Power srl.</t>
  </si>
  <si>
    <t>Plans to grow in capacity, and innovate creating microgrid. However, DSO bloked connection of further capacity for grid congestion reasons for a time-being.</t>
  </si>
  <si>
    <t>https://www.emiliaromagna.archiworld.it/wp-content/uploads/2023/10/Masterfile-Panel-3.pdf; https://www.pv-magazine.it/2023/08/29/crescono-gli-impianti-fotovoltaici-della-cer-di-roseto-valfortore/; https://wayback.archive-it.org/12090/20240323040459/https://rural-energy-community-hub.ec.europa.eu/document/download/b630e095-d38b-4507-8b09-eeb79445aa23_en?filename=Rural%20Energy%20Community%20Best%20Practice%20-%20Roseto%20Valfortore.pdf; http://95.110.227.90/rosetocomunitaenergetica/Contenuto.asp?pg=1&amp;ipg=5&amp;lg=1</t>
  </si>
  <si>
    <t>22 Public (municipality [13 kw prosumer/town hall, 7 kw another mun. building, 20 consumers]), 15 residential [consumers], 3 SMEs [consumer]</t>
  </si>
  <si>
    <t>San Lazzaro di Savena</t>
  </si>
  <si>
    <t>San Lazzaro di Savena (BO)</t>
  </si>
  <si>
    <t>Comune di San Lazzaro di Savena</t>
  </si>
  <si>
    <t>3 centri sociali Fiorenzo Malpensa, Annalena Tonelli e La Terrazza, al Circolo ARCI San Lazzaro e ai due centri di formazione professionale del territorio CEFAL e CNOS-FAP.</t>
  </si>
  <si>
    <t>https://www.comune.sanlazzaro.bo.it/argomenti/energie-rinnovabili/comunita-energetiche-e-gruppi-di-autoconsumo; https://esg.nexteconomia.org/utente/cer-san-lazzaro-di-savena/</t>
  </si>
  <si>
    <t>Energy poverty as a primary objective. The potential amount of shared energy, considering only these plants, will be equal to 656,292 kWh/year and the amount of avoided CO2 will be equal to 244 tons of CO2eq/year.</t>
  </si>
  <si>
    <t>Sant'Elia che energia!</t>
  </si>
  <si>
    <t>Brindisi (BR)</t>
  </si>
  <si>
    <t>E'Nostra</t>
  </si>
  <si>
    <t>E'Nostra, Municipality of Brindisi</t>
  </si>
  <si>
    <t>Public (EU project)</t>
  </si>
  <si>
    <t>Associazione ETS</t>
  </si>
  <si>
    <t xml:space="preserve">Legami di Comunità cooperative </t>
  </si>
  <si>
    <t>Public [30 kw prosumer/school], 19 consumers</t>
  </si>
  <si>
    <t>https://esg.nexteconomia.org/utente/cersantelia/; https://www.enostra.it/e-nata-a-brindisi-una-comunita-energetica-rinnovabile-con-obiettivi-sociali/</t>
  </si>
  <si>
    <t>Santeramo in Colle</t>
  </si>
  <si>
    <t>Santeramo In Colle (BA)</t>
  </si>
  <si>
    <t>Municipality of Santeramo</t>
  </si>
  <si>
    <t>https://www.enostra.it/nasce-la-comunita-energetica-di-santeramo-in-colle-ba/; https://esg.nexteconomia.org/utente/comunita-energetica-rinnovabile-santeramo-in-colle-ets/</t>
  </si>
  <si>
    <t>Energy poverty aim. E'nostra has then identified the families of the council houses near the school as potential members of the CER with a view to fighting energy poverty</t>
  </si>
  <si>
    <t>1 Public [prosumer/school], 5 SMEs [consumers/commercial], 20 residential [non-activated PODs]</t>
  </si>
  <si>
    <t>5 prosumers, 4 consumers, 39 Public (municipalities, other local authorities)</t>
  </si>
  <si>
    <t>Hservizi Spa, Bergamo Province</t>
  </si>
  <si>
    <t>https://esg.nexteconomia.org/utente/cer-di-udine/; https://energy4com.eu/progetti/; https://fondazionesinergia.it/; https://primamerate.it/attualita/la-cer-sinergia-cresce-e-si-presenta-ai-cittadini/</t>
  </si>
  <si>
    <t>Cer Antrodoco</t>
  </si>
  <si>
    <t>15 prosumers, 88 consumers</t>
  </si>
  <si>
    <t>Antrodoco</t>
  </si>
  <si>
    <t>PV 528 kw, biomass 100 kw</t>
  </si>
  <si>
    <t>University Sapienza,  Università di Camerino, Engreen s.r.l.</t>
  </si>
  <si>
    <t>Municipality Antrodoco</t>
  </si>
  <si>
    <t>https://esg.nexteconomia.org/utente/cerantrodoco/; https://engreen.world/en/rec-antrodoco-cera-comunita-energetica-rinnovabile/</t>
  </si>
  <si>
    <t>BolEnergia</t>
  </si>
  <si>
    <t>Bolotana (NU)</t>
  </si>
  <si>
    <t>Investment cost</t>
  </si>
  <si>
    <t>Associazione non riconosciuta</t>
  </si>
  <si>
    <t>31 Residential [10 consumers], 1 Public (municipality [prosumer/school]), 2 SMEs (commercial/non-users), 1 NPO (non-user)</t>
  </si>
  <si>
    <t>Technical indicators</t>
  </si>
  <si>
    <t>Energia totale prodotta
19.4 MWh
Energia totale immessa in rete
24.82 MWh
Energia totale incentivata/condivisa
5 MWh</t>
  </si>
  <si>
    <t>The benefits will go entirely to social activities for the area</t>
  </si>
  <si>
    <t>Legambiente 2022 report; https://esg.nexteconomia.org/utente/cer-common-light-associazione-ets/</t>
  </si>
  <si>
    <t>Total energy produced
22 MWh
Total energy fed into the grid
7.49 MWh
Total incentivized/shared energy
3.49 MWh</t>
  </si>
  <si>
    <t>Maiolo</t>
  </si>
  <si>
    <t>CER di Maiolo</t>
  </si>
  <si>
    <t>Comuna di Maiolo</t>
  </si>
  <si>
    <t>11 prosumers, 4 consumers</t>
  </si>
  <si>
    <t>Total energy produced
MWh
Total energy fed into the grid
252.9 MWh
Total incentivized/shared energy
6.8 MWh
Physical self-consumption
4.7 MWh</t>
  </si>
  <si>
    <t>Petralia Sottana (PA)</t>
  </si>
  <si>
    <t>Energie d'Alta Quota</t>
  </si>
  <si>
    <t>PV 376kw, hydro 15kw</t>
  </si>
  <si>
    <t>Total energy produced
600 MWh
Total energy fed into the grid
247 MWh
Total incentivized/shared energy
158 MWh</t>
  </si>
  <si>
    <t>Comune, private citizens</t>
  </si>
  <si>
    <t>1 Public, 79 Residential, 1 SME</t>
  </si>
  <si>
    <t>13 members in energy poverty</t>
  </si>
  <si>
    <t>https://esg.nexteconomia.org/utente/cer-energie-dalta-quota/</t>
  </si>
  <si>
    <t>Energia totale prodotta 50 MWh, 30% of which have been shared among the members. Almost 15 MW of virtual self-consumption</t>
  </si>
  <si>
    <t>actual self-consumption of solar energy consumed directly on site, generating an overall economic benefit of almost 15 thousand euros.</t>
  </si>
  <si>
    <t>Stat Cap IV miglio</t>
  </si>
  <si>
    <t>Total energy produced
97.65 MWh
Total energy fed into the grid
94.01 MWh
Total incentivized/shared energy
44.39 MWh</t>
  </si>
  <si>
    <t>Among the actions planned to be activated with the resources that will come from the incentives are: plastic collection with a specific delivery system, requalification of furniture in the parks of the territory (benches, planting of trees) environmental training activities, guided tours of the territory.</t>
  </si>
  <si>
    <t>STELLA ARAGONA</t>
  </si>
  <si>
    <t>Belpasso (CT)</t>
  </si>
  <si>
    <t>FEDERCER MEDITERRANEO</t>
  </si>
  <si>
    <t>https://esg.nexteconomia.org/utente/cer-stella-aragona/</t>
  </si>
  <si>
    <t>https://esg.nexteconomia.org/</t>
  </si>
  <si>
    <t>EGP srl</t>
  </si>
  <si>
    <t>Total energy fed into the grid
1,200 MWh
Total incentivized/shared energy
1,000 MWh
Physical self-consumption
300 MWh</t>
  </si>
  <si>
    <t>STIF-ONE</t>
  </si>
  <si>
    <t>PV 70kw, hydro 4kw</t>
  </si>
  <si>
    <t>Municipality of Narni</t>
  </si>
  <si>
    <t>Total energy produced
95 MWh
Total energy fed into the grid
86 MWh
Total incentivized/shared energy
86 MWh</t>
  </si>
  <si>
    <t>https://esg.nexteconomia.org/utente/cer-stif-one/</t>
  </si>
  <si>
    <t>University La Sapienza spin off Dream Srl</t>
  </si>
  <si>
    <t>1 prosumer, 374 consumers</t>
  </si>
  <si>
    <t>La Quercia - Viterbo</t>
  </si>
  <si>
    <t>Lomellina</t>
  </si>
  <si>
    <t>NOSenergia</t>
  </si>
  <si>
    <t>Toricella di Capoluogo</t>
  </si>
  <si>
    <t>Val Maremola</t>
  </si>
  <si>
    <t>Valle di Tevere</t>
  </si>
  <si>
    <t>Valledeilaghi</t>
  </si>
  <si>
    <t>Vallerano</t>
  </si>
  <si>
    <t>CERBER-MF</t>
  </si>
  <si>
    <t>Anzio Nettuno</t>
  </si>
  <si>
    <t>Cabiaglio</t>
  </si>
  <si>
    <t>Casal Brunori Aps</t>
  </si>
  <si>
    <t>De Pazzi</t>
  </si>
  <si>
    <t>CER di Lecco</t>
  </si>
  <si>
    <t>Rodello</t>
  </si>
  <si>
    <t>San Possidonio</t>
  </si>
  <si>
    <t>Illuminati Sabina</t>
  </si>
  <si>
    <t>Portuenze</t>
  </si>
  <si>
    <t>Quarticciolo</t>
  </si>
  <si>
    <t>CERSOLE A CINEST</t>
  </si>
  <si>
    <t>EMMAUS FOGGIA</t>
  </si>
  <si>
    <t>EUDECoop</t>
  </si>
  <si>
    <t>Noicer</t>
  </si>
  <si>
    <t>Oremo Energie Solidale</t>
  </si>
  <si>
    <t>VAL-Energetica SCaRL</t>
  </si>
  <si>
    <t>Coiano Solare APS</t>
  </si>
  <si>
    <t>https://esg.nexteconomia.org/utente/cer-la-quercia-viterbo-sud/</t>
  </si>
  <si>
    <t>Veterbo</t>
  </si>
  <si>
    <t>Torre Beretti</t>
  </si>
  <si>
    <t xml:space="preserve">Comune di Torre Beretti </t>
  </si>
  <si>
    <t>1 Public (municipality [prosumer/sport complex], 18 Residential [consumers]</t>
  </si>
  <si>
    <t>Total energy produced
28 MWh
Total energy fed into the grid
12 MWh
Total incentivized/shared energy
6 MWh</t>
  </si>
  <si>
    <t>https://esg.nexteconomia.org/utente/cerlomellina/</t>
  </si>
  <si>
    <t>Rumo</t>
  </si>
  <si>
    <t>Cassa Rurale Val di Non Rotaliana and Giov, Caseificio di Rumo</t>
  </si>
  <si>
    <t>https://esg.nexteconomia.org/utente/cer-nosenergia/</t>
  </si>
  <si>
    <t>Torricella In Sabina</t>
  </si>
  <si>
    <t>Municipality of Torricella in Sabina</t>
  </si>
  <si>
    <t>Total energy produced
73 MWh
Total energy fed into the grid
72.72 MWh
Total incentivized/shared energy
63.11 MWh</t>
  </si>
  <si>
    <t>https://esg.nexteconomia.org/utente/certorricellacapoluogo/</t>
  </si>
  <si>
    <t>Public (municipality,university, region)</t>
  </si>
  <si>
    <t>Public (region feasibility study)</t>
  </si>
  <si>
    <t>Public (EU Impetus, region feasibility study), Private</t>
  </si>
  <si>
    <t>Public (EU project, rergion feasibility study)</t>
  </si>
  <si>
    <t>https://www.enostra.it/nasce-la-cer-bolenergia-un-esempio-di-solidarieta-tra-cittadini/; https://www.viterbotoday.it/economia/comunita-energetiche-pubblicata-la-graduatoria-per-lo-studio-di-fattibilita.html</t>
  </si>
  <si>
    <t>60 consumers, 1 prosumer</t>
  </si>
  <si>
    <t>https://www.enostra.it/il-lazio-fa-il-pieno-di-cer-7-i-progetti-coordinati-da-enostra/; https://esg.nexteconomia.org/utente/cerromatre/</t>
  </si>
  <si>
    <t>2 Public (2 prosumers [university 3MW, school 15 kw]),  ? 23 [consumers]</t>
  </si>
  <si>
    <t>Pietra Ligure, Borgio Verezzi, Giustenice, Magliolo e Tovo san Giacomo</t>
  </si>
  <si>
    <t>Regulation of redistribution of benefits
40/40/20 redistribution model, minus management costs – 2 cents/kwh shared.
40 prosumer
40 consumer
20 social impact</t>
  </si>
  <si>
    <t>Total energy produced
320 MWh
Total energy fed into the grid
195 MWh
Total incentivized/shared energy
156 MWh</t>
  </si>
  <si>
    <t>Municiaplity</t>
  </si>
  <si>
    <t>Private (members),</t>
  </si>
  <si>
    <t>https://esg.nexteconomia.org/utente/cer-val-maremola/; https://www.ivg.it/2023/10/a-borgio-verezzi-la-prima-comunita-energetica-nel-savonese-abbattimento-dei-costi-e-sostenibilita-ambientale/#single-sidebar-share-anchor-fake</t>
  </si>
  <si>
    <t>Progetto 1998, PoliTorino</t>
  </si>
  <si>
    <t>? [15 prosumers], ? 85 [consumers]</t>
  </si>
  <si>
    <t>Total energy produced
164 MWh
Total energy fed into the grid
108 MWh
Total incentivized/shared energy
108 MWh</t>
  </si>
  <si>
    <t>Progetto Energheia, reconversion of a disused industrial site in Luserna San Giovanni. It is strange that founding utility became a member of CER, probably through its subsidiary APE Rinnovabili S.r.l. but still for the subsidiary making ECs is basically main activity. So, they violate CER legislation. Instead they should be CEC and not get premium from GSE. Regulation of redistribution of benefits
Mixed criterion: Fixed quota (power base) + Variable quota based on shared energy contribution. Plans to grow substntially to 2200 kw capacity.</t>
  </si>
  <si>
    <t>Torrita Tiberina</t>
  </si>
  <si>
    <t>Comune di Torrita Tiberina, private citizens</t>
  </si>
  <si>
    <t>https://esg.nexteconomia.org/utente/comunita-energetica-rinnovabile-valle-del-tevere/</t>
  </si>
  <si>
    <t>Regulation of redistribution of benefits
40% divided among all participants
60% in proportion to self-consumption</t>
  </si>
  <si>
    <t>Total energy fed into the grid
56 MWh
Total incentivized/shared energy
42 MWh</t>
  </si>
  <si>
    <t>7 prosumers, 13 consumers</t>
  </si>
  <si>
    <t>https://www.giornaletrentino.it/ambiente-ed-energia/nascono-le-cer-della-bassa-valsugana-e-della-valle-dei-laghi-1.3528249</t>
  </si>
  <si>
    <t xml:space="preserve"> Madruzzo, Vallelaghi, Cavedine, Dro and Drena</t>
  </si>
  <si>
    <t>Total energy produced
190 MWh
Total energy fed into the grid
35 MWh
Total incentivized/shared energy
80 MWh</t>
  </si>
  <si>
    <t>Public (region feasibiity study)</t>
  </si>
  <si>
    <t>1 Public [prosumer], 24 ? [consumers]</t>
  </si>
  <si>
    <t>https://esg.nexteconomia.org/utente/cer-vallerano/</t>
  </si>
  <si>
    <t>It is ISLAND</t>
  </si>
  <si>
    <t>Public (PNRR, EU project, region feasibility study). Private (members).</t>
  </si>
  <si>
    <t>Legambiente 2022 report; https://esg.nexteconomia.org/utente/cerventotene/; https://www.corriere.it/pianeta2020/21_ottobre_14/sull-isola-che-cattura-vento-nasce-prima-comunita-energetica-mediterraneo-elettricita-condivisa-9246b3c2-2ccd-11ec-88e3-c56da7ff1543.shtml; https://www.qualenergia.it/articoli/progettazione-europea-transizione-energetica-isole-minori-caso-ventotene/</t>
  </si>
  <si>
    <t>1 public (municipality [prosumer/port]), 3 SMEs (bar, hotel, supermarket [prosumers]), 41 Residential [11 prosumers, 29 consumers]</t>
  </si>
  <si>
    <t>Fiumicino (RM)</t>
  </si>
  <si>
    <t>Biodistretto Etrusco-Romano di Maccarese-Fregene</t>
  </si>
  <si>
    <t>Regulation of redistribution of benefits
The Statute (art.8) regulates the redistribution of benefits
50% to consumers and 50% to producers, with the possibility of reserving 20% ​​for social initiatives, protection of energy poverty and energy requalification.</t>
  </si>
  <si>
    <t>Total energy produced
53 MWh
Total energy fed into the grid
20 MWh
Total incentivized/shared energy
27 MWh</t>
  </si>
  <si>
    <t>1 Public (municipality [prosumer]), 2 SMEs (agricultural), 23 Residential</t>
  </si>
  <si>
    <t>https://esg.nexteconomia.org/utente/cerbermf/; https://www.cerber-fm.it/2024/01/associazione-cerber-fm.html#more</t>
  </si>
  <si>
    <t>Anzio</t>
  </si>
  <si>
    <t>Regulation of redistribution of benefits
15% in social utility projects</t>
  </si>
  <si>
    <t>Total energy fed into the grid
26 MWh
Total incentivized/shared energy
11.80 MWh</t>
  </si>
  <si>
    <t>https://esg.nexteconomia.org/utente/cers-anzio-nettuno/</t>
  </si>
  <si>
    <t>5 NPOs (1 church, 4 other NPOs [prosumers]), 15 Residential [consumers]</t>
  </si>
  <si>
    <t>Castello Cabiaglio</t>
  </si>
  <si>
    <t>Total energy produced
70.2 MWh
Total energy fed into the grid
54.3 MWh
Total incentivized/shared energy
32 MWh</t>
  </si>
  <si>
    <t>PV, plans for biomass</t>
  </si>
  <si>
    <t>https://reteperilclimadelverbano.it/wp-content/uploads/2024/10/CER-29ott24-rev-tp.pdf</t>
  </si>
  <si>
    <t>Luino, Castelveccana, Germignaga, Maccagno con Pino e Veddasca</t>
  </si>
  <si>
    <t>CER DEL LUINESE</t>
  </si>
  <si>
    <t>Comune, ANPCI (National Association of Small Municipalities of Italy)</t>
  </si>
  <si>
    <t>https://esg.nexteconomia.org/utente/cersbabiaglio/; https://rete-ries.it/soci/notizie-soci/co-energia-un-anno-di-incontri-sulle-cers/</t>
  </si>
  <si>
    <t xml:space="preserve">45 consumers, </t>
  </si>
  <si>
    <t>Private (foundation)</t>
  </si>
  <si>
    <t>Ecofficine</t>
  </si>
  <si>
    <t>CER-amica</t>
  </si>
  <si>
    <t>Laveno Mombello</t>
  </si>
  <si>
    <t xml:space="preserve"> associazione non riconosciuta</t>
  </si>
  <si>
    <t>2 prosumer, 23 consumer</t>
  </si>
  <si>
    <t>CER dei Laghi</t>
  </si>
  <si>
    <t>Travedona Monate</t>
  </si>
  <si>
    <t>Plans to grow</t>
  </si>
  <si>
    <t>1 Public [prosumer/school],  10 consumers, 9 Future prosumers</t>
  </si>
  <si>
    <t>1 Public [prosumer/park building], 22 consumers</t>
  </si>
  <si>
    <t>https://esg.nexteconomia.org/utente/cers-casal-brunori-aps/</t>
  </si>
  <si>
    <t>Total energy produced
14 MWh
Total energy fed into the grid
109.66 MWh
Total incentivized/shared energy
37.68 MWh</t>
  </si>
  <si>
    <t>Sun4All project</t>
  </si>
  <si>
    <t>Regulation of redistribution of benefits
The funds from the community facility are donated to the Educating Community, while those from private facilities are divided for the economic and social benefits of the CER</t>
  </si>
  <si>
    <t>Residential [5 prosumers, 12 consumers], 1 Standalone PV [producer]</t>
  </si>
  <si>
    <t>https://esg.nexteconomia.org/utente/cers-de-pazzi/</t>
  </si>
  <si>
    <t>Municipality of Lecco</t>
  </si>
  <si>
    <t>associazione ETS</t>
  </si>
  <si>
    <t xml:space="preserve">Plans to grow to all province Lecco municipalities installing 150 MW capacity. Most of the incentives produced by the Lecco Cers will be allocated to a Community Fund, established at the Community Foundation, and will be used to support local projects with social or environmental purposes. </t>
  </si>
  <si>
    <t>Lecco, other municiaplities in the Lecco provice</t>
  </si>
  <si>
    <t>https://primalecco.it/attualita/cer-di-lecco-ci-siamo-il-28-maggio-nasce-la-comunita-energetica-rinnovabile/; https://esg.nexteconomia.org/utente/cers-di-lecco/</t>
  </si>
  <si>
    <t>Fondazione Cariplo</t>
  </si>
  <si>
    <t>Private (foundation, feasibility study), Public (PNRR)</t>
  </si>
  <si>
    <t>Total energy produced
416.72 MWh</t>
  </si>
  <si>
    <t>The parish priest Don Valerio Pennaso was chosen as president. Regulation of redistribution of benefits
40% social purposes, the remaining part for investments to benefit the CER and/or to repay the investment of the members</t>
  </si>
  <si>
    <t>Santi Lorenzo and Teobaldo Foundation</t>
  </si>
  <si>
    <t>Rodello, Cerretto Langhe, Cravanzana</t>
  </si>
  <si>
    <t>Private (foundations), Public (PNRR)</t>
  </si>
  <si>
    <t>Municipality of Rodello, Municiaplity of Cerreto Langhe, Diocese of Alba, the parish of San Lorenzo, Sofein ESCo. Cassa Risparmio di Cuneo Fondazione. Fondazione Compagnia di San Paolo</t>
  </si>
  <si>
    <t>Comune di San Possidonio</t>
  </si>
  <si>
    <t>Total energy produced
64 MWh
Total energy fed into the grid
45 MWh
Total incentivized/shared energy
36 MWh</t>
  </si>
  <si>
    <t>Parroccchia San Possidonio, Pro loco Associazione</t>
  </si>
  <si>
    <t>1 Public (municipality [prosumers/20 kw sport center +18kw public building + 7kw cemetery), 2 NPOs (church, NPO [consumers]), 44 Residential [6 prosumers, 38 consumers].</t>
  </si>
  <si>
    <t xml:space="preserve">https://comunivirtuosi.org/wp-content/uploads/2024/11/San-Possidonio.pdf; https://esg.nexteconomia.org/utente/comunita-energetica-rinnovabile-di-san-possidonio/; https://www.settimanesociali.it/news/san-possidonio-mo-nasce-nasce-la-comunita-energetica-rinnovabile/; </t>
  </si>
  <si>
    <t>Will grow to include more private citizens and SMEs. Energy poverty focus. Regulation of redistribution of benefits
After deducting management costs, 60% of the incentives will go to producers and 40% to the community's consumer members in the form of shopping vouchers at the municipal service providers.</t>
  </si>
  <si>
    <t>Rieti</t>
  </si>
  <si>
    <t>Regulation of redistribution of benefits
To repay the members' financing in the first years, the revenue from the energy sold will be used to repay the investment. Until the internal and external financing is fully repaid, 80% of the incentives will be used to repay them, and the remaining 20% ​​will be placed in the CERS Savings Fund.</t>
  </si>
  <si>
    <t>Total energy produced
36 MWh
Total energy fed into the grid
31.31 MWh
Total incentivized/shared energy
18.21 MWh</t>
  </si>
  <si>
    <t>Public (region feasibility study, PNRR)</t>
  </si>
  <si>
    <t>https://esg.nexteconomia.org/utente/cersilluminatisabina/; https://attac-italia.org/e-nata-una-cers-i-primi-44-gatti-di-una-rivoluzione-energetica/; https://solho.eu/impianto-privato-cer-illuminati-sabina-ets/</t>
  </si>
  <si>
    <t>1 SME [prosumer/farm], 37 Residential [3 prosumers: 1 3,9kwp, 34 consumers], 7 non-users</t>
  </si>
  <si>
    <t>Polo Civico Esquilino Poléis</t>
  </si>
  <si>
    <t>https://esg.nexteconomia.org/utente/cers-polo-civico-esquilino/</t>
  </si>
  <si>
    <t>Total energy produced
75 MWh
Total energy fed into the grid
75 MWh
Total incentivized/shared energy
56 MWh</t>
  </si>
  <si>
    <t>1 NPO [prosumer], 69 Residential [consumers]</t>
  </si>
  <si>
    <t>Esquilino</t>
  </si>
  <si>
    <t>Total energy fed into the grid
23 MWh
Total incentivized/shared energy
8.5 MWh</t>
  </si>
  <si>
    <t>Energy poverty focused</t>
  </si>
  <si>
    <t>14 Residential [7 prosumers, 7 consumers]</t>
  </si>
  <si>
    <t>https://esg.nexteconomia.org/utente/stefano-lucidi/</t>
  </si>
  <si>
    <t>Cinecittà Bene Comune NPO</t>
  </si>
  <si>
    <t>Total energy produced
50 MWh
Total energy fed into the grid
35 MWh
Total incentivized/shared energy
40 MWh</t>
  </si>
  <si>
    <t>Quadraro Don Bosco</t>
  </si>
  <si>
    <t>2 NPOs [1 consumer/coop., 1 non-user], 18 Residential [consumers], 1 Public [prosumers/social center, school].</t>
  </si>
  <si>
    <t>https://comune-info.net/scuole-aperte/lenergia-del-nostro-quartiere/; https://esg.nexteconomia.org/utente/cersquadrarodonbosco/</t>
  </si>
  <si>
    <t>Municipio VII of Roma</t>
  </si>
  <si>
    <t>They are looking at ESG conscious PV and works suppliers. Support paid training projects for the unemployed and job placement and cultural projects.</t>
  </si>
  <si>
    <t>Total energy produced
87 MWh
Total energy fed into the grid
68 MWh
Total incentivized/shared energy
32 MWh</t>
  </si>
  <si>
    <t>support the maintenance and care of the common public spaces of the neighborhood</t>
  </si>
  <si>
    <t>Polo civico del Quarticciolo NPO</t>
  </si>
  <si>
    <t>University La Sapienza</t>
  </si>
  <si>
    <t>1 NPO [prosumer], 13 consumers</t>
  </si>
  <si>
    <t>https://esg.nexteconomia.org/utente/cersquarticciolo/; https://www.rse-web.it/wp-content/uploads/2024/09/Elaborazione-del-Modello-di-Piano-dazione-locale-per-le-CER-del-Modello-di-Piano-organizzativo-di-comunita-e-integrazione-della-risorsa-geotermica.pdf</t>
  </si>
  <si>
    <t>Anguillara Sabazia</t>
  </si>
  <si>
    <t>Total energy produced
133.53 MWh
Total energy fed into the grid
118.05 MWh
Total incentivized/shared energy
53.75 MWh</t>
  </si>
  <si>
    <t>ENEA, Comune</t>
  </si>
  <si>
    <t>Rinnovanguillara NPO, Solidarity Purchasing Group “AttivaAnguillaraGAS”,  Regina Pacis Parish</t>
  </si>
  <si>
    <t>https://www.cersanguillara.it/chi-siamo/; https://esg.nexteconomia.org/utente/cersrinnovaanguillara/; https://www.orticaweb.it/anguillara-verso-una-comunita-energetica-rinnovabile/</t>
  </si>
  <si>
    <t>RenewAnguillara APS</t>
  </si>
  <si>
    <t>Associazione di Promozione Sociale</t>
  </si>
  <si>
    <t>5 NPOs [prosumer/44,1kw church, consumers], 1 Public (municipality [prosumer/65,6kw agricultural consortium), 25 Residential [consumers]</t>
  </si>
  <si>
    <t>Total energy produced
90 MWh
Total energy fed into the grid
77 MWh
Total incentivized/shared energy
69 MWh
Physical self-consumption
30 MWh
Self-consumption index
110%
Self-sufficiency index
30%</t>
  </si>
  <si>
    <t>Total energy produced
25 MWh
Total energy fed into the grid
21.25 MWh
Total incentivized/shared energy
18 MWh</t>
  </si>
  <si>
    <t>50 Residential [5 prosumers, 45 consumers]</t>
  </si>
  <si>
    <t>Energia totale prodotta
164.5 MWh
Energia totale immessa in rete
154.4 MWh
Energia totale incentivata/condivisa
37 MWh</t>
  </si>
  <si>
    <t>Comitato di Quartiere Certosa, associazione A Sud</t>
  </si>
  <si>
    <t>Legambiente 2024 report; https://www.viterbotoday.it/economia/comunita-energetiche-pubblicata-la-graduatoria-per-lo-studio-di-fattibilita.html; https://esg.nexteconomia.org/utente/certosaenergia/; https://asud.net/wp-content/uploads/2023/12/report-cer.tosa_.pdf</t>
  </si>
  <si>
    <t>CER di Ravenna</t>
  </si>
  <si>
    <t>Ravenna</t>
  </si>
  <si>
    <t>Legacoop Romagna</t>
  </si>
  <si>
    <t>Leasing 3d party</t>
  </si>
  <si>
    <t>Energia totale prodotta
1.100 MWh
Energia totale immessa in rete
1.000 MWh
Energia totale incentivata/condivisa
979.98 MWh</t>
  </si>
  <si>
    <t>Public (region feasibility study), Leasing 3d party</t>
  </si>
  <si>
    <t>https://esg.nexteconomia.org/utente/comunita-energetica-cooperativa-ravenna/; https://legacoopromagna.it/2024/05/07/e-nata-comunita-energetica-cooperativa-ravenna-e-la-piu-grande-cer-cooperativa-ditalia/</t>
  </si>
  <si>
    <t>Enostra, Bryo Spa of Imola as 3d party producer.</t>
  </si>
  <si>
    <t>Bryo Spa, Diocense Church Authority</t>
  </si>
  <si>
    <t>https://www.bryo-spa.it/2024/10/22/nasce-la-prima-comunita-energetica-del-territorio-imolese-sotto-forma-di-cooperativa/</t>
  </si>
  <si>
    <t>CER del Nuovo Circondario Imolese</t>
  </si>
  <si>
    <t>Imola, Mordano, Castel San Pietro Terme</t>
  </si>
  <si>
    <t>The idea is to create by the end of 2024 a Memorandum of Bryo in the period 2024 – 2025 has set itself the goal of producing 7.2 Mw of new plants that enter energy community this also expanding EC to 7 configurations.Understanding open to all installers in the area, in terms of types of material to install, but above all uniform prices, so that a citizen who wants to proceed with a photovoltaic installation has some certain point of reference in terms of costs.  Public bodies, which by choice will not enter the CER, will have a role as developers and in making available the surfaces, for example parking lots or roofs of public structures, on which entities such as Bryo will then be able to build the systems serving the CER.</t>
  </si>
  <si>
    <t>Municipalities of the Imola district</t>
  </si>
  <si>
    <t>Cooperative of cooperatives. Plans to grow to 6 configurations/primary cabins covering whole area.</t>
  </si>
  <si>
    <t>9 NPOs (coops [consumers]), 3d party [standalone 1 MW]</t>
  </si>
  <si>
    <t>CER del Crinale</t>
  </si>
  <si>
    <t>Ramiseto</t>
  </si>
  <si>
    <t xml:space="preserve">The goal for the two-year period 2024-2025 is to install five photovoltaic systems at the companies associated with the second Energy Community (which will produce approximately 350 megawatt hours per year) and eight at the companies associated with the Dairy. </t>
  </si>
  <si>
    <t>https://www.prefina.it/proroga-bando-sostegno-comunita-energetiche-rinnovabili-2022/; https://www.redacon.it/2024/05/17/nasce-a-ramiseto-la-comunita-energetica-rinnovabile-del-crinale/</t>
  </si>
  <si>
    <t>Production of 276 MWh of energy per year</t>
  </si>
  <si>
    <t>Prefina srl ESCO (referente)</t>
  </si>
  <si>
    <t>CER dell’Appennino Reggiano</t>
  </si>
  <si>
    <t>Cavola, Toano</t>
  </si>
  <si>
    <t>Production of 690 MWh of energy per year</t>
  </si>
  <si>
    <t xml:space="preserve">12 SMEs (farms [8 prosumers each with one system, 4 consumers], 50 Residential [consumers]. </t>
  </si>
  <si>
    <t>Cna Reggio Emilia</t>
  </si>
  <si>
    <t>https://www.prefina.it/proroga-bando-sostegno-comunita-energetiche-rinnovabili-2022/; https://www.terredemilia.confcooperative.it/News/Notizie/il-caseificio-di-cavola-lancia-la-comunita-energetica-dappennino</t>
  </si>
  <si>
    <t>Torre Boldone</t>
  </si>
  <si>
    <t>CER Imotorre</t>
  </si>
  <si>
    <t>Total energy produced
4,000,000 MWh</t>
  </si>
  <si>
    <t>https://esg.nexteconomia.org/utente/comunita-energetica-torre-boldone/; https://www.cerimotorre.it/</t>
  </si>
  <si>
    <t>Comune di Torre Boldone</t>
  </si>
  <si>
    <t>Immotore srl, Lalus srl, Comunità Scuola Paolo VI coop.</t>
  </si>
  <si>
    <t>Minister arrived to visit them. Plants situated within one primary station thus I think only 1 MW will be incentivized. In the next few days, a colony of bees with approximately 40 hives will be placed along the photovoltaic rows, as well as crops specifically designed to encourage the pollination activity of nomadic bees. Finally, about a thousand shrubs will be planted along the perimeter of the photovoltaic park, in addition to new plantings between one row and another. Destiniamo il 5% dell'introito annuo della CER al Comune di Torre Boldone che li utilizzerà per il conseguimento di progetti sociali.</t>
  </si>
  <si>
    <t>Marsciano</t>
  </si>
  <si>
    <t>Via dei Partigiani</t>
  </si>
  <si>
    <t>1 Residential [prosumer], 3 SME [consumers]</t>
  </si>
  <si>
    <t>Prosumer obtains 52% of the revenues deriving from the MISE incentives, to which are added the benefits of direct self-consumption, while the remaining part of the incentives will be divided equally between the three Consumers</t>
  </si>
  <si>
    <t>https://esg.nexteconomia.org/utente/comunita-energetica-via-dei-partigiani/</t>
  </si>
  <si>
    <t>Private (residential member)</t>
  </si>
  <si>
    <t>Techne srl, Private citizen</t>
  </si>
  <si>
    <t>https://esg.nexteconomia.org/utente/emmaus-foggia/</t>
  </si>
  <si>
    <t>Foggia</t>
  </si>
  <si>
    <t>Private (foundaitons grant and donation)</t>
  </si>
  <si>
    <t>Comunità sulla Strada di Emmaus NPO</t>
  </si>
  <si>
    <t>Associazione APS</t>
  </si>
  <si>
    <t>One of ECs to which Edison Energhia donated PVs. Energy poverty focused.</t>
  </si>
  <si>
    <t>University of Foggia, COMMUNITY ON THE ROAD TO EMMAUS
EURICSE,
“SINISCALCO CECI-EMMAUS” FOUNDATION,
FORTORE ENERGIA SPA,
GANDALF SCS CONSORTIUM OF SOCIAL COOPERATIVES,
TERRA BIO AGRICULTURAL COMPANY A RL – SOCIAL ENTERPRISE.</t>
  </si>
  <si>
    <t>5 NPOs [prosumer/farm, consumers], 40 Residential [consumers]</t>
  </si>
  <si>
    <t>Total energy produced
50 MWh
Total energy fed into the grid
23 MWh
Total incentivized/shared energy
20 MWh</t>
  </si>
  <si>
    <t>CITERA Sapienza</t>
  </si>
  <si>
    <t>https://esg.nexteconomia.org/utente/eudecoop/; https://www.lazioinnova.it/innovazione-aperta/partner/eudecoop/</t>
  </si>
  <si>
    <t>EUDEcoop NPO</t>
  </si>
  <si>
    <t>Sun4All</t>
  </si>
  <si>
    <t>Public (15 prosumers/schools]</t>
  </si>
  <si>
    <t>https://sunforall.eu/pilots/rome</t>
  </si>
  <si>
    <t>Energy poverty focused. Energy share of at least 0.5 kW per year for each participating household, which will be credited on the participants’ energy bills and lead to a reduction of their actual energy costs.</t>
  </si>
  <si>
    <t>Sapienza University</t>
  </si>
  <si>
    <t>Call for involvment open to all entities of municipalities under the same cabin. The energy sold remains with the members who made the investment. The energy self-consumed virtually receives GSE incentive that goes to CER.</t>
  </si>
  <si>
    <t>Total energy fed into the grid
310 MWh
Total incentivized/shared energy
140 MWh</t>
  </si>
  <si>
    <t>Public (EU "Rural Energy Community Advisory Hub", Private (sector association freasiblity study grant -Federazione Trentina della Cooperazione )</t>
  </si>
  <si>
    <t>https://www.alpinvision.it/koncert/; https://energia.incooperazione.it/it/news/la-comunita-energetica-koncert-cresce-e-diventa-impresa-sociale-con-lo-sguardo-diretto-a-un-futuro-sostenibile; https://esg.nexteconomia.org/utente/koncert/</t>
  </si>
  <si>
    <t>Residential, SMEs, Public,  51 consumers, 7 prosumers, 82 non-user members</t>
  </si>
  <si>
    <t>Alpinvision srl of Mattia Dallapiccola and Alessia Cornella</t>
  </si>
  <si>
    <t>Cerveteri</t>
  </si>
  <si>
    <t>Noinet Cooperative</t>
  </si>
  <si>
    <t>Total energy produced
26.5 MWh
Total energy fed into the grid
5 MWh
Total incentivized/shared energy
5 MWh</t>
  </si>
  <si>
    <t>https://esg.nexteconomia.org/utente/noicer/</t>
  </si>
  <si>
    <t>Comune, University of Sapienza</t>
  </si>
  <si>
    <t>Residential [12 consumers, 25 prosumers]</t>
  </si>
  <si>
    <t>Biella</t>
  </si>
  <si>
    <t>PV, e-mobility</t>
  </si>
  <si>
    <t>Private (foundations grants)</t>
  </si>
  <si>
    <t>EpC – Energie per Comunità ESCO spin off of CGM and Fratello Sole, Fondazione Cassa di Risparmio di Biella, Fondazione Compagnia di San Paolo, Confcooperative Piemonte Nord</t>
  </si>
  <si>
    <t>E-mobility already functioning. Plans to expand to 700 kwp. Regulation of redistribution of benefits
90% distribution of incentives to families
10% distributed to CERS members as services
As regards the revenue due to the sale of energy, in this phase it will be left to the producer and prosumer members</t>
  </si>
  <si>
    <t>https://csvnet.it/component/content/article/144-notizie/5052-a-biella-nasce-oremo-la-prima-comunita-energetica-con-il-contributo-del-csv?Itemid=893&amp;fbclid=IwZXh0bgNhZW0CMTAAAR2P5UCdDni6az-Q4PV8dVxYF6gBiZqdJf62O5wcSZwLhK4iCA6gLWgEK7c_aem_IjJjhflr_SMDPZcb_hOIYw; https://esg.nexteconomia.org/utente/oremo-energia-solidale/; https://cgm.coop/cer-oremo-auto-elettrica/</t>
  </si>
  <si>
    <t>Cooperativa (Società Cooperativa di Impresa Sociale)</t>
  </si>
  <si>
    <t>4 coops (Consorzio Sociale Il Filo da Tessere, the Cooperativa Sociale Domus Laetitiae, the Cooperativa Sociale Sportivamente and the Cooperativa Sociale Tantintenti) that manage Cascina Oremo educational center, on which roof 200 kw was built.</t>
  </si>
  <si>
    <t>University of Siena</t>
  </si>
  <si>
    <t>Siena 2 Committee, Archdiocese of Siena</t>
  </si>
  <si>
    <t>Public (PNRR), Private (bank loans)</t>
  </si>
  <si>
    <t>3500 (for 75 kw)</t>
  </si>
  <si>
    <t>4200 (for 75 kw)</t>
  </si>
  <si>
    <t>150000 (for 75 kw)</t>
  </si>
  <si>
    <t>Total energy fed into the grid for 75 kw:
3 MWh
Total incentivized/shared energy
2 MWh
Physical self-consumption
2.5 MWh</t>
  </si>
  <si>
    <t>Energy poverty focused. BILL REDUCTION FOR SELF-CONSUMPTION OF PRODUCERS, INCENTIVE SPLIT BETWEEN OPERATING COSTS AND THE RESIDUAL AMOUNT 40% PRODUCERS 60% CONSUMERS. Plans to grow. To manage energy flows within Siena CER, AI SUMMA project proposes the adoption of federated reinforcement learning models, capable of stabilizing distribution curves and optimizing the use of renewable energy. The developed algorithms will maximize the use of renewable energy and ensure the reliability of the energy production and distribution system in the primary distribution cabins, where CERs operate. The two companies have also registered their employees, 150 and 20 respectively, in the Energy Community, thus allowing these families to participate in the energy benefits, even if they are not residents in the territory of cabin 491.</t>
  </si>
  <si>
    <t>Siena, Monteriggioni, Castelnuovo Berardenga, Castellina in Chianti, More di cuna, Ponte a Tressa, Isola d'Arbia, Renaccio area, Taverne d'Arbia, Casetta, Le Cortine, Ruffolo, Viale Europa, Montalbuccio, Costafabbri, Cerchiaia, Massetana Romana, Volte Basse, Volte Alte, S.Andrea, Carpineto</t>
  </si>
  <si>
    <t>https://www.pv-magazine.it/2024/11/26/la-cer-di-siena-e-in-espansione/; https://sienafree.it/164553-sienaenergie-la-comunita-energetica-rinnovabile-con-maggior-potenza-fotovoltaica-in-toscana; https://www.pv-magazine.it/2024/11/26/la-cer-di-siena-e-in-espansione/; https://esg.nexteconomia.org/utente/sienaenerge-ets/; https://www.sienaenergie.it/2024/09/23/le-ultime-novita/</t>
  </si>
  <si>
    <t>200 Residentials [135 non-user members, 65 consumers], NPOs (coops, churches, env. NPOs [non-user members]), Public (municipalities, university [non-user members]), SMEs (standalone 760 kw, prosumer/industrial 60 kwp, prosumer 10 kw, prosumer 27 kw).</t>
  </si>
  <si>
    <t>SIENAENERGIE ETS</t>
  </si>
  <si>
    <t>https://esg.nexteconomia.org/utente/cerpartenergy/</t>
  </si>
  <si>
    <t>COM-E' San Vito</t>
  </si>
  <si>
    <t>461000 (for 3848 kw plans)</t>
  </si>
  <si>
    <t>417000 (for 3848 kw plans)</t>
  </si>
  <si>
    <t>Total energy produced (for 3848 kw plans): 4.713.61 MWh</t>
  </si>
  <si>
    <t>3650000 (for 3848 kw plans)</t>
  </si>
  <si>
    <t>Plans to grow considerably, already acquired land for building 3 MW plant standalone solar.</t>
  </si>
  <si>
    <t>Omnia Energy energy generator, Municipalities of Valvasone Arzene, Casarsa della Delizia and San Martino al Tagliamento</t>
  </si>
  <si>
    <t>Leasing 3-party provider</t>
  </si>
  <si>
    <t>3-d party standalone 750 kw</t>
  </si>
  <si>
    <t>CER di Monfalcone</t>
  </si>
  <si>
    <t>Monfalcone</t>
  </si>
  <si>
    <t>https://www.ilpiccolo.it/cronaca/maxi-parco-fotovoltaico-ai-piedi-del-carso-a-monfalcone-x5pq4wac</t>
  </si>
  <si>
    <t>Public (region, PNRR)</t>
  </si>
  <si>
    <t>Public (municipality [prosumer/town hall 26,1 kw, prosumer/firefighters 33,5 kw + BESS], standalone/parking 156,7 kw)</t>
  </si>
  <si>
    <t>San Vito al Tagliamento</t>
  </si>
  <si>
    <t>CER di San Vito di Leguzzano</t>
  </si>
  <si>
    <t>San Vito di Leguzzano</t>
  </si>
  <si>
    <t>WATT srls</t>
  </si>
  <si>
    <t>https://www.watt.srl/fotovoltaico/le-cer-in-pratica-un-impianto-a-s-vito-di-leguzzano-vi/</t>
  </si>
  <si>
    <t>Part-Energy Benefit Coop. (similar in a way to For Green spa. But without utility activities)</t>
  </si>
  <si>
    <t>Sol Solari e Solidali (ex La Rotonda)</t>
  </si>
  <si>
    <t>1 NPO (office, prosumer), 39 Residentials [consumers]</t>
  </si>
  <si>
    <t>Municipality, Fondazione AEM, NextEnergy Foundation.</t>
  </si>
  <si>
    <t>Private (foundation grant)</t>
  </si>
  <si>
    <t>Personal communication, https://esg.nexteconomia.org/utente/sol-solari-e-solidali/; https://larotonda.org/upload/documenti/1/15/153/1537.pdf</t>
  </si>
  <si>
    <t>Total energy produced 93.29 MWh, Total energy fed into the grid 64 MWh, Total incentivized/shared energy 69.5 MWh, Energia eccedente l’autoconsumo diretto e immessa in rete: 75,71% Energia condivisa dalle 20 famiglie inizialmente associate alla C.S.E.R. (circa 1200 kWh all’anno per famiglia): 25,24%</t>
  </si>
  <si>
    <t>Baranzate</t>
  </si>
  <si>
    <t>Total energy produced
280 MWh
Total energy fed into the grid
154.28 MWh
Total incentivized/shared energy
150 MWh</t>
  </si>
  <si>
    <t>Sun Fai</t>
  </si>
  <si>
    <t>Private (members)</t>
  </si>
  <si>
    <t>https://esg.nexteconomia.org/utente/sun-fai-cers/; GSE portal; https://sun-fai.org/dist/about/</t>
  </si>
  <si>
    <t>1 SME [prosumer 240kw], Residential [prosumer 4kw, [consumers])</t>
  </si>
  <si>
    <t>Private (members, equity crowdfunding)</t>
  </si>
  <si>
    <t>Regulation of redistribution of benefits: 60% redistributed, 40% social benefits (40% of the incentives will be allocated to energy poverty based on indications from the first listening centre in collaboration with social services). Plans to grow and help building other CERs, etc. New plants connection is being in the streamline.</t>
  </si>
  <si>
    <t>Frassineto</t>
  </si>
  <si>
    <t>S.c.a.r.l. (Societa cooperativa se a responsabilità limitata)</t>
  </si>
  <si>
    <t>Regulation of redistribution of benefits
The distribution of the fee paid by GSE takes place in equal shares for each member, and the other half is divided according to consumption.</t>
  </si>
  <si>
    <t>Total energy fed into the grid 4.5 MWh, Total incentivized/shared energy 2 MWh, Self-sufficiency index 27%</t>
  </si>
  <si>
    <t>https://esg.nexteconomia.org/utente/val-energetica-scarl/</t>
  </si>
  <si>
    <t>10 Residential [prosumer 5kw, 9 consumers]</t>
  </si>
  <si>
    <t>https://esg.nexteconomia.org/utente/cerchia/</t>
  </si>
  <si>
    <t>Regulation of redistribution of benefits
we think that the redistribution will be linked to the kWh actually consumed</t>
  </si>
  <si>
    <t>Total energy produced
94.8 MWh
Total energy fed into the grid
77.1 MWh
Total incentivized/shared energy
14.4 MWh</t>
  </si>
  <si>
    <t>Soriano nel Cimino</t>
  </si>
  <si>
    <t>Chia - La cerchia</t>
  </si>
  <si>
    <t>Residential [13 prosumers, 8 consumers]</t>
  </si>
  <si>
    <t>Rocca Priora</t>
  </si>
  <si>
    <t>https://esg.nexteconomia.org/utente/caianosolare/</t>
  </si>
  <si>
    <t>Energia totale prodotta
209.18 MWh
Energia totale immessa in rete
168.82 MWh
Energia totale incentivata/condivisa
31.17 MWh</t>
  </si>
  <si>
    <t>Private (members), Public (region feasibility study)</t>
  </si>
  <si>
    <t>16 prosumers, 21 consumers, 2 NPOs (church, coop.), SMEs</t>
  </si>
  <si>
    <t>Plans to grow to several hundreds kwt on the roof of cooperative in the future.</t>
  </si>
  <si>
    <t>Enostra, Comune, Parish of San Giuseppe Artigiano,  Vivere Insieme Cooperative</t>
  </si>
  <si>
    <t>DruentoinCERchio</t>
  </si>
  <si>
    <t>Druento</t>
  </si>
  <si>
    <t>Fondazione Compagnia di San Paolo</t>
  </si>
  <si>
    <t>Shared energy 39,1 MWh/year, produced energy 638 MWh/year</t>
  </si>
  <si>
    <t>https://sinergiecondivise.it/comunita-energetiche-rinnovabili/</t>
  </si>
  <si>
    <t>Alpignano</t>
  </si>
  <si>
    <t>Alpignano energia in comune</t>
  </si>
  <si>
    <t>Energy produced 2013,96 MWh/year, shared energy 42,01 MWh/year</t>
  </si>
  <si>
    <t>CER Cambiano</t>
  </si>
  <si>
    <t>Cambiano</t>
  </si>
  <si>
    <t>Energy produced 5567 MWh/year, shared energy 1961 MWh/year</t>
  </si>
  <si>
    <t>Valsesia</t>
  </si>
  <si>
    <t>Gattinara</t>
  </si>
  <si>
    <t>Energy produced 3338 MWh/year, shared energy 530 MWh/year</t>
  </si>
  <si>
    <t>Dora5Laghi</t>
  </si>
  <si>
    <t>Borgofranco d'Ivrea, Burolo, Chiaverano, Lessolo, Montalto Dora, Quassolo, Quincinetto</t>
  </si>
  <si>
    <t>Energy produced 206 MWh/year, shared energy MWh/year</t>
  </si>
  <si>
    <t>Mirafiori</t>
  </si>
  <si>
    <t>Torino</t>
  </si>
  <si>
    <t>Energy produced 184 MWh/year, shared energy 54,2 MWh/year</t>
  </si>
  <si>
    <t>Piccoli</t>
  </si>
  <si>
    <t>Carigna</t>
  </si>
  <si>
    <t>Energy produced 432,18 MWh/year, shared energy 379,46 MWh/year</t>
  </si>
  <si>
    <t>https://sinergiecondivise.it/comunita-energetiche-rinnovabili/; https://esg.nexteconomia.org/utente/cer-roero/; https://www.ceroero.it/</t>
  </si>
  <si>
    <t>Produced energy  1081,28 MWh/year. Shared energy 533,03 MWh/year</t>
  </si>
  <si>
    <t xml:space="preserve">CER tra i comuni di Balangero e Corio </t>
  </si>
  <si>
    <t>Balangero</t>
  </si>
  <si>
    <t>Energy produced 1411 MWh/year, shared energy 233 MWh/year</t>
  </si>
  <si>
    <t>Legambiente 2024 report; https://sinergiecondivise.it/comunita-energetiche-rinnovabili/</t>
  </si>
  <si>
    <t>Vidraacco</t>
  </si>
  <si>
    <t>Viddracco</t>
  </si>
  <si>
    <t>Energy produced 44,31 MWh/year, shared energy 39,8 MWh/year</t>
  </si>
  <si>
    <t>Beinasco</t>
  </si>
  <si>
    <t>Energy produced 382 MWh/year, shared energy 306 MWh/year</t>
  </si>
  <si>
    <t>Grugliasco</t>
  </si>
  <si>
    <t>Energy produced 359,95 MWh/year, shared energy 44,36 MWh/year</t>
  </si>
  <si>
    <t>Pinerolese</t>
  </si>
  <si>
    <t>Coopertiva</t>
  </si>
  <si>
    <t>Energy produced 8152,6 MWh/year, shared energy 1816 MWh/year</t>
  </si>
  <si>
    <t>Reale</t>
  </si>
  <si>
    <t>Venaria Reale</t>
  </si>
  <si>
    <t>Energy produced 593 MWh/year, shared energy 63,2 MWh/year</t>
  </si>
  <si>
    <t>CER di Leini</t>
  </si>
  <si>
    <t>Leini</t>
  </si>
  <si>
    <t>Energy produced 143 MWh/year, shared energy 61,9 MWh/year</t>
  </si>
  <si>
    <t>CER di Avigliana</t>
  </si>
  <si>
    <t>Avigliana</t>
  </si>
  <si>
    <t>Energy produced 219,35 MWh/year, shared energy 3,56 MWh/year</t>
  </si>
  <si>
    <t>CER di Verbania</t>
  </si>
  <si>
    <t>Verbania</t>
  </si>
  <si>
    <t>Energy produced 754,93 MWh/year, shared energy 231,8 MWh/year</t>
  </si>
  <si>
    <t>CER di Vercellese</t>
  </si>
  <si>
    <t>Vercelesse di San Germano, Crova, Olcenengo</t>
  </si>
  <si>
    <t>Energy produced 275 MWh/year, shared energy MWh/year</t>
  </si>
  <si>
    <t>CER Pinerolo</t>
  </si>
  <si>
    <t>Pinerolo</t>
  </si>
  <si>
    <t>Energy produced 914 MWh/year, shared energy 100,2 MWh/year</t>
  </si>
  <si>
    <t>Per dare Energia</t>
  </si>
  <si>
    <t>Cervasca</t>
  </si>
  <si>
    <t>Energy produced 232 MWh/year, shared energy 99 MWh/year</t>
  </si>
  <si>
    <t>Energia pulita e condivisa</t>
  </si>
  <si>
    <t>Carcoforo</t>
  </si>
  <si>
    <t>Energy produced 48,67 MWh/year, shared energy 10,96 MWh/year</t>
  </si>
  <si>
    <t>Energie Comunitarie</t>
  </si>
  <si>
    <t>Energy produced 193 MWh/year, shared energy 155 MWh/year</t>
  </si>
  <si>
    <t>Energie per la Comunita</t>
  </si>
  <si>
    <t>Saint Marcel</t>
  </si>
  <si>
    <t>Energy produced 3881 MWh/year, shared energy 1906 MWh/year</t>
  </si>
  <si>
    <t>EnerStura</t>
  </si>
  <si>
    <t>Energy produced 346 MWh/year, shared energy 154 MWh/year</t>
  </si>
  <si>
    <t>FERVORES</t>
  </si>
  <si>
    <t>Pont Canavese</t>
  </si>
  <si>
    <t>Energy produced 385,14 MWh/year, shared energy 308,31 MWh/year</t>
  </si>
  <si>
    <t>HELIOS</t>
  </si>
  <si>
    <t>Ozzano Monferrato, Rosignano Monfratto</t>
  </si>
  <si>
    <t>Energy produced 688,09 MWh/year, shared energy 315,28 MWh/year</t>
  </si>
  <si>
    <t>Insieme per la tutela dell'ambiente</t>
  </si>
  <si>
    <t>La scuola che accende la citta</t>
  </si>
  <si>
    <t>Nichelino</t>
  </si>
  <si>
    <t>Energy produced 142 MWh/year, shared energy 4,23 MWh/year</t>
  </si>
  <si>
    <t>La communita energetiche per una Collegno inclusiva</t>
  </si>
  <si>
    <t>Collegno</t>
  </si>
  <si>
    <t>Energy produced 180,03 MWh/year, shared energy 87,61 MWh/year</t>
  </si>
  <si>
    <t>Li.Fe. Rinnovabile</t>
  </si>
  <si>
    <t>Livorno Ferrais</t>
  </si>
  <si>
    <t>Energy produced 1419 MWh/year, shared energy 248 MWh/year</t>
  </si>
  <si>
    <t>MA.CA.DO</t>
  </si>
  <si>
    <t>Magliano Alpi</t>
  </si>
  <si>
    <t>Societa consortile</t>
  </si>
  <si>
    <t>Energy produced 1118,62 MWh/year, shared energy 218,2 MWh/year</t>
  </si>
  <si>
    <t>Meno consumi piu energia pulita</t>
  </si>
  <si>
    <t>Pertusio</t>
  </si>
  <si>
    <t>Total energy produced
402 MWh
Total energy fed into the grid 247 MWh, Total incentivized/shared energy 169 MWh, Shared Energy Rate 78%.</t>
  </si>
  <si>
    <t>Progresso, unione ed ecologismo</t>
  </si>
  <si>
    <t>Vidracco</t>
  </si>
  <si>
    <t>SANGANO ENERGIA COMUNE</t>
  </si>
  <si>
    <t>Sangano, Bruino, Rivalta di Torino</t>
  </si>
  <si>
    <t>Energy produced 1400 MWh/year, shared energy 301 MWh/year</t>
  </si>
  <si>
    <t>Carmagnola</t>
  </si>
  <si>
    <t>Energy produced 64 MWh/year, shared energy 5,43 MWh/year</t>
  </si>
  <si>
    <t>Verso l'autosufficienza energetica</t>
  </si>
  <si>
    <t>Villar Pellice</t>
  </si>
  <si>
    <t>Energy produced 196,03 MWh/year, shared energy 71,84 MWh/year</t>
  </si>
  <si>
    <t>Viarigi</t>
  </si>
  <si>
    <t>Viarigi rinnovabile</t>
  </si>
  <si>
    <t>Energy produced 92,8 MWh/year, shared energy 1,8 MWh/year</t>
  </si>
  <si>
    <t>PV, biomass, hydro</t>
  </si>
  <si>
    <t>Comune di Sangano-Bruino-Rivalta di Torino</t>
  </si>
  <si>
    <t>Comune di Saint-Marcel</t>
  </si>
  <si>
    <t>Unione Montana Valle Stura</t>
  </si>
  <si>
    <t>Comune di Avigliana</t>
  </si>
  <si>
    <t>Comune di Ozzano Monferrato</t>
  </si>
  <si>
    <t>Associazione riconosciuta</t>
  </si>
  <si>
    <t>Comune di Balangero</t>
  </si>
  <si>
    <t>Comune di Livorno Ferraris</t>
  </si>
  <si>
    <t>Comune di Beinasco</t>
  </si>
  <si>
    <t>Comune di Vidracco</t>
  </si>
  <si>
    <t>Comune di Verbania</t>
  </si>
  <si>
    <t>Comune di Alpignano</t>
  </si>
  <si>
    <t>Comune di Cambiano</t>
  </si>
  <si>
    <t>Unione Montana Valli Orco e Soana</t>
  </si>
  <si>
    <t>Comune di Venaria Reale</t>
  </si>
  <si>
    <t>Comune di Collegno</t>
  </si>
  <si>
    <t>Comune di Viarigi</t>
  </si>
  <si>
    <t>Comune di Borgofranco d'Ivrea</t>
  </si>
  <si>
    <t>SOL.E. (Solidarietà Energetiche)</t>
  </si>
  <si>
    <t>Comune di San Germano Vercellese</t>
  </si>
  <si>
    <t>Comune di Grugliasco</t>
  </si>
  <si>
    <t>Comune di Villar Pellice</t>
  </si>
  <si>
    <t>Comune di Carcoforo</t>
  </si>
  <si>
    <t>Comune di Nichelino</t>
  </si>
  <si>
    <t>Comune di Quarona</t>
  </si>
  <si>
    <t>Comune di Scarmagno</t>
  </si>
  <si>
    <t>Candia Canavese, San Giusto Canavese e Foglizzo</t>
  </si>
  <si>
    <t>Comune di Ozegna</t>
  </si>
  <si>
    <t>Comune di Issiglio</t>
  </si>
  <si>
    <t>13 Public (7 schools [2 standalone 20kw+60kw, 3 prosumers 20kw+60kw+60kw, 2 consumers], 1 office [standalone 50kw], 2 social centers [2 prosumers 10kw+30kw], 2 sport complexes [1 prosumer 82kw, 1 consumer], cemetery [prosumer 30kw]), 1 SME [1 prosumer 20kw].</t>
  </si>
  <si>
    <t>Comune di Druente</t>
  </si>
  <si>
    <t>12 Public (public space [standalone 600 kw], office [standalone 100kw], 2 sport complex [1 prosumer 200kw, 1 consumer], 4 public lightening [4 consumers], 4 schools [2 prosumers 200kw +100kw, 2 consumers]), 6 Residential (public condominiums [5 prosumers 60kw+60kw+60kw+70kw+70kw, 1 consumer]], 1 SME (office [1 prosumer 50kw])</t>
  </si>
  <si>
    <t>3d party producer [standalone 3256kw], 8 Public (1 library [1 prosumer 20kw], 1 theater [1 prosumer 20kw], town hall [prosumer 20kw], 1 hospital [1 consumer], 4 schools[4 consumers]), 7 SMEs [2 prosumers 100kw+493kw, 5 consumers], 1 Residential (private condominium [prosumer 30 kw])</t>
  </si>
  <si>
    <t>133 Publc  (9 sport complexes [1 prosumer 30kw, 8 consumers], 20 town halls [6 prosumers 5 kw+5kw+5kw+5kw+5kw+50kw, 14 consumers], 27 schools [3 prosumers 9,7kw+20kw+20kw, 23 consumers], hospitals [6 consumers], theaters [3 consumers], libraries [6 consumers], museums [5 consumers] ,philarmony [1 consumer], dance halls [3 consumers], archives [2 consumer],  canteen [1 consumer], casarma [1 consumer], unemployment office [1 consumer], firefigthers [1 consumer], tourist centers [2 consumer], park [1 consumer], public lightening [13 consumer], semaforo [1 consumer], cemeteries [6 consumers]), NPOs (offices [7 consumer], churches [6 consumers]), Residential (public and private condominiums, private houses, elder house [12 consumers]), SMEs (commercial/restaurants [2 consumers]).</t>
  </si>
  <si>
    <t>21 Public (3 standalone 800kw+800kw+800kw, sport complexes [5 consumers], hospital [1 consumer], social center [1 consumer], schools [4 consumers], others [7 consumers]), 4 NPOs [offices [3 consumers], churches [1 consumer]), 3 SMEs (commercial/supermarket,stores [3 consumers]), 1 Residential (social house [1 consumer])</t>
  </si>
  <si>
    <t>6 NPOs (social enterprise [1 standalone 50 kw, 1 consumer], churches [1 prosumer 78kw, 4 consumers], coop. office [1 consumer], foundation office [1 consumer]), 3 Residential (private houses [3 consumers])</t>
  </si>
  <si>
    <t>Orti Generali (Associazione ETS/NPO)</t>
  </si>
  <si>
    <t>Fondazione Valsesia/NPO</t>
  </si>
  <si>
    <t>26 Public (1 standalone 997kw, commercial/market [1 consumer], elderly center [1 consumer], cemetery [3 consumers], town hall [1 consumer], hospital [1 consumer], warehouse [1 consumer], others [4 consumers], semaforo [4 consumers], public lightening [5 consumers], schools [4 consumers]), 19 Residential [19 consumers]).</t>
  </si>
  <si>
    <t>Compagnia di San Paolo Fondazione, municipality</t>
  </si>
  <si>
    <t>Parrocchia Santa Famiglia di Nazaret/church</t>
  </si>
  <si>
    <t>https://esg.nexteconomia.org/utente/cersrodello/; https://www.chiesaoggi.com/comunita-energetica-rinnovabile-a-rodello/; https://www.gazzettadalba.it/2023/05/costituita-la-prima-comunita-energetica-ed-e-anche-solidale/; https://www.instagram.com/cers_rodello/; https://sinergiecondivise.it/utenti-cer/</t>
  </si>
  <si>
    <t>2 SMEs (commercial/supermarket [prosumer 20kw, prosumer 20kw]), 9 Residential (private [1 prosumer 5kw, 8 consumers])</t>
  </si>
  <si>
    <t>8 Public (2 town halls [standalone 15kw, 1 consumer], public lightening [prosumer 2kw], 1 hospital [consumer], 1 parking [consumer], 1 museum [consumer], 1 cemetery [consumer]), 2 NPOs (social spaces [2 consumers]), 2 SMEs (commercial/restaurant [standalone 15kw], pharmacy [consumer]), 5 Residential [5 consumers]</t>
  </si>
  <si>
    <t>30 Public (2 sport complexes/field and gym [standalone 265kw, consumer], hospitals [4 consumers], schools [13 consumers], police [1 consumer], library [2 consumers], social center [1 consumer], town halls/offices [3 consumers], unemployment center/offices and social centers [4 consumers], incubator/offices [1 consumer]), 4 NPOs (office [1 consumer], elderly houses [3 consumers]), 2 Residential (private [2 consumers])</t>
  </si>
  <si>
    <t>4 Public (social center [prosumer 150kw], sport/swimming pool and comlex [prosumer 100kw, consumer], social center/music [1 consumer]), 2 NPO (sport/complex [consumer], social center/office [1 consumer]), 1 SME (commercial/flower [1 consumer])</t>
  </si>
  <si>
    <t>Various municpalities</t>
  </si>
  <si>
    <t>1 standalone [1200kw in Moretta], 31 prosumers [20kw in Airasca, 100kw in Bricherasio, 200kw in Buriasco, 20kw in Castagnole Piemonte, 100kw Cavour, 200kw Cercernasco, 100kw Cesana Torinese, 200kw Claviere, 200kw Cumiana,  200kw Frossasco, 200kw Garzigliana, 20kw Luserna San Giovanni, 200kw Marcello, 200kw Masselo, 20kw Masselo, 300kw Osasco, 50kw Pinasca, 100kw Picsina, 50kw Pomaretto, 421,23kw Pragelato, 100kw Prarostino, 1000kw Roletto, 100kw San Pietro Val Lemina, 20kw San Secondo di Pinerolo, 500kw Sauze di O`ulux, 100kw Scalenghe, 100kw Sestriere, 100kw Torre Pellice, 500kw Usseaux, 500kw Vigone,  50kw Volvera], 2 consumers in Sauze di Cesana and Cantalupa.</t>
  </si>
  <si>
    <t>Public (schools [4 standalone 20kw+50kw+20kw+20kw, 5 prosumers 20kw+50kw+50kw+500kw+50kw, 6 consumers], cemetery [1 prosumer 50kw])</t>
  </si>
  <si>
    <t>Public (schools [1 standalone 100kw, 3 consumers], sport/complex [1 consumer], hospitals [2 consumers]), 1 NPO (church [1 consumer]), 2 SMEs (commercial/pharmacy and restaurant [2 consumers]), 6 Residentials (private [6 consumers]).</t>
  </si>
  <si>
    <t>16 Residentials (private [1 Standalone 25 kw, 4 prosumers 5kw+5kw+5kw+5kw, 2 consumers], public [1 prosumer 25kw, 8 consumers]), 1 SME (industrial [1 prosumer 86,74kw])</t>
  </si>
  <si>
    <t>14 Public (parking [standalone 67,2kw], schools [2 prosumers 30kw+60kw], offices/court and technicians and adult school [2 prosumers 50kw+100kw, 2 consumers], hospitals [3 consumers], social centers [3 consumers], museums [2 consumers]), 10 NPOs (offices [4 consumers], social centers/coops [6 consumers]), 7 SMEs (commercial [5 consumers], industrial [2 consumers]), 1 Residential (private [1 consumer])</t>
  </si>
  <si>
    <t>4 Public (town halls/offices [1 prosumer 220kw, 3 consumers])</t>
  </si>
  <si>
    <t>PV, hydro (in future)</t>
  </si>
  <si>
    <t>97 prosumers in Campertongo, Civiasco, Cervatto, Fobello, Mollia, Piode, Quarona, Vocca.  60 consumers in Alagna Valsesia, Cravagliana, Pila, Rassa, Rimella</t>
  </si>
  <si>
    <t>CER della Valsesia</t>
  </si>
  <si>
    <t>Quarona, Alagna Valsesia, Campertogno, Mollio, Pila, Piode, Rassa, Scopello, Fobello, Balmuccia, Rimella, Cervatto, Cravagliana, Vocca, Scopa, Scopello, Guardabossone, Civiasco, Quarona, Cellio con Breia</t>
  </si>
  <si>
    <t>Configuration Riva Voldobbia 111kw: Energy produced 99,34 MWh/year, shared energy 93,97 MWh/year. Configuration Varallo 483kw: Energy produced 567,35 MWh/year, shared energy 528,77 MWh/year</t>
  </si>
  <si>
    <t>18 Public (schools [14 prosumers 30kw+30kw+60kw+30kw+30kw+5kw+5kw+5kw+30kw+60kw+57,4kw+180kw+50kw+60kw, 3 consumers], town hall/office [1 consumer])</t>
  </si>
  <si>
    <t>I Tesori della Terra ETS/NPO</t>
  </si>
  <si>
    <t>2 NPOs (commercials [1 standalone 191,6kw, 1 consumer]), 2 SMEs (farms [1 prosumer 5kw, 1 consumer]), 1 Residential (private [prosumer 5kw])</t>
  </si>
  <si>
    <t>N of members (from 179 N of Users/PODs)</t>
  </si>
  <si>
    <t>Public (social center [prosumer 18,5kw], water enterprise [consumer], camping zone [consumer], town hall/offices [consumer], bell tower [consumer]), SMEs (commercial [1 consumer], industrial [1 consumer])</t>
  </si>
  <si>
    <t>Soluzioni Artistiche ETS/NPO</t>
  </si>
  <si>
    <t>3 SMEs (commercials [3 prosumers: 50kw+50kw+60kw]), 1 NPO (social center [1 prosumer 15kw]), 10 Residential (private [10 consumers])</t>
  </si>
  <si>
    <t>PV, hydro (appr. 810kw 5 hydro plants), biomass (appr. 369kw biomass 1 plant)</t>
  </si>
  <si>
    <t>13 Public [7 PV Standalone 30 kw +110 kw+15kw+15kw+60+5+54, hydro 5 standalones 810kw, biomass 369kw 1 standalone], Residential [450 consumers], SMEs [50 consumers].</t>
  </si>
  <si>
    <t>18 Public ([Standalone hydro 70kw, standalone biomass 20 kw, 4 schools [standalone PV 30kw, 3 consumers], warehouse [1 prosumer 10kw], town halls/offices [5 prosumers: 20kw+20kw+20kw+16,2kw+10kw; 3 consumers], sport/gym [1 prosumer 30kw], other [1 prosumer 30kw], bell tower [1 consumer]), Residentials [50 consumers]</t>
  </si>
  <si>
    <t>Public ([standalone 272kw], town halls/offices and tourist center [consumer 9], camping areas [2 consumers], market [1 consumer], library [1 consumer], sport/complex and gym [4 consumer], social center [10 consumers], cemetery [2 consumers], others [6 consumer], public lightening [67 consumers], warehouse [1 consumer], hospital [1 consumer], schools [10 consumers], bell tower [1 consumer]), Residential ([6 consumers])</t>
  </si>
  <si>
    <t>3d party [standalone 509,68kw], SMEs ([industrial [2 prosumers: 100kw+20kw, 6 consumers], commercial/restaurant [1 consumer]), Public (cemetery [1 prosumer 20kw], 37 unknown public buildings in Ozzano Monferato, 40 unknown public buildings in Rosignano Monferato), Residential (private [24 consumers])</t>
  </si>
  <si>
    <t>Public (school [1 prosumer 30kw], theater [1 prosumer 70kw]), SME (commercial/market [1 consumer])</t>
  </si>
  <si>
    <t>12 Public (schools [2 standalone: 10kw+40kw; 4 prosumers: 15kw+15kw+15kw+30kw; 2 consumers], social center [1 consumer], sport/complex [3 consumers]), 9 Residential (public [9 consumers]), 2 NPOs (elderly center [1 consumer], office [1 consumer])</t>
  </si>
  <si>
    <t>Public (1 standalone 1000kw, schools [6 consumers], markets [2 consumers], parks [3 consumers], others [5 consumers], social centers [2 consumers], firefighters [1 consumer], library [1 consumer], town hall/offices [1 consumer], sport/complexes [5 consumers], cemetery [1 consumer], warehouse [1 consumer]), 2 NPOs (office [2 consumers]), 1 Residential (public [1 consumer]), 6 SMEs (industrial [6 consumers]).</t>
  </si>
  <si>
    <t>21 Residential (private [7 prosumers: 10+10+10+20+20+20+50; 15 consumers], 14 SMEs (industrial [2 prosumers: 600kw+20kw; 2 consumers], commercial [10 consumers]), 6 Public (sport/complex [1 prosumer 14kw], office [1 prosumer 50kw, 4 consumers])</t>
  </si>
  <si>
    <t>5 NPOs [200 kw prosumer/sport and educational compex, 4 consumers], 3 SMEs [100 kw standalone/industrial, 2 consumers]</t>
  </si>
  <si>
    <t>Public (social centers [2 standalones: 60kw+200kw; 1 consumer], cemetery [1 standalone 200kw, 1 consumer], town hall/offices [standalone 60kw, 3 consumer], hospital [standalone 60kw], sport/gym [2 standalone: 60kw+20kw], schools [3 standalones: 44,4kw+60kw+40kw; 2 prosumers: 20kw+60kw; 7 consumers], other [1 prosumer 100kw], library [1 consumer], market [1 consumer], firefighters [1 consumer], park [1 consumer], theater [1 consumer]), NPOs (elderly house [1 consumer]), SMEs (comercial/supermarket and stores [3 consumers]</t>
  </si>
  <si>
    <t>Legambiente 2024 report; https://esg.nexteconomia.org/utente/cer-sole/; https://sinergiecondivise.it/comunita-energetiche-rinnovabili/</t>
  </si>
  <si>
    <t>Cooperativa Sociale Solidarietà Sei/NPO</t>
  </si>
  <si>
    <t>4 Public (town hall/offices [1 prosumer 82kw, 3 consumers]), 1 SME ([1 prosumer 100kw]), 4 Residential (private [4 consumers]), 1 NPO (other [1 consumer])</t>
  </si>
  <si>
    <t>3 Residential (social [2 prosumers 30kw+15kw, 1 consumer]), 1 NPOs (other [1 consumer])</t>
  </si>
  <si>
    <t>Public (hospital [1 prosumer 10kw], library [1 prosumer 10kw], town hall/offices [1 prosumer 10kw], school [1 prosumer 20kw], others [2 prosumers: 10kw+19kw], cemetery [1 consumer], sport/complex [2 consumers], videosurveilance [4 consumers], others [1 consumer]), NPOs (church [1 consumer])</t>
  </si>
  <si>
    <t>Regulation of redistribution of benefits
40% Prosumer
40% Consumer
10% CER
10% Social Activities
The surplus of the companies equal to 55% will be redistributed in the form of vouchers to be spent at the commercial establishments associated with the CER</t>
  </si>
  <si>
    <t xml:space="preserve">110000
</t>
  </si>
  <si>
    <t>Regulation of redistribution of benefits
Prosumer 45%
Consumers 45%
Management Costs 10%</t>
  </si>
  <si>
    <t xml:space="preserve">31645
</t>
  </si>
  <si>
    <t>The following items are expected in the distribution of revenues:
1) Repayment of financing according to the repayment plan;
2) Community living costs
; 3) Investments in new community facilities: 20%
; 4) Social activities: 10%;
5) Liquidations of contributions to producers and consumers: 70%</t>
  </si>
  <si>
    <t>approximately 30% to cover the administrative and management costs of the CER, as well as for any returns on investments, or third-party credits. The remaining 70% approximately will be divided, in a majority share among the members of the community in proportion to their self-consumption and the remaining share will constitute a common fund for activities of social value upon decision of the assembly itself.</t>
  </si>
  <si>
    <t>Regulation of redistribution of benefits
A return on investment is expected in 10 years.
Revenue from sales will go to the producer (Monastery).
Revenue from incentives: for the first 10 years will be divided 50% between the producer and other consumers; after the 10th year they will all (100%) benefit consumers only; all this net of management/administration costs.</t>
  </si>
  <si>
    <t>Total energy produced
4,500 MWh
Total energy fed into the grid
800 MWh
Total incentivized/shared energy
600 MWh</t>
  </si>
  <si>
    <t>Regulation of redistribution of benefits:
Prosumer 36%
Consumer 54%
Management costs 10%. Plans to grow in capacity a lot. Number of municipalities joining is constantly growing, largest CER in Lombardy, they will even employ 1 manager full-time employee</t>
  </si>
  <si>
    <t>Regulation of redistribution of benefits
Prosumer 45%
Consumer 45%
Management costs 10%</t>
  </si>
  <si>
    <t>Regulation of redistribution of benefits: Prosumer 40%, Consumer 25%, Social Fund 25%, Management Costs 10%</t>
  </si>
  <si>
    <t>Plan to grow. Regulation of redistribution of benefits
The total of the benefits (incentive and sale) goes to ecological and social purposes</t>
  </si>
  <si>
    <t xml:space="preserve">460
</t>
  </si>
  <si>
    <t>Total energy produced
22 MWh
Total energy fed into the grid
2 MWh
Total incentivized/shared energy
2 MWh</t>
  </si>
  <si>
    <t>Social impact focused. Regulation of redistribution of benefits
the fees for selling energy on the grid (RID) go to the producers; the incentive is divided 40% to the producers and 60% to the consumers, net of O&amp;M costs</t>
  </si>
  <si>
    <t xml:space="preserve">1100
</t>
  </si>
  <si>
    <t>Total energy produced
134.32 MWh
Total energy fed into the grid
110.46 MWh
Total incentivized/shared energy
51.81 MWh</t>
  </si>
  <si>
    <t>GSE portal capacity</t>
  </si>
  <si>
    <t>GSE portal users</t>
  </si>
  <si>
    <t>GSE portal plants</t>
  </si>
  <si>
    <t>yes</t>
  </si>
  <si>
    <t>Demonte, Rittana</t>
  </si>
  <si>
    <t>Torre Pellice, Moretta, Cavour, Vigone, San Secondo di Pinerolo, Pragelato, Cantalupa, Scalenghe, Cesana Torinese, Pinasca, Cumian, Sauze d'Oulx, Bobbio Pellice</t>
  </si>
  <si>
    <t>https://www.gse.it/servizi-per-te/autoconsumo/mappa-interattiva-delle-cabine-primarie</t>
  </si>
  <si>
    <t>Calabria</t>
  </si>
  <si>
    <t>CER-amica Laveno</t>
  </si>
  <si>
    <t>CER Sesto Calende</t>
  </si>
  <si>
    <t>CER Comune di Valle Lomellina</t>
  </si>
  <si>
    <t>Comune di Valle Lomellina, ANPCI</t>
  </si>
  <si>
    <t>CER Comune di Ternate</t>
  </si>
  <si>
    <t>Camera di Commercio Varese</t>
  </si>
  <si>
    <t>Lozza blu e sociale</t>
  </si>
  <si>
    <t>Comune di Lozza</t>
  </si>
  <si>
    <t>Comunità Energetica delle Cinque Vette</t>
  </si>
  <si>
    <t>Comune di Cuasso Al Monte</t>
  </si>
  <si>
    <t>CER Valmorea Albiolo</t>
  </si>
  <si>
    <t>CER solidale del Lario ETS</t>
  </si>
  <si>
    <t>Comune di Olgiate Comasco, Comune di Appiano Gentile, Comune di Bregnano, Comune di Cadorago, Comune di Cucciago, Comune di Faloppio, Comune di Lurate Caccivio, Comune di Lambrugo</t>
  </si>
  <si>
    <t>CER Comune di Maslianico</t>
  </si>
  <si>
    <t>CER Comune di Cogliate</t>
  </si>
  <si>
    <t>CER.caMI Solidale</t>
  </si>
  <si>
    <t>Condominio Edificio16</t>
  </si>
  <si>
    <t>CER Comune di Albiate</t>
  </si>
  <si>
    <t>CER Comune di Viganò</t>
  </si>
  <si>
    <t>Comune di Viganò, ANPCI</t>
  </si>
  <si>
    <t>CER Arcorese</t>
  </si>
  <si>
    <t>CER Comune di Santa Maria Hoè</t>
  </si>
  <si>
    <t>CER Comune di Inverno E Monteleone</t>
  </si>
  <si>
    <t>Comune di Inverno e Monteleone, ANPCI</t>
  </si>
  <si>
    <t>CER Aicurziese</t>
  </si>
  <si>
    <t>CER Comune di Miradolo Terme</t>
  </si>
  <si>
    <t>Comunità Solare soc coop impresa sociale ETS</t>
  </si>
  <si>
    <t>CER Comune di Fara Gera D'Adda</t>
  </si>
  <si>
    <t>CER Capizzone Plus</t>
  </si>
  <si>
    <t>CER Gerundo</t>
  </si>
  <si>
    <t>Fondazione CER Fonte ETS</t>
  </si>
  <si>
    <t>CER Comune di Casalpusterlengo</t>
  </si>
  <si>
    <t>Comune di Casalpusterlengo</t>
  </si>
  <si>
    <t>CER Crema</t>
  </si>
  <si>
    <t>CER Valle dell'Adda</t>
  </si>
  <si>
    <t>CER Comune di Cappella Cantone</t>
  </si>
  <si>
    <t>CER Comune di Pontoglio</t>
  </si>
  <si>
    <t>Fondazione CER Soresina – San Bassano ETS</t>
  </si>
  <si>
    <t>CER Valtellina di Sondrio</t>
  </si>
  <si>
    <t>So.CER</t>
  </si>
  <si>
    <t>https://sondrio.comunitaenergeticarinnovabile.it/</t>
  </si>
  <si>
    <t>CER Comune di Palazzolo Sull'Oglio</t>
  </si>
  <si>
    <t>CER Rudianese</t>
  </si>
  <si>
    <t>CER Comune di Parre</t>
  </si>
  <si>
    <t>CER Comune di Orzinuovi</t>
  </si>
  <si>
    <t>CER Comune di Cologne</t>
  </si>
  <si>
    <t>CER Comune di Adro</t>
  </si>
  <si>
    <t>Fondazione CER solidale Elettra ETS</t>
  </si>
  <si>
    <t>CER Comune di Orzivecchi</t>
  </si>
  <si>
    <t>CER Comune di Corte Franca</t>
  </si>
  <si>
    <t>CER Corzano</t>
  </si>
  <si>
    <t>Comune di Corzano, ANPCI</t>
  </si>
  <si>
    <t>CER Energia in Comune</t>
  </si>
  <si>
    <t>CER Comune di San Paolo</t>
  </si>
  <si>
    <t>CER Comune di Berlingo</t>
  </si>
  <si>
    <t>CER Barbariga</t>
  </si>
  <si>
    <t>CER Comune di Passirano</t>
  </si>
  <si>
    <t>CER Comune di Lovere</t>
  </si>
  <si>
    <t>CER di Costa Volpino</t>
  </si>
  <si>
    <t>Comune di Costa Volpino</t>
  </si>
  <si>
    <t>CER Monticelli Brusati</t>
  </si>
  <si>
    <t>CER Comune di Castel Mella</t>
  </si>
  <si>
    <t>CER Comune di Alfianello</t>
  </si>
  <si>
    <t>CER Comune di Gussago</t>
  </si>
  <si>
    <t>Fondazione CER Postumia ETS</t>
  </si>
  <si>
    <t>CER Comune di Seniga</t>
  </si>
  <si>
    <t>CER Comune di Pavone Del Mella</t>
  </si>
  <si>
    <t>CER Collebeatese</t>
  </si>
  <si>
    <t>CER Comune di Pralboino</t>
  </si>
  <si>
    <t>CER Comune di Montirone</t>
  </si>
  <si>
    <t>CER Comune di Bovezzo</t>
  </si>
  <si>
    <t>CER Comune di Ghedi</t>
  </si>
  <si>
    <t>CER Comune di Gambara</t>
  </si>
  <si>
    <t>CER Comune di Castenedolo</t>
  </si>
  <si>
    <t>CER Brenese</t>
  </si>
  <si>
    <t>CER di Berzo Demo</t>
  </si>
  <si>
    <t>CER Monno</t>
  </si>
  <si>
    <t>CER Comune di Calvisano</t>
  </si>
  <si>
    <t>Fondazione CER T.O.P. Energie ETS</t>
  </si>
  <si>
    <t>CER Comune di Cevo</t>
  </si>
  <si>
    <t>CER Vezza d'Oglio</t>
  </si>
  <si>
    <t>Fondazione CER Casalasco Viadanese ETS</t>
  </si>
  <si>
    <t>CER Piubega 'Energia in Comune'</t>
  </si>
  <si>
    <t>CER di Rodigo</t>
  </si>
  <si>
    <t>Comune di Rodigo</t>
  </si>
  <si>
    <t>CER Comune di Roverbella</t>
  </si>
  <si>
    <t>Comune di Roverbella</t>
  </si>
  <si>
    <t>CER.BA</t>
  </si>
  <si>
    <t>Comune di Barzio</t>
  </si>
  <si>
    <t>CER Logratese</t>
  </si>
  <si>
    <t>Terzo d'Aquileia</t>
  </si>
  <si>
    <t>San Vito al Torre</t>
  </si>
  <si>
    <t>Trivignano Udinese</t>
  </si>
  <si>
    <t>Tarvisio</t>
  </si>
  <si>
    <t>Oderzo</t>
  </si>
  <si>
    <t>Sacile</t>
  </si>
  <si>
    <t>Aviano</t>
  </si>
  <si>
    <t>Venezia</t>
  </si>
  <si>
    <t>Mira</t>
  </si>
  <si>
    <t>Santa Maria di Sala</t>
  </si>
  <si>
    <t>Albignasego</t>
  </si>
  <si>
    <t>Villafranca Padovana</t>
  </si>
  <si>
    <t>Tombolo</t>
  </si>
  <si>
    <t>Mezzano</t>
  </si>
  <si>
    <t>Bressanone - Brixen</t>
  </si>
  <si>
    <t>Campo Tures - Sand in Taufers</t>
  </si>
  <si>
    <t>Villafranca di Verona</t>
  </si>
  <si>
    <t>Parcines - Partschins</t>
  </si>
  <si>
    <t>Lograto</t>
  </si>
  <si>
    <t>Cologno al Serio</t>
  </si>
  <si>
    <t>Verdello</t>
  </si>
  <si>
    <t>Lallio</t>
  </si>
  <si>
    <t>Barzio</t>
  </si>
  <si>
    <t>Riccione</t>
  </si>
  <si>
    <t>Novi di Modena</t>
  </si>
  <si>
    <t>Peccioli</t>
  </si>
  <si>
    <t>Gossolengo</t>
  </si>
  <si>
    <t>Andora</t>
  </si>
  <si>
    <t>Fossano</t>
  </si>
  <si>
    <t>Savigliano</t>
  </si>
  <si>
    <t>Costigliole d'Asti</t>
  </si>
  <si>
    <t>Isola d'Asti</t>
  </si>
  <si>
    <t>Fossalto</t>
  </si>
  <si>
    <t>San Giacomo degli Schiavoni</t>
  </si>
  <si>
    <t>Gissi</t>
  </si>
  <si>
    <t>Gagliano Aterno</t>
  </si>
  <si>
    <t>San Benedetto del Tronto</t>
  </si>
  <si>
    <t>Monte Urano</t>
  </si>
  <si>
    <t>Torrita di Siena</t>
  </si>
  <si>
    <t>Portoferraio</t>
  </si>
  <si>
    <t>Venosa</t>
  </si>
  <si>
    <t>Nocera Superiore</t>
  </si>
  <si>
    <t>Marano di Napoli</t>
  </si>
  <si>
    <t>Somma Vesuviana</t>
  </si>
  <si>
    <t>Pomigliano d'Arco</t>
  </si>
  <si>
    <t>Castello di Cisterna</t>
  </si>
  <si>
    <t>Casamarciano</t>
  </si>
  <si>
    <t>Castelpoto</t>
  </si>
  <si>
    <t>Vitulano</t>
  </si>
  <si>
    <t>Molinara</t>
  </si>
  <si>
    <t>San Nicola da Crissa</t>
  </si>
  <si>
    <t>Tiriolo</t>
  </si>
  <si>
    <t>Miglierina</t>
  </si>
  <si>
    <t>Misterbianco</t>
  </si>
  <si>
    <t>Partinico</t>
  </si>
  <si>
    <t>Palermo</t>
  </si>
  <si>
    <t>Altavilla Milicia</t>
  </si>
  <si>
    <t>Barcellona Pozzo di Gotto</t>
  </si>
  <si>
    <t>Saponara</t>
  </si>
  <si>
    <t>Municipalitity of Tarvisio, Municipality of Premariacco</t>
  </si>
  <si>
    <t>Part-energy Benefit coop (referee and tech partner), Legacoop FVG</t>
  </si>
  <si>
    <t>https://www.gse.it/servizi-per-te/autoconsumo/mappa-interattiva-delle-cabine-primarie; https://www.legacoop.coop/legacoop-fvg-nasce-a-tarvisio-udine-la-prima-cer-idroelettrica/50/</t>
  </si>
  <si>
    <t>https://www.gse.it/servizi-per-te/autoconsumo/mappa-interattiva-delle-cabine-primarie; https://www.comune.mira.ve.it/novita/la-comunita-energetica-del-comune-di-mira/?utm_source=chatgpt.com</t>
  </si>
  <si>
    <t>Comune di Mira</t>
  </si>
  <si>
    <t>Confindustria Veneto Est</t>
  </si>
  <si>
    <t>Sernaglia della Battaglia, Pieve di Soligo</t>
  </si>
  <si>
    <t>https://www.gse.it/servizi-per-te/autoconsumo/mappa-interattiva-delle-cabine-primarie; https://www.confindustriavenest.it/stampa-e-media/comunicati-stampa/a-pieve-di-soligo-sernaglia-della-battaglia-la-prima-comunita-energetica-della-provincia-di-treviso-coordinata-da-confindustria-veneto-est?utm_source=chatgpt.com</t>
  </si>
  <si>
    <t>Plans to grow in members.</t>
  </si>
  <si>
    <t>CER Parco Industriale San Michele</t>
  </si>
  <si>
    <t>Regalgrid srl, Aperia</t>
  </si>
  <si>
    <t>2 Public (municipalities [2 consumers]), 1 NPO (business association), 2 SMEs [2 prosumers].</t>
  </si>
  <si>
    <t>1 Public (sport/complex [1 prosumer])</t>
  </si>
  <si>
    <t>Municipality of Albignasego.</t>
  </si>
  <si>
    <t>annual revenues of around €10,000 from energy sales and self-consumption, with additional savings of about €2,400 on the energy costs of the football field.</t>
  </si>
  <si>
    <t>https://www.gse.it/servizi-per-te/autoconsumo/mappa-interattiva-delle-cabine-primarie; https://comune.albignasego.pd.it/notizie/3143484/assemblea-costitutiva-creazione-comunita?utm_source=chatgpt.com</t>
  </si>
  <si>
    <t>1 Residential (villa [1 prosumer])</t>
  </si>
  <si>
    <t>120 kwh</t>
  </si>
  <si>
    <t>Plan to grow to 1 MW to meet demand of 300 families</t>
  </si>
  <si>
    <t>https://www.gse.it/servizi-per-te/autoconsumo/mappa-interattiva-delle-cabine-primarie; https://www.ilsole24ore.com/art/nel-padovano-prima-comunita-energetica-una-villa-veneta-AFZF0Z2C?</t>
  </si>
  <si>
    <t>Ambico Group</t>
  </si>
  <si>
    <t>Feltrenergy</t>
  </si>
  <si>
    <t>https://www.gse.it/servizi-per-te/autoconsumo/mappa-interattiva-delle-cabine-primarie; https://www.amicodelpopolo.it/2024/07/29/a-feltre-la-prima-comunita-energetica-rinnovabile-con-impianto-in-produzione-della-provincia-di-belluno/?utm_source=chatgpt.com&amp;doing_wp_cron=1736763575.1605110168457031250000</t>
  </si>
  <si>
    <t>Feltre, Pedavena, Seren del Grappa</t>
  </si>
  <si>
    <t>Publlic (PNRR)</t>
  </si>
  <si>
    <t>? Residential (private [prosumers]), ? SMEs</t>
  </si>
  <si>
    <t>CER Tures</t>
  </si>
  <si>
    <t>https://www.gse.it/servizi-per-te/autoconsumo/mappa-interattiva-delle-cabine-primarie; https://www.reportaziende.it/comunita_energetica_rinnovabile_tures_cooperativa_in_forma_abbreviata_cer_tures_soc_coop_bz_03209670219?</t>
  </si>
  <si>
    <t>? Residential (condominium)</t>
  </si>
  <si>
    <t>LOGRATESE</t>
  </si>
  <si>
    <t>https://www.gse.it/servizi-per-te/autoconsumo/mappa-interattiva-delle-cabine-primarie; https://www.cer-anpci.it/cer-lograto/</t>
  </si>
  <si>
    <t>https://www.gse.it/servizi-per-te/autoconsumo/mappa-interattiva-delle-cabine-primarie; https://lecconotizie.com/economia/valsassina-economia/barzio-un-passo-verso-la-cer-il-progetto-sara-finanziato-dalla-regione/?utm_source=chatgpt.com; https://barzio.comunitaenergeticarinnovabile.it/;</t>
  </si>
  <si>
    <t>2 Public (sport/complex [prosumer 30kw], town hall [prosumer 20kw])</t>
  </si>
  <si>
    <t>The proposed project provides for a total CER power of 337 kWp of which 263 kWp from public plants . To date, 54 applications have been received, with estimated economic benefits of approximately 40 thousand euros/year to be used for the benefit of the community.</t>
  </si>
  <si>
    <t>Comune di Riccione</t>
  </si>
  <si>
    <t>Polisportiva Comunale</t>
  </si>
  <si>
    <t>https://www.gse.it/servizi-per-te/autoconsumo/mappa-interattiva-delle-cabine-primarie; https://www.corriereromagna.it/riccione/riccione-la-prima-comunita-energetica-rinnovabile-BG855762?</t>
  </si>
  <si>
    <t>NOVReS</t>
  </si>
  <si>
    <t>4 SMEs, 2 NPOs (sport assoc), 1 Public (municipality)</t>
  </si>
  <si>
    <t>https://www.gse.it/servizi-per-te/autoconsumo/mappa-interattiva-delle-cabine-primarie; https://temponews.it/2024/07/25/nasce-novres-la-comunita-energetica-rinnovabile/?</t>
  </si>
  <si>
    <t>Alta Valdera</t>
  </si>
  <si>
    <t>Fondazione Peccioliper,  Belvedere Spa</t>
  </si>
  <si>
    <t>CER-a</t>
  </si>
  <si>
    <t>Confartigianato Cuneo</t>
  </si>
  <si>
    <t>Environment Park SpA,  Cuneo Chamber of Commerce</t>
  </si>
  <si>
    <t>https://www.gse.it/servizi-per-te/autoconsumo/mappa-interattiva-delle-cabine-primarie; https://cuneo.confartigianato.it/confartigianato-cuneo-a-fossano-ha-presentato-cer-a-la-sua-comunita-energetica/?utm_source=chatgpt.com; https://comunita.energetiche.eu/comunita/#cosa-e</t>
  </si>
  <si>
    <t>Marconi</t>
  </si>
  <si>
    <t>The portion of revenues deriving from the valorization of the energy fed into the grid by CER plants, through Dedicated Withdrawal or through sale to a trader on the market, will go to the respective prosumers in proportion to the energy fed into the grid by each plant;
The portion of revenues deriving from the reimbursement of charges will be divided among the end customers on the basis of the contextual consumption data made available by the GSE;
The revenues from the premium tariff of €110/MWh will be used primarily to cover costs and to create a possible cash fund, while the remainder will be divided equally between prosumers and consumers (50% and 50%). The latter will see the premium tariff share divided in proportion to the share of energy self-consumed by each, a value established on the basis of the data made available by GSE.</t>
  </si>
  <si>
    <t>11 Residential (private [11 consumers]), 4 SMEs (industrial [1 prosumer], gym [1 consumer], technical studio [1 consumer], English school [1 consumer])</t>
  </si>
  <si>
    <t>SME</t>
  </si>
  <si>
    <t>https://www.gse.it/servizi-per-te/autoconsumo/mappa-interattiva-delle-cabine-primarie; https://www.cuneo24.it/2023/07/savigliano-al-via-i-lavori-della-nuova-comunita-energetica-206958/?</t>
  </si>
  <si>
    <t>Oasi Giovani</t>
  </si>
  <si>
    <t>Fondazione Cassa di Risparmio di Cuneo, Fondazione Cassa di Risparmio di Savigliano</t>
  </si>
  <si>
    <t>Private (2 foundations)</t>
  </si>
  <si>
    <t>4 NPOs (kindergarten [1 prosumer], foundation [non-user], church [1 consumer], educational center [1 consumer])</t>
  </si>
  <si>
    <t>https://www.gse.it/servizi-per-te/autoconsumo/mappa-interattiva-delle-cabine-primarie; https://www.ansalatina.com/molise/notizie/2022/05/26/a-fossalto-comunita-energetica-con-impianto-sulla-scuola_0cf826bb-f56b-4182-af5f-7bdd5cc980c6.html?</t>
  </si>
  <si>
    <t>Gal Molise Verso il 2000</t>
  </si>
  <si>
    <t>Public (school [1 prosumer]), ? Residential [consumers], ? SMEs [consumers]</t>
  </si>
  <si>
    <t>Fossalto Energia in Rete</t>
  </si>
  <si>
    <t>Energia Prima O&amp;M (referente)</t>
  </si>
  <si>
    <t>https://www.gse.it/servizi-per-te/autoconsumo/mappa-interattiva-delle-cabine-primarie; https://www.ansa.it/molise/notizie/2023/11/28/s.giacomo-degli-schiavoni-accede-a-fondi-per-smart-city_3efd9fab-8155-4a33-bcf5-1548404a94dd.html?utm_source=chatgpt.com</t>
  </si>
  <si>
    <t>Aim at expanding to 200kw</t>
  </si>
  <si>
    <t>SunCity srl (PV developer)</t>
  </si>
  <si>
    <t>A2A, ACEA, Hera, Iren, Impresa 21, Fondazione Cariplo</t>
  </si>
  <si>
    <t>https://www.gse.it/servizi-per-te/autoconsumo/mappa-interattiva-delle-cabine-primarie;https://www.rainews.it/tgr/abruzzo/video/2022/04/comunit-energetica-da2f4cb5-cda7-4de9-9995-f8fbb342f167.html;  https://viaggi.corriere.it/green/gagliano-aterno-comunita-energetica-rinnovabile-un-documentario-racconta-la-rinascita-del-borgo-del-futuro/?utm_source=chatgpt.com</t>
  </si>
  <si>
    <t>Public (fontane [1 standalone 19,6kw])</t>
  </si>
  <si>
    <t>S.T. Energy Solutions</t>
  </si>
  <si>
    <t>San Benedetto del Tronto, Acquaviva Picena</t>
  </si>
  <si>
    <t>Public (school [prosumer 39kw])</t>
  </si>
  <si>
    <t>https://www.gse.it/servizi-per-te/autoconsumo/mappa-interattiva-delle-cabine-primarie; https://www.repubblica.it/green-and-blue/2022/10/20/news/comunita_energetica_torrita_di_siena-368415296/</t>
  </si>
  <si>
    <t>Renerwave Srl</t>
  </si>
  <si>
    <t>Elba Est Ovest</t>
  </si>
  <si>
    <t>Federalberghi Confcommercio Elba-Faita</t>
  </si>
  <si>
    <t>Confesercenti, Province of Livorno, Comune di Portoferraio</t>
  </si>
  <si>
    <t>https://www.gse.it/servizi-per-te/autoconsumo/mappa-interattiva-delle-cabine-primarie; https://www.quinewselba.it/isola-d-elba-elba-due-comunita-energetiche-allelba.htm; https://www.lg.camcom.it/sites/default/files/contenuto_redazione/TRANSIZIONE%20ENERGETICA/FORMAZIONE/NOVEMBRE%20CER%202024/CER%20Elba_07-11-2024_pdfa.pdf</t>
  </si>
  <si>
    <t>Le Associazioni e le Amministrazioni pubbliche  saranno inquadrate come soggetti PARTNER e veicoleranno le iscrizioni dei loro associati e dei cittadini alla CER, ricevendo in cambio:- 4% dell’incentivo generato dagli iscritti da loro veicolati (quota che verrà presa dalla quota destinata al fornitore del servizio di gestione, quindi senza intaccare la quota destinata a produttori/consumatori/sociale;- possibilità di partecipare al processo decisionale per la spesa della quota di incentivo destinata a fini sociali.</t>
  </si>
  <si>
    <t>Private (members, NPO donation)</t>
  </si>
  <si>
    <t>Venosa Sud</t>
  </si>
  <si>
    <t>average annual benefits are expected equal to about 1000 euros for each associated company and about 200 euros for each associated family</t>
  </si>
  <si>
    <t>https://caniolagala.it/cer/; https://www.gse.it/servizi-per-te/autoconsumo/mappa-interattiva-delle-cabine-primarie; https://www.basilicata24.it/2024/10/a-venosa-e-operativa-una-comunita-energetica-approvata-dal-gse-142339/?</t>
  </si>
  <si>
    <t>Comune di Pomigliano d'Arco</t>
  </si>
  <si>
    <t>https://www.gse.it/servizi-per-te/autoconsumo/mappa-interattiva-delle-cabine-primarie; https://www.ansa.it/campania/notizie/comune_pomigliano_d_arco/2024/11/22/a-pomigliano-darco-nasce-la-comunita-energetica-rinnovabile_03bece07-9485-4764-8ded-ddecbe553782.html</t>
  </si>
  <si>
    <t>Comune di Castelpoto</t>
  </si>
  <si>
    <t>Municipality of Vitulano</t>
  </si>
  <si>
    <t>1 Pubic [prosumer], 1 NPO (kindergarten [1 consumer]), 1 SME (office [1 consumer])</t>
  </si>
  <si>
    <t>Fusion Srl</t>
  </si>
  <si>
    <t>https://www.ansa.it/campania/notizie/2021/07/19/sindaco-vitulanonasce-prima-comunita-energetica-rinnovabile_1b24d657-f340-4c26-a52e-42a5bd94f9b7.html; https://fusion-cer.it/progetti/; https://www.gse.it/servizi-per-te/autoconsumo/mappa-interattiva-delle-cabine-primarie</t>
  </si>
  <si>
    <t>Comune di Molinara</t>
  </si>
  <si>
    <t>Pro-loco of Molinara, Attilio Emanuele Foundation</t>
  </si>
  <si>
    <t>? Public (town hall [prosumer 10,1 kw], kindergarten [prosumer 10,1kw])</t>
  </si>
  <si>
    <t>https://www.gse.it/servizi-per-te/autoconsumo/mappa-interattiva-delle-cabine-primarie; https://www.ntr24.tv/2023/07/17/molinara-ha-la-sua-comunita-energetica-rinnovabile-il-19-luglio-la-presentazione/?utm_source=chatgpt.com</t>
  </si>
  <si>
    <t>Private (bank loans), Public (PNRR)</t>
  </si>
  <si>
    <t>Legambiente Calabria</t>
  </si>
  <si>
    <t>Private (bank loan), Tax deduction (superbonus), collateral from Municipality</t>
  </si>
  <si>
    <t>Banca Cooperativo della Calabria Ulteriore, 3E environment energy economy srl</t>
  </si>
  <si>
    <t>Energy poverty oriented. There are plans to install additional photovoltaic systems on five other municipal buildings, potentially increasing the community's membership to around 85 members and the total installed capacity to 180 kW. 40% of the revenues will be divided equally among the families for 20 years.</t>
  </si>
  <si>
    <t>4 Public (school [1 prosumer 66,8kw], others [3 consumers]), 30 Residential (public [30 consumers])</t>
  </si>
  <si>
    <t>Legambiente 2022 report; https://www.comunirinnovabili.it/comunita-energetica-rinnovabile-e-solidale-critaro/; https://www.corrieredellacalabria.it/2023/01/15/a-san-nicola-da-crissa-una-delle-prime-comunita-energetiche-solidali-ditalia/?; https://www.gse.it/servizi-per-te/autoconsumo/mappa-interattiva-delle-cabine-primarie</t>
  </si>
  <si>
    <t>Critaro</t>
  </si>
  <si>
    <t>Comune di Tiriolo</t>
  </si>
  <si>
    <t>University of Calabria</t>
  </si>
  <si>
    <t>https://www.corrieredellacalabria.it/2021/06/02/a-tiriolo-le-prime-comunita-energetiche-della-calabria/?; https://www.gse.it/servizi-per-te/autoconsumo/mappa-interattiva-delle-cabine-primarie</t>
  </si>
  <si>
    <t>Private (EU project)</t>
  </si>
  <si>
    <t>https://www.rinnovabili.it/mercato/politiche-e-normativa/transizione-ecologica-miglierina/?; https://www.gse.it/servizi-per-te/autoconsumo/mappa-interattiva-delle-cabine-primarie</t>
  </si>
  <si>
    <t>Partanna</t>
  </si>
  <si>
    <t>The municipalities admitted to the incentives will be able to obtain from the Department of Energy an advance equal to 40 percent of the total contribution and the Regional Administration will accompany the local bodies in the various phases of the process until the definitive constitution of the communities.</t>
  </si>
  <si>
    <t>https://www.gse.it/servizi-per-te/autoconsumo/mappa-interattiva-delle-cabine-primarie; https://www.blogsicilia.it/palermo/regione-comuni-transizione-ecologica-comunita-energetiche-elenco/784265/</t>
  </si>
  <si>
    <t>Palermo Est</t>
  </si>
  <si>
    <t>University of Palermo</t>
  </si>
  <si>
    <t>https://www.cerpalermoest.com/</t>
  </si>
  <si>
    <t>https://www.gse.it/servizi-per-te/autoconsumo/mappa-interattiva-delle-cabine-primarie; https://www.comune.palermo.it/palermo-informa-dettaglio.php?id=37494&amp;tp=1#</t>
  </si>
  <si>
    <t>PV, e-charging</t>
  </si>
  <si>
    <t>Public (industrial site [standalone 1000kw])</t>
  </si>
  <si>
    <t>? Public (police [prosumer 10kw])</t>
  </si>
  <si>
    <t>AMG Energia</t>
  </si>
  <si>
    <t>Municipality of Palermo</t>
  </si>
  <si>
    <t>Zen 2 Carabinieri Station</t>
  </si>
  <si>
    <t>BROLO_1R</t>
  </si>
  <si>
    <t>Brolo, Gioiosa Marea, Piraino, Sant'Angelo di Brolo, Ficarra, Sinagra</t>
  </si>
  <si>
    <t>https://www.gse.it/servizi-per-te/autoconsumo/mappa-interattiva-delle-cabine-primarie; https://www.nebrodi24.it/2022/10/07/brolo-finanziata-la-costituzione-di-una-comunita-di-energie-rinnovabili-e-solidali/; https://www.facebook.com/gammeriphoto/posts/e-nata-brolo_1rla-prima-comunit%C3%A0-di-energia-rinnovabile-brolese-cere%CC%80-unassociaz/1052654150194692/</t>
  </si>
  <si>
    <t>GreenBarCer</t>
  </si>
  <si>
    <t>https://www.gse.it/servizi-per-te/autoconsumo/mappa-interattiva-delle-cabine-primarie; https://www.greenbarcer.it/?fbclid=IwY2xjawH1tphleHRuA2FlbQIxMAABHa9SP7DUyCvOtel2e_5Daac80rmXqxIQCc2vEk-x6vtr8St0U8o3l7Sk7A_aem_2VPRaaIZcEb7jUfSf6lX6Q; https://www.facebook.com/GreenBarCer/</t>
  </si>
  <si>
    <t>Comune di Saponara</t>
  </si>
  <si>
    <t>https://www.gse.it/servizi-per-te/autoconsumo/mappa-interattiva-delle-cabine-primarie; https://98zero.com/1522097-saponara-comunita-energetiche-rinnovabili-spunti-di-riflessione-in-aula-consiliare</t>
  </si>
  <si>
    <t>PV, BESS, e-vehicle</t>
  </si>
  <si>
    <t>PV, BESS, e-vehicles</t>
  </si>
  <si>
    <t>PV, BESS, biogas</t>
  </si>
  <si>
    <t>Enostra, Fondazione Cariplo,  CAST ONG/NPO, Rete per il Clima del Verbano</t>
  </si>
  <si>
    <t>https://www.enostra.it/nasce-la-cer-dei-cittadini-di-laveno-mombello/; https://cer-amica.webnode.it/; https://www.varesenoi.it/2024/02/06/leggi-notizia/argomenti/territorio/articolo/e-nata-cer-amica-la-comunita-energetica-di-laveno-mombello.html</t>
  </si>
  <si>
    <t>15 Residential (private [5 prosumers, 10 consumers])</t>
  </si>
  <si>
    <t>injecting approximately 20 MWh per year and sharing 16 MWh per year .</t>
  </si>
  <si>
    <t xml:space="preserve"> the owners of the plants will collect the revenues deriving from the sale of energy, while the GSE incentives will be collected and reinvested in community projects . </t>
  </si>
  <si>
    <t xml:space="preserve"> Sesto Calende</t>
  </si>
  <si>
    <t>Valle Lomellina</t>
  </si>
  <si>
    <t>Comune di Ternate</t>
  </si>
  <si>
    <t>Public (kindergarten [prosumer], canteen [prosumer], sport/complex [prosumer], town hall [prosumer])</t>
  </si>
  <si>
    <t>https://www.verbanonews.it/aree-geografiche/lago-maggiore/2024/10/01/nasce-la-comunita-energetica-rinnovabile-di-sesto-calende/989973/?utm_source=chatgpt.com</t>
  </si>
  <si>
    <t>Comune di Sesto Calende</t>
  </si>
  <si>
    <t>ANPCI</t>
  </si>
  <si>
    <t>ANPCI, Local Action Group (GAL) Risorsa Lomellina</t>
  </si>
  <si>
    <t>https://www.cer-anpci.it/wp-content/uploads/2024/02/OkValle-Lomellina_2023_CER-Studio-di-Fattibilita_Comune-di-Valle-Lomellina_-.pdf?</t>
  </si>
  <si>
    <t>Energia immessa kwh: 990.000; Energia condivisa kwh: 594.000; Produzione kwh:  1.980.000; Kw autoconsumati: 990.000;</t>
  </si>
  <si>
    <t>PV, biogas, biomass</t>
  </si>
  <si>
    <t>Quota su reddito dichiarato dai residenti: 5,34%. Recupero investimento in anni: 4,60</t>
  </si>
  <si>
    <t>300 Residential, 30 SMEs, 5 Public</t>
  </si>
  <si>
    <t>Ternate</t>
  </si>
  <si>
    <t>Lozza</t>
  </si>
  <si>
    <t>378 Residential, 44 SMEs, 2 Public</t>
  </si>
  <si>
    <t>PV, 18 e-charging</t>
  </si>
  <si>
    <t>https://www.cer-anpci.it/cer-ternate/?; https://www.cer-anpci.it/wp-content/uploads/2024/02/Ternate_2023_CER-Studio-di-Fattibilita.pdf?</t>
  </si>
  <si>
    <t>Energia immessa kwh: 1.265.000 Energia condivisa kwh: 759.000. Of the 1.265 GWh fed into the grid, we estimate a share of energy shared by the other CER members of approximately 60-70%. The overall production at full capacity will be over 2.53 GWh. an average direct saving of €0.25 per kWh, for a total of €316,250. Produzione kwh:  2.530.000. Kw autoconsumati: 1.265.000.</t>
  </si>
  <si>
    <t>Recupero investimento in anni: 4,60; Quota su reddito dichiarato dai residenti: 4,24%. In the future biomas and biogas are considered. After covering management costs, estimated at 9.4% of the incentive tariff, the remaining profits are distributed among members based on the community's regulations. The CER's regulations include provisions to enhance the shares of members facing energy poverty or other vulnerabilities.  There will be no dominant members within the community; any reductions in dominant members' shares will be redistributed to support vulnerable participants. Through a mathematical algorithm, with self-regulating parameters, the quota of the incentive fee due will be defined for each member on an annual basis.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t>
  </si>
  <si>
    <t>Savings from self-consumption</t>
  </si>
  <si>
    <t>MalpensaFiere</t>
  </si>
  <si>
    <t>Promovarese Srl, Comune di Busto Arsizio</t>
  </si>
  <si>
    <t>Busto Arsizio</t>
  </si>
  <si>
    <t>2 Public (chamber of commerce/exhibition center [prosumer 1000kw], elderly center [consumer]), 14 SMEs (offices [7 consumers], commercial/restaurant,hotel [2 consumers], sport/complex [1 consumer], other [1 consumer], industrial [3 consumers]), Residential (1 condominium [600 consumers]), 4 NPOs (offices [4 consumers])</t>
  </si>
  <si>
    <t>https://www.unioncamere.gov.it/sistema-camerale/news-dal-sistema-camerale/varese-costituita-la-comunita-energetica-rinnovabile-di-malpensafiere?; https://www.pv-magazine.it/2023/04/03/nasce-la-comunita-energetica-di-malpensafiere/?</t>
  </si>
  <si>
    <t>the surplus paid by the Gse (Energy Services Manager) will be entirely allocated to the third sector , with the aim of supporting local associations that work for the community</t>
  </si>
  <si>
    <t>Church of Lozza, Weproject srl</t>
  </si>
  <si>
    <t>2 Public (town halls [1 prosumer, 1 standalone], kindergarten [1 prosumer]), 1 NPO (church [consumer])</t>
  </si>
  <si>
    <t>https://lozza.comunitaenergeticarinnovabile.it/; https://www.malpensa24.it/terzo-settore-lozza-cer/?; https://www.varesenews.it/2024/10/a-lozza-nasce-la-comunita-energetica-dara-forza-al-terzo-settore/2061666/?</t>
  </si>
  <si>
    <t>Cuasso al Monte, Arcisate, Besano, Bisuschio, Clivio, Cuasso al Monte, Porto Ceresio, Saltrio, Viggiù</t>
  </si>
  <si>
    <t>Province of Varese, University of Florence, Banca Cooperativa di Busto Garolfo e Buguggiate</t>
  </si>
  <si>
    <t>Private (bank loan), Public (PNRR)</t>
  </si>
  <si>
    <t>https://www.bccbanca1897.it/news/dettaglio_news_div.asp?hNewsID=177713&amp;i_menuID=65403&amp;utm_source=chatgpt.com; https://www.luinonotizie.it/2024/09/24/valceresio-nasce-la-comunita-energetica-delle-5-vette/492620?utm_source=chatgpt.com#google_vignette; https://www.greenplanner.it/2024/11/28/comunita-energetiche-finanziamento-100-percento-spese/?</t>
  </si>
  <si>
    <t>Valmorea, Albiolo</t>
  </si>
  <si>
    <t>Comune di Valmorea, Comune di Albiolo</t>
  </si>
  <si>
    <t>1 Public, 1 NPO</t>
  </si>
  <si>
    <t>https://www.energialombardia.eu/cer/monitoraggio</t>
  </si>
  <si>
    <t>Municipality of Olgiate Comasco</t>
  </si>
  <si>
    <t>Ecofficine cooperative</t>
  </si>
  <si>
    <t>https://www.elettricarogeno.it/comunita-energetica-rinnovabile-cers-del-lario/?; https://www.ciaocomo.it/2024/12/06/nasce-la-cers-del-lario-ets-la-comunita-energetica-di-11-comuni-e-4-imprese/291876/?utm_source=chatgpt.com</t>
  </si>
  <si>
    <t>Maslianico</t>
  </si>
  <si>
    <t>Cogliate</t>
  </si>
  <si>
    <t>Brunate</t>
  </si>
  <si>
    <t>Albiate</t>
  </si>
  <si>
    <t>Kwp da installare: 3000. Prod. kwh/kwp: 1.100. Energia immessa kwh: 1.650.000 Energia condivisa kwh: 990.000. Produzione kwh: 3.300.000. Kw autoconsumati: 1.650.000</t>
  </si>
  <si>
    <t>Recupero investimento in anni:4,60 Quota su reddito dichiarato dai residenti: 5,97%</t>
  </si>
  <si>
    <t>Comune di Maslianico</t>
  </si>
  <si>
    <t>1151 Residential, 94 SMEs, 8 Public</t>
  </si>
  <si>
    <t>505 Residential, 42 SMEs, 3 Public</t>
  </si>
  <si>
    <t>PV, 16 e-charging</t>
  </si>
  <si>
    <t>https://www.cer-anpci.it/wp-content/uploads/2024/01/Cogliate_2023_CER-Studio-di-Fattibilita.pdf</t>
  </si>
  <si>
    <t>Comune di Cogliate</t>
  </si>
  <si>
    <t>Kwp da installare: Produzione kwh: 6.900 7.590.000 Prod. kwh/kwp: 1100. Energia immessa kwh: 3.795.000 Energia condivisa kwh: 2.277.000. Produzione kwh: 6.900 7.590.000. Kw autoconsumati: 3.795.000</t>
  </si>
  <si>
    <t>Quota su reddito dichiarato dai residenti: 3,82%.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
Through a mathematical algorithm, with self-regulating parameters, the quota of the incentive fee due will be defined for each member on an annual basis.</t>
  </si>
  <si>
    <t>Comune di Albiate</t>
  </si>
  <si>
    <t>Comune di Brunate</t>
  </si>
  <si>
    <t>ANPCI, Pastoral Community
of the Holy Apostles</t>
  </si>
  <si>
    <t>Brunate, Como, Blevio, Torno, Faggeto</t>
  </si>
  <si>
    <t>Arcore</t>
  </si>
  <si>
    <t>Santa Maria Hoè</t>
  </si>
  <si>
    <t>Politecnico di Milano, Enostra, Abitare Società Cooperativa,Cooperativa Diapason, Associazione Terzo Paesaggio</t>
  </si>
  <si>
    <t>https://cercami.info/; https://www.polimi.it/il-politecnico/news/dettaglio-news/un-ets-per-la-realizzazione-e-gestione-delle-cers?</t>
  </si>
  <si>
    <t>2 Public (university [prosumer], municipality), ? Residential, 3 NPOs</t>
  </si>
  <si>
    <t>The PV installation is expected to produce approximately 475 MWh annually</t>
  </si>
  <si>
    <t>SME (business center/offices [prosumer 400kw])</t>
  </si>
  <si>
    <t>GreenFlex spa</t>
  </si>
  <si>
    <t>Bicocca (former CER Edificio16)</t>
  </si>
  <si>
    <t>https://www.greenflex.com/it/progetti/referenze/impianto-fotovoltaico-chiavi-in-mano-edificio16/; https://www.pv-magazine.it/2024/04/17/a-milano-sta-per-nascere-la-comunita-energetica-bicocca/; https://www.infobuildenergia.it/edificio16-milano-bicocca-fotovoltaico/</t>
  </si>
  <si>
    <t>Kwp da installare:  5.400; Prod. kwh/kwp: : 1.100; Produzione kwh: 5.940.000; Kw autoconsumati: 2.970.000; Energia immessa kwh: 2.970.000 Energia condivisa kwh: 1.782.000</t>
  </si>
  <si>
    <t>Recupero investimento in anni: 4,60; Quota su reddito dichiarato dai residenti: 3,69%</t>
  </si>
  <si>
    <t>https://www.cer-anpci.it/wp-content/uploads/2024/01/Albiate_2023_CER-Studio-di-Fattibilita.pdf</t>
  </si>
  <si>
    <t>Vigano</t>
  </si>
  <si>
    <t>305 Residential, 35 SMEs, 1 Public</t>
  </si>
  <si>
    <t>Stima fabbisogno totale kwh: 10.215.400; Prod. kwh/kwp: 1100; Kwp da installare  1.800; Produzione kwh: 1.980.000; Kw autoconsumati: 990.000; Energia immessa kwh: 990.000 Energia condivisa kwh: 594.000</t>
  </si>
  <si>
    <t>After covering management costs, estimated at 9.4% of the incentive tariff, the remaining profits are distributed among members based on parameters outlined in the community's regulations. Quota su reddito dichiarato dai residenti: 3,41%</t>
  </si>
  <si>
    <t>Comune di Arcore</t>
  </si>
  <si>
    <t>2682 Residential, 336 SMEs, 17 Public</t>
  </si>
  <si>
    <t>Kwp da installare: 16.000; Prod. kwh/kwp: 1.100; Produzione kwh: 17.600.000; Energia immessa kwh: 8.800.000 Energia condivisa kwh: 5.280.000; Kw autoconsumati: 8.800.000</t>
  </si>
  <si>
    <t>Quota su reddito dichiarato dai residenti: 3,69%</t>
  </si>
  <si>
    <t>https://www.cer-anpci.it/wp-content/uploads/2024/01/Arcore_2023_CER-Studio-di-Fattibilita_Comune-di-Arcore_-.pdf</t>
  </si>
  <si>
    <t>https://www.cer-anpci.it/wp-content/uploads/2024/01/ModificatoVigano_2023_CER-Studio-di-Fattibilita_Comune-di-Vigano_-.pdf</t>
  </si>
  <si>
    <t>Comune di Miradolo Terme</t>
  </si>
  <si>
    <t>Comune di Santa Maria Hoè</t>
  </si>
  <si>
    <t>260 Residential, 40 SMEs, 3 Public</t>
  </si>
  <si>
    <t>https://www.cer-anpci.it/wp-content/uploads/2024/02/Santa-Maria-Hoe_2023_CER-Studio-di-Fattibilita.pdf</t>
  </si>
  <si>
    <t xml:space="preserve">Kwp da installare: 1.800; Prod. kwh/kwp: 1.100; Produzione kwh: 1.980.000; Kw autoconsumati: 990.000; Energia immessa kwh: 990.000 Energia condivisa kwh: 594.000; </t>
  </si>
  <si>
    <t>Quota su reddito dichiarato dai residenti: 3,81%</t>
  </si>
  <si>
    <t>Inverno, Monteleone</t>
  </si>
  <si>
    <t>https://www.cer-anpci.it/wp-content/uploads/2024/02/Inverno-E-Monteleone_2023_CER-Studio-di-Fattibilita.pdf</t>
  </si>
  <si>
    <t>212 residential, 16 SMEs, 1 Public</t>
  </si>
  <si>
    <t>Kwp da installare: 1.300; Prod. kwh/kwp:  1.100; Produzione kwh: 1.430.000; Kw autoconsumati: 715.000; Energia immessa kwh: 715.000; Energia condivisa kwh: 429.000;</t>
  </si>
  <si>
    <t>Quota su reddito dichiarato dai residenti: 4,53%</t>
  </si>
  <si>
    <t>Ronco Briantino</t>
  </si>
  <si>
    <t>Miradolo Terme</t>
  </si>
  <si>
    <t>6000 total revenue</t>
  </si>
  <si>
    <t>Fondazione Cariplo, Comune di Ronco Briantino; La Rosa Blu social cooperative , an A+B type enterprise, Confcooperative Milano and Navigli, Cooperativa impresa sociale Insula Net, cooperative social Demo Energia of Cantù</t>
  </si>
  <si>
    <t>Futuro in Comune</t>
  </si>
  <si>
    <t>Private (foundation, members)</t>
  </si>
  <si>
    <t>https://www.instagram.com/insula_net/p/DEnW1eCKWQt/?img_index=1; https://www.lombardia.confcooperative.it/Dettaglio/ArtMID/523/ArticleID/4932/Parte-la-CER-di-Ronco-Briantino?utm_source=chatgpt.com</t>
  </si>
  <si>
    <t>5 NPOs (office [1 prosumer]), 1 Public</t>
  </si>
  <si>
    <t>Comune di Aicurzio</t>
  </si>
  <si>
    <t>AICURZIO</t>
  </si>
  <si>
    <t>Kwp da installare:  1.900; Prod. kwh/kwp: 1.100; Energia immessa kwh: 1.045.000 Energia condivisa kwh: 627.000; Produzione kwh: 2.090.000; Kw autoconsumati: 1.045.000</t>
  </si>
  <si>
    <t>https://www.cer-anpci.it/wp-content/uploads/2024/01/Aicurzio_2023_CER-Studio-di-Fattibilita.pdf</t>
  </si>
  <si>
    <t>Quota su reddito dichiarato dai residenti: 3,85%</t>
  </si>
  <si>
    <t>PV, 15 e-charging</t>
  </si>
  <si>
    <t>300 Residential, 30 SMEs, 1 NPO (church)</t>
  </si>
  <si>
    <t>550 Residential, 52 SMEs, 3 Public</t>
  </si>
  <si>
    <t>https://www.cer-anpci.it/wp-content/uploads/2024/02/OkMiradolo-Terme_2023_CER-Studio-di-Fattibilita_Comune-di-Miradolo-Terme_-.pdf</t>
  </si>
  <si>
    <t>Kwp da installare:  3.000; Prod. kwh/kwp: 1.100; Energia immessa kwh: 1.650.000 Energia condivisa kwh: 990.000; Produzione kwh:  3.300.000; Kw autoconsumati: 1.650.000</t>
  </si>
  <si>
    <t>Quota su reddito dichiarato dai residenti: 4,15%</t>
  </si>
  <si>
    <t>Comune di Guardamiglio, Comune di Cervignano</t>
  </si>
  <si>
    <t>Legambiente, Rete, Umanità Lodigiana NPO, Fondazione Cariplo</t>
  </si>
  <si>
    <t>https://www.coopsolare.it/progetti/scuola-di-cervignano-d%E2%80%99adda; https://www.legambientelodi.it/aderire-alla-cers-comunita-solare-lodi-e-piacenza/?</t>
  </si>
  <si>
    <t>production of another 90 MWh of energy</t>
  </si>
  <si>
    <t>Guardamiglio, Cervignano d'Adda, Pellicano of Monte Oliveto</t>
  </si>
  <si>
    <t>Public (PNRR), Private (foundation, members)</t>
  </si>
  <si>
    <t>Payback 10 years. Running equity and loan crowdfunding</t>
  </si>
  <si>
    <t>? Public (school [1 prosumer 100kw], other [1 prosumer 60kw]), 100 Residential, ? SMEs, ? NPOs</t>
  </si>
  <si>
    <t>Fara Gera D'Adda</t>
  </si>
  <si>
    <t>1130 Residential, 108 SMEs, 7 Public</t>
  </si>
  <si>
    <t>Comune di Fara Gera D'Adda</t>
  </si>
  <si>
    <t>Kwp da installare: 6.800; Prod. kwh/kwp: 1.100; Kw autoconsumati: 3.740.000; Produzione kwh: 7.480.000; Energia immessa kwh: 3.740.000 Energia condivisa kwh: 2.244.000;</t>
  </si>
  <si>
    <t>Quota su reddito dichiarato dai residenti: 4,13%</t>
  </si>
  <si>
    <t>https://www.cer-anpci.it/wp-content/uploads/2024/01/Fara-Gera-DAdda_2023_CER-Studio-di-Fattibilita.pdf?</t>
  </si>
  <si>
    <t>Comune di Capizzone</t>
  </si>
  <si>
    <t>117 Residential, 16 SMEs, 1 Public</t>
  </si>
  <si>
    <t>Capizzone</t>
  </si>
  <si>
    <t>Kwp da installare: 1.100; Prod. kwh/kwp: 1.100; Produzione kwh: 1.210.000; Energia immessa kwh: 605.000 Energia condivisa kwh: 363.000; Kw autoconsumati: 605.000</t>
  </si>
  <si>
    <t>https://www.cer-anpci.it/wp-content/uploads/2024/01/Capizzone_2023_CER-Studio-di-Fattibilita.pdf</t>
  </si>
  <si>
    <t>Dovera
Monte Cremasco
Spino d’Adda
Vaiano Cremasco
Crespiatica</t>
  </si>
  <si>
    <t>5 Public, 2 NPOs (churches)</t>
  </si>
  <si>
    <t>https://www.consorzioit.net/CER-11dic?</t>
  </si>
  <si>
    <t>Comune di Dovera, Comune di Monte Cremasco, Comune di Spino d'Adda, Comune di Vaiano Cremasco, Comune di Crespiatica, Parrocchia di Vaiano Cremasco, Parrocchia di Dovera</t>
  </si>
  <si>
    <t xml:space="preserve"> Consorzio.it</t>
  </si>
  <si>
    <t>Private (members), Public (PNRR)</t>
  </si>
  <si>
    <t>Comune di Bagnolo Cremasco, Comune di Capergnanica, Comune di Casaletto Ceredano, Comune di Chieve, Comune di Credera Rubbiano, Comune di Ripalta Cremasca, Comune di Madignano, Comune di Moscazzano, Parrocchia di Credera</t>
  </si>
  <si>
    <t xml:space="preserve">Consorzio.it, </t>
  </si>
  <si>
    <t>Consorzio.it</t>
  </si>
  <si>
    <t>Bagnolo Cremasco
Capergnanica
Casaletto Ceredano
Chieve
Credera Rubbiano
Ripalta Cremasca
Madignano
Moscazzano</t>
  </si>
  <si>
    <t>8 Public, 1 NPO (church)</t>
  </si>
  <si>
    <t>All the expenses of the acts and the legal contribution required for the recognition of the Associations (1 5,000 euros of initial endowment ) were paid by Consorzio.it on behalf of all the founding members.</t>
  </si>
  <si>
    <t>https://www.cremaonline.it/politica/28-11-2024_Costituite+le+prime+due+Cer+del+territorio%3A+Fulcheria+e+Adda+Serio</t>
  </si>
  <si>
    <t>Diocesi di Cremona</t>
  </si>
  <si>
    <t>Caravaggio, Misano di Gera d'Adda</t>
  </si>
  <si>
    <t>2 Public, 6 NPOs (4 churches, 1 coop., 1 foundation)</t>
  </si>
  <si>
    <t>https://www.qualenergia.it/articoli/crescono-cer-promosse-terzo-settore-enti-locali-quando-ci-sono-risorse/?</t>
  </si>
  <si>
    <t>Casalpusterlengo</t>
  </si>
  <si>
    <t>5 Public (town hall [1 prosumer], schools [2 prosumers], educationa center [1prosumer], warehouse [1 prosumer] ), 1 Residential (public [1 prosumer])</t>
  </si>
  <si>
    <t>https://www.ilcittadino.it/stories/basso_lodigiano/a-casale-nasce-seconda-comunita-energetica-del-lodigiano-servira-250-famiglie-o_85975_96/?; https://www.sorgenia.it/content/approvato-il-progetto-la-comunita-energetica-di-casalpusterlengo?</t>
  </si>
  <si>
    <t>Comune di Crema, Diocesi di Crema</t>
  </si>
  <si>
    <t>Crema, Campagnola Cremasca, Cremosano</t>
  </si>
  <si>
    <t>https://www.cremaonline.it/politica/12-12-2024_Consorzio.+Costituite+le+Comunit%C3%A0+energetiche+Gerundo+e+Crema+</t>
  </si>
  <si>
    <t>https://www.cremaonline.it/politica/06-12-2024_Consorzio.+Costitute+le+Cer+Oglio+Serio+e+Palate+Fontanili</t>
  </si>
  <si>
    <t>Camisano
Capralba
Castel Gabbiano
Casaletto di Sopra
Pianengo
Ricengo
Sergnano
Vailate
Misano Gera d’Adda</t>
  </si>
  <si>
    <t>9 Public, 1 NPO (church)</t>
  </si>
  <si>
    <t>Municipaities, Diocesi di Crema</t>
  </si>
  <si>
    <t>Cumignano sul Naviglio
Fiesco
Genivolta
Offanengo
Romanengo
Salvirola
Soncino
Ticengo</t>
  </si>
  <si>
    <t>Municipalities, Diocese di Crema</t>
  </si>
  <si>
    <t>8 Public (municipalities), 2 NPOs (churches)</t>
  </si>
  <si>
    <t>https://www.cremaonline.it/politica/06-12-2024_Consorzio.%2BCostitute%2Ble%2BCer%2BOglio%2BSerio%2Be%2BPalate%2BFontanili/?</t>
  </si>
  <si>
    <t>Castelleone
Gombito
Montodine
Ripalta Arpina
Ripalta Guerina
Trigolo</t>
  </si>
  <si>
    <t>6 Public (municipalities), 3 NPOs (churches)</t>
  </si>
  <si>
    <t>Fulcheria</t>
  </si>
  <si>
    <t>Palate e Fontanili</t>
  </si>
  <si>
    <t>Oglio-Serio</t>
  </si>
  <si>
    <t>Adda-Serio</t>
  </si>
  <si>
    <t>https://www.consorzioit.net/CER-realta?</t>
  </si>
  <si>
    <t>Private (members), Public (PNRR, region)</t>
  </si>
  <si>
    <t>Annicco
Casalmorano
Formigara
Pizzighettone</t>
  </si>
  <si>
    <t>Municipalities</t>
  </si>
  <si>
    <t>https://www.consorzioit.net/valle_dadda?</t>
  </si>
  <si>
    <t>4 Public (municipalities)</t>
  </si>
  <si>
    <t>Cappella Cantone</t>
  </si>
  <si>
    <t>Comune di Pontoglio</t>
  </si>
  <si>
    <t>Comune di Cappella Cantone</t>
  </si>
  <si>
    <t>73 Residential, 14 SMEs, 1 Public</t>
  </si>
  <si>
    <t>https://www.cer-anpci.it/wp-content/uploads/2024/01/Cappella-Cantone_2023_CER-Studio-di-Fattibilita.pdf?</t>
  </si>
  <si>
    <t>Kwp da installare: 500; Prod. kwh/kwp:1.100; Produzione kwh: 550.000; Kw autoconsumati: 275.000; Energia immessa kwh: 275.000 Energia condivisa kwh: 165.000;</t>
  </si>
  <si>
    <t>Quota su reddito dichiarato dai residenti: 5,20%</t>
  </si>
  <si>
    <t>Pontoglio</t>
  </si>
  <si>
    <t>Sondrio</t>
  </si>
  <si>
    <t>Soresina
San Bassano</t>
  </si>
  <si>
    <t>2 Public (municipalities), 4 NPOs (2 churches, 2 foundations)</t>
  </si>
  <si>
    <t>https://www.diocesidicremona.it/tra-soresina-e-san-bassano-prende-avvio-la-sesta-comunita-energetica-rinnovabile-06-12-2024.html?</t>
  </si>
  <si>
    <t>Energy poverty focus</t>
  </si>
  <si>
    <t>Castione
Lanzada
Sondrio
Tresenda</t>
  </si>
  <si>
    <t>Comune di Sondrio,Province of Sondrio, Comunità Montana Valtellina di Sondrio</t>
  </si>
  <si>
    <t>6 Public (4 municipalities, 1 province, 1 other)</t>
  </si>
  <si>
    <t>PV, hydro (in future), biomass (in future)</t>
  </si>
  <si>
    <t>https://www.cmsondrio.it/cmvtnsdr/po/mostra_news.php?area=H&amp;id=238&amp;utm_source=chatgpt.com; https://www.energialombardia.eu/cer/monitoraggio</t>
  </si>
  <si>
    <t>Rudiano</t>
  </si>
  <si>
    <t>Parre</t>
  </si>
  <si>
    <t>Confartigianato Sondrio</t>
  </si>
  <si>
    <t>1 Public (province [non-user], school [prosumer]), 2 NPOs (associations), 3 SMEs (industrial)</t>
  </si>
  <si>
    <t>Weproject, Provincia di Sondrio, Banca Popolare di Sondrio</t>
  </si>
  <si>
    <t>Palazzolo sull'Oglio</t>
  </si>
  <si>
    <t>Comune di Palazzolo Sull'Oglio</t>
  </si>
  <si>
    <t>Kwp da installare: 16.900; Prod. kwh/kwp: 1.100; Produzione kwh: 18.590.000; Energia immessa kwh: 9.295.000 Energia condivisa kwh: 5.577.000; Kw autoconsumati: 9.295.000</t>
  </si>
  <si>
    <t>Quota su reddito dichiarato dai residenti: 4,37%</t>
  </si>
  <si>
    <t>2500 Residential, 500 SMEs, 25 Public</t>
  </si>
  <si>
    <t>https://www.cer-anpci.it/wp-content/uploads/2024/02/Palazzolo-SullOglio_2023_CER-Studio-di-Fattibilita.pdf?; https://primabrescia.it/cronaca/e-nata-ufficialmente-la-comunita-energetica-rinnovabile-a-palazzolo/?utm_source=chatgpt.com</t>
  </si>
  <si>
    <t>700 Residential, 70 SMEs, others</t>
  </si>
  <si>
    <t>Comune di Rudiano</t>
  </si>
  <si>
    <t>https://www.cer-anpci.it/wp-content/uploads/2024/01/Rudiano_2023_CER-Studio-di-Fattibilita.pdf; https://comune.rudiano.bs.it/documenti/2091220/comunita-energia-rinnovabile-rudianese-serata</t>
  </si>
  <si>
    <t>Kwp da installare: 4.300; Prod. kwh/kwp: 1.100; Produzione kwh: 4.730.000; Energia immessa kwh: 2.365.000 Energia condivisa kwh: 1.419.000; Kw autoconsumati: 2.365.000</t>
  </si>
  <si>
    <t>Quota su reddito dichiarato dai residenti: 4,85%</t>
  </si>
  <si>
    <t>Comune di Parre</t>
  </si>
  <si>
    <t>387 Residential, 34 SMEs, 2 Public</t>
  </si>
  <si>
    <t>https://www.cer-anpci.it/wp-content/uploads/2024/02/Parre_2023_CER-Studio-di-Fattibilita.pdf</t>
  </si>
  <si>
    <t>Kwp da installare: 2.300; Prod. kwh/kwp:  1.100; Produzione kwh: 2.530.000; Kw autoconsumati: 1.265.000; Energia immessa kwh: 1.265.000 Energia condivisa kwh: 759.000</t>
  </si>
  <si>
    <t>Quota su reddito dichiarato dai residenti: 4,51%</t>
  </si>
  <si>
    <t>Comune di Orzinuovi</t>
  </si>
  <si>
    <t>Orzinuovi</t>
  </si>
  <si>
    <t>Cologne</t>
  </si>
  <si>
    <t>Adro</t>
  </si>
  <si>
    <t>1712 Residential</t>
  </si>
  <si>
    <t xml:space="preserve">Kwp da installare:  10.300; Prod. kwh/kwp: 1.100; Produzione kwh: 11.330.000; Kw autoconsumati: 5.665.000; Energia immessa kwh: 5.665.000 Energia condivisa kwh: 3.399.000; </t>
  </si>
  <si>
    <t>Quota su reddito dichiarato dai residenti: 4,26%</t>
  </si>
  <si>
    <t>https://www.cer-anpci.it/wp-content/uploads/2024/02/Orzinuovi_2023_CER-Studio-di-Fattibilita_Comune-di-Orzinuovi_-.pdf?; https://fondazione.cogeme.net/wp-content/uploads/2023/05/20230519_GIORNALEPAESEMIO.IT_A_Orzinuovi_nasce_la_Comunit_energetica.pdf?</t>
  </si>
  <si>
    <t>Comune di Cologne</t>
  </si>
  <si>
    <t>Public (kindergarden [prosumer 26kw])</t>
  </si>
  <si>
    <t>https://primabrescia.it/cronaca/energia-pulita-e-rinnovabile-a-chilometro-zero-a-cologne-nasce-la-cer/?</t>
  </si>
  <si>
    <t>Orzivecchi</t>
  </si>
  <si>
    <t>Comune di Adro</t>
  </si>
  <si>
    <t>970 Residential, 120 SMEs, 4 NPOs</t>
  </si>
  <si>
    <t>Kwp da installare:  5.800; Prod. kwh/kwp: 1.100; Produzione kwh: 6.380.000; Kw autoconsumati: 3.190.000; Energia immessa kwh: 3.190.000 Energia condivisa kwh: 1.914.000</t>
  </si>
  <si>
    <t>https://www.cer-anpci.it/wp-content/uploads/2024/01/Adro_2023_CER-Studio-di-Fattibilita.pdf</t>
  </si>
  <si>
    <t>Quota su reddito dichiarato dai residenti: 4,18%</t>
  </si>
  <si>
    <t>Castelverde
Casalbuttano ed Uniti
Olmeneta
Paderno Ponchielli
Corte de’ Frati
Persico Dosimo
Pozzaglio ed Uniti</t>
  </si>
  <si>
    <t>7 Public (municipalities), 6 NPOs (4 churches, 1 foundation, 1 coop)</t>
  </si>
  <si>
    <t>Diocese di Cremona</t>
  </si>
  <si>
    <t>https://www.diocesidicremona.it/comunita-energetiche-rinnovabili-la-rete-si-allarga-altre-tre-fondazioni-cer-costituite-sul-territorio-09-11-2024.html?</t>
  </si>
  <si>
    <t>Comune di Orzivecchi</t>
  </si>
  <si>
    <t>Corzano</t>
  </si>
  <si>
    <t>Berlingo</t>
  </si>
  <si>
    <t>Barbariga</t>
  </si>
  <si>
    <t>Passirano</t>
  </si>
  <si>
    <t>https://www.cer-anpci.it/wp-content/uploads/2024/02/Orzivecchi_2023_CER-Studio-di-Fattibilita_Comune-di-Orzivecchi_-.pdf</t>
  </si>
  <si>
    <t>Kwp da installare: 2.000; Prod. kwh/kwp: 1.100; Produzione kwh: 2.200.000; Kw autoconsumati: 1.100.000; Energia immessa kwh: 1.100.000 Energia condivisa kwh: 660.000</t>
  </si>
  <si>
    <t>Quota su reddito dichiarato dai residenti: 4,96%</t>
  </si>
  <si>
    <t>Comune di Corte Franca</t>
  </si>
  <si>
    <t>985 Residential</t>
  </si>
  <si>
    <t>Corte Franca</t>
  </si>
  <si>
    <t>San Paolo</t>
  </si>
  <si>
    <t>Comune di Berlingo</t>
  </si>
  <si>
    <t>Comune di Passirano</t>
  </si>
  <si>
    <t>PV, biomass, biogas, 20 e-charging</t>
  </si>
  <si>
    <t>https://www.cer-anpci.it/wp-content/uploads/2024/01/Corte-Franca_2023_CER-Studio-di-Fattibilita.pdf</t>
  </si>
  <si>
    <t>Kwp da installare:  5.900; Prod. kwh/kwp:  1.100; Produzione kwh: 6.490.000; Kw autoconsumati: 3.245.000; Energia immessa kwh: 3.245.000 Energia condivisa kwh: 1.947.000</t>
  </si>
  <si>
    <t>Quota su reddito dichiarato dai residenti: 4,05%</t>
  </si>
  <si>
    <t>189 Residential, 19 SMEs, 1 Public</t>
  </si>
  <si>
    <t>https://www.cer-anpci.it/wp-content/uploads/2024/01/Corzano_2023_CER-Studio-di-Fattibilita_Comune-di-Corzano_-.pdf</t>
  </si>
  <si>
    <t>Kwp da installare:  1.100; Prod. kwh/kwp:  1.100; Produzione kwh: 1.210.000; Kw autoconsumati: 605.000; Energia immessa kwh: 605.000 Energia condivisa kwh: 363.000</t>
  </si>
  <si>
    <t>Quota su reddito dichiarato dai residenti: 4,28%</t>
  </si>
  <si>
    <t>Comune di Cazzago San Martino</t>
  </si>
  <si>
    <t>https://www.cer-anpci.it/wp-content/uploads/2024/01/DEfCazzago-San-Martino_2023_CER-Studio-di-Fattibilita_Comune-di-Cazzago-San-Martino_-.pdf</t>
  </si>
  <si>
    <t>Cazzago San Martino</t>
  </si>
  <si>
    <t>Quota su reddito dichiarato dai residenti: 4,31%</t>
  </si>
  <si>
    <t>Kwp da installare:  8.800; Prod. kwh/kwp: 1.100; Produzione kwh: 9.680.000; Kw autoconsumati: 4.840.000; Energia immessa kwh: 4.840.000 Energia condivisa kwh: 2.904.000</t>
  </si>
  <si>
    <t>Comune di San Paolo</t>
  </si>
  <si>
    <t>Comune di Lovere</t>
  </si>
  <si>
    <t>Costa Volpino</t>
  </si>
  <si>
    <t>Monticelli Brusati</t>
  </si>
  <si>
    <t>Castel Mella</t>
  </si>
  <si>
    <t>580 Residential, 60 SMEs, 4 Publc</t>
  </si>
  <si>
    <t>https://www.cer-anpci.it/wp-content/uploads/2024/02/San-Paolo_2023_CER-Studio-di-Fattibilita-1.pdf</t>
  </si>
  <si>
    <t>Kwp da installare: 3.500; Prod. kwh/kwp: 1.100; Produzione kwh: 3.850.000; Kw autoconsumati: 1.925.000; Energia immessa kwh: 1.925.000 Energia condivisa kwh: 1.155.000</t>
  </si>
  <si>
    <t>Quota su reddito dichiarato dai residenti: 4,87%</t>
  </si>
  <si>
    <t>Lovere</t>
  </si>
  <si>
    <t>Kwp da installare: 2.200; Prod. kwh/kwp:  1.100; Produzione kwh: 2.420.000; Kw autoconsumati: 1.210.000; Energia immessa kwh: 1.210.000 Energia condivisa kwh: 726.000</t>
  </si>
  <si>
    <t>Quota su reddito dichiarato dai residenti: 4,69%</t>
  </si>
  <si>
    <t>https://www.cer-anpci.it/wp-content/uploads/2024/01/Berlingo_2023_CER-Studio-di-Fattibilita.pdf?; https://www.comune.berlingo.bs.it/content/view/full/1310</t>
  </si>
  <si>
    <t>Comune di Barbariga</t>
  </si>
  <si>
    <t>https://www.cer-anpci.it/wp-content/uploads/2024/01/Barbariga_2023_CER-Studio-di-Fattibilita.pdf</t>
  </si>
  <si>
    <t>Kwp da installare: 1.800; Prod. kwh/kwp: 1.100; Produzione kwh: 1.980.000; Kw autoconsumati: 990.000; Energia immessa kwh: 990.000 Energia condivisa kwh: 594.000</t>
  </si>
  <si>
    <t>Quota su reddito dichiarato dai residenti: 4,48%</t>
  </si>
  <si>
    <t>Alfianello</t>
  </si>
  <si>
    <t>Gussago</t>
  </si>
  <si>
    <t>1000 Residential, 144 SMEs, 6 Public</t>
  </si>
  <si>
    <t>Kwp da installare: 6.000; Prod. kwh/kwp: 1.100; Produzione kwh: 6.600.000; Kw autoconsumati: 3.300.000; Energia immessa kwh: 3.300.000 Energia condivisa kwh: 1.980.000</t>
  </si>
  <si>
    <t>Quota su reddito dichiarato dai residenti: 3,98%</t>
  </si>
  <si>
    <t>https://www.cer-anpci.it/wp-content/uploads/2024/01/Passirano_2023_CER-Studio-di-Fattibilita_Comune-di-Passirano_-.pdf; https://www.bresciaoggi.it/territorio-bresciano/sebino-franciacorta/anche-a-passirano-nasce-la-comunita-energetica-1.9921371?utm_source=chatgpt.com</t>
  </si>
  <si>
    <t>828 Residential, 115 SMEs, 5 Public</t>
  </si>
  <si>
    <t>PV, 20 e-charging</t>
  </si>
  <si>
    <t>https://www.cer-anpci.it/wp-content/uploads/2024/01/Lovere_2023_CER-Studio-di-Fattibilita.pdf</t>
  </si>
  <si>
    <t>Kwp da installare:  5.000; Prod. kwh/kwp:  1.100; Produzione kwh:  5.500.000; Kw autoconsumati: 2.750.000; Energia immessa kwh: 2.750.000 Energia condivisa kwh: 1.650.000</t>
  </si>
  <si>
    <t>Quota su reddito dichiarato dai residenti: 4,41%</t>
  </si>
  <si>
    <t>https://www.teleboario.it/notizia/5848/comunit-energetica-nascer-a-costa-volpino/</t>
  </si>
  <si>
    <t>Comune di Alfianello</t>
  </si>
  <si>
    <t>Comune di Gussago</t>
  </si>
  <si>
    <t>Comune di Monticelli Brusati</t>
  </si>
  <si>
    <t>ANPCI, Comunità Montana del Sebino Bresciano</t>
  </si>
  <si>
    <t>Comune di Castel Mella</t>
  </si>
  <si>
    <t>1541 Residential, 168 SMEs, 10 Public</t>
  </si>
  <si>
    <t>Kwp da installare:  9.200; Prod. kwh/kwp: : 1.100; Produzione kwh: 10.120.000; Kw autoconsumati: 5.060.000; Energia immessa kwh: 5.060.000 Energia condivisa kwh: 3.036.000</t>
  </si>
  <si>
    <t>https://www.cer-anpci.it/wp-content/uploads/2024/01/Castel-Mella_2023_CER-Studio-di-Fattibilita.pdf</t>
  </si>
  <si>
    <t>Quota su reddito dichiarato dai residenti: 4,21%</t>
  </si>
  <si>
    <t>319 Residential, 33 SMEs, 2 Public</t>
  </si>
  <si>
    <t>https://www.cer-anpci.it/wp-content/uploads/2024/01/Alfianello_2023_CER-Studio-di-Fattibilita.pdf</t>
  </si>
  <si>
    <t>Kwp da installare:  1.900; Prod. kwh/kwp:  1.100; Produzione kwh:  2.090.000; Kw autoconsumati: 1.045.000; Energia immessa kwh: 1.045.000 Energia condivisa kwh: 627.000</t>
  </si>
  <si>
    <t>Quota su reddito dichiarato dai residenti: 4,20%</t>
  </si>
  <si>
    <t>2338 Residential, 328 SMEs, 16 Public</t>
  </si>
  <si>
    <t>PV, 30 e-charging</t>
  </si>
  <si>
    <t>Kwp da installare: 15.000; Prod. kwh/kwp: 1.100; Produzione kwh: 16.500.000; Kw autoconsumati: 8.250.000; Energia immessa kwh: 8.250.000 Energia condivisa kwh: 4.950.000</t>
  </si>
  <si>
    <t>https://www.cer-anpci.it/wp-content/uploads/2024/02/Gussago_2023_CER-Studio-di-Fattibilita.pdf; https://www.gussagonews.it/comune-gussago-punta-creazione-comunita-energetica-febbraio-2023/</t>
  </si>
  <si>
    <t>Sospiro, Vescovato, Pieve San Giacomo, Bonemerse, Malagnino, Grontardo</t>
  </si>
  <si>
    <t>6 Public (municipalities), 9 NPOs (5 churches, 3 foundations, 1 social enter.)</t>
  </si>
  <si>
    <t>Municipalities, Fondazione Cariplo</t>
  </si>
  <si>
    <t>https://www.diocesidicremona.it/comunita-energetiche-rinnovabili-la-rete-si-allarga-altre-tre-fondazioni-cer-costituite-sul-territorio-09-11-2024.html; https://www.qualenergia.it/articoli/crescono-cer-promosse-terzo-settore-enti-locali-quando-ci-sono-risorse/</t>
  </si>
  <si>
    <t>Doicese di Cremona</t>
  </si>
  <si>
    <t>Private (foundation), Public (PNRR)</t>
  </si>
  <si>
    <t>Comune di Seniga</t>
  </si>
  <si>
    <t>209 Residential, 17 SMEs, 2 Public</t>
  </si>
  <si>
    <t>Seniga</t>
  </si>
  <si>
    <t>https://www.cer-anpci.it/wp-content/uploads/2024/02/Seniga_2023_CER-Studio-di-Fattibilita_Comune-di-Seniga_-1-1.pdf</t>
  </si>
  <si>
    <t>Kwp da installare:  1.200; Prod. kwh/kwp: 1.100; Produzione kwh: 1.320.000; Kw autoconsumati: 660.000; Energia immessa kwh: 660.000 Energia condivisa kwh: 396.000</t>
  </si>
  <si>
    <t>Quota su reddito dichiarato dai residenti: 4,49%</t>
  </si>
  <si>
    <t>Pavone Del Mella</t>
  </si>
  <si>
    <t>367 Residential, 43 SMEs, 2 Public</t>
  </si>
  <si>
    <t>Comune di Pavone Del Mella</t>
  </si>
  <si>
    <t>PV, 10 e-charging</t>
  </si>
  <si>
    <t>https://www.cer-anpci.it/wp-content/uploads/2024/02/Pavone-Del-Mella_2023_CER-Studio-di-Fattibilita-1.pdf</t>
  </si>
  <si>
    <t>Kwp da installare: 2.200; Prod. kwh/kwp: 1.100; Produzione kwh: 2.420.000; Kw autoconsumati: 1.210.000; Energia immessa kwh: 1.210.000 Energia condivisa kwh: 726.000</t>
  </si>
  <si>
    <t>Quota su reddito dichiarato dai residenti: 4,50%</t>
  </si>
  <si>
    <t>Num of primary substations</t>
  </si>
  <si>
    <t>Collebeatese</t>
  </si>
  <si>
    <t>Pralboino</t>
  </si>
  <si>
    <t>Montirone</t>
  </si>
  <si>
    <t>Bovezzo</t>
  </si>
  <si>
    <t>Ghedi</t>
  </si>
  <si>
    <t>Gambara</t>
  </si>
  <si>
    <t>Castenedolo</t>
  </si>
  <si>
    <t>669 Residential, 90 SMEs, 4 Public</t>
  </si>
  <si>
    <t>Comune di Collebeato</t>
  </si>
  <si>
    <t>Kwp da installare: 4.000; Prod. kwh/kwp: 1.100; Produzione kwh: 4.400.000; Kw autoconsumati: 2.200.000; Energia immessa kwh: 2.200.000 Energia condivisa kwh: 1.320.000</t>
  </si>
  <si>
    <t>https://www.cer-anpci.it/wp-content/uploads/2024/01/Collebeato_2023_CER-Studio-di-Fattibilita_Comune-di-Collebeato_.pdf</t>
  </si>
  <si>
    <t>Quota su reddito dichiarato dai residenti: 3,41%</t>
  </si>
  <si>
    <t>Comune di Pralboino</t>
  </si>
  <si>
    <t>389 Residential, 36 SMEs, 2 Public</t>
  </si>
  <si>
    <t>https://www.cer-anpci.it/wp-content/uploads/2024/02/Pralboino_2023_CER-Studio-di-Fattibilita-2.pdf</t>
  </si>
  <si>
    <t>Kwp da installare:  2.300; Prod. kwh/kwp: 1.100; Produzione kwh: 2.530.000; Kw autoconsumati: 1.265.000; Energia immessa kwh: 1.265.000 Energia condivisa kwh: 759.000</t>
  </si>
  <si>
    <t>Quota su reddito dichiarato dai residenti: 4,60%</t>
  </si>
  <si>
    <t>Comune di Montirone</t>
  </si>
  <si>
    <t>703 Residential, 85 SMEs, 5 Public</t>
  </si>
  <si>
    <t>https://www.cer-anpci.it/wp-content/uploads/2024/02/Montirone_2023_CER-Studio-di-Fattibilita.pdf</t>
  </si>
  <si>
    <t>Quota su reddito dichiarato dai residenti: 4,66%</t>
  </si>
  <si>
    <t>Kwp da installare:  4.200; Prod. kwh/kwp:  1.100; Produzione kwh: 4.620.000; Kw autoconsumati: 2.310.000; Energia immessa kwh: 2.310.000 Energia condivisa kwh: 1.386.000</t>
  </si>
  <si>
    <t>Comune di Bovezzo</t>
  </si>
  <si>
    <t>1122 Residentials, 120 SMEs, 7 Public</t>
  </si>
  <si>
    <t>https://www.cer-anpci.it/wp-content/uploads/2024/01/Bovezzo_2023_CER-Studio-di-Fattibilita.pdf</t>
  </si>
  <si>
    <t>Quota su reddito dichiarato dai residenti: 4,06%</t>
  </si>
  <si>
    <t>Kwp da installare: 6.700; Prod. kwh/kwp:  1.100; Produzione kwh: 7.370.000; Kw autoconsumati: 3.685.000; Energia immessa kwh: 3.685.000 Energia condivisa kwh: 2.211.000</t>
  </si>
  <si>
    <t>Comune di Ghedi</t>
  </si>
  <si>
    <t>2445 Residential, 278 SMEs, 18 Public</t>
  </si>
  <si>
    <t>https://www.cer-anpci.it/wp-content/uploads/2024/02/Ghedi_2023_CER-Studio-di-Fattibilita_Comune-di-Ghedi_.pdf</t>
  </si>
  <si>
    <t>Kwp da installare:  14.700; Prod. kwh/kwp:  1.100; Produzione kwh:  16.170.000; Kw autoconsumati: 8.085.000; Energia immessa kwh: 8.085.000 Energia condivisa kwh: 4.851.000</t>
  </si>
  <si>
    <t>Comune di Gambara</t>
  </si>
  <si>
    <t>https://www.cer-anpci.it/wp-content/uploads/2024/01/Gambara_2023_CER-Studio-di-Fattibilita.pdf</t>
  </si>
  <si>
    <t>Kwp da installare:  3.700; Prod. kwh/kwp:  1.100; Produzione kwh: 4.070.000; Kw autoconsumati: 2.035.000; Energia immessa kwh: 2.035.000 Energia condivisa kwh: 1.221.000</t>
  </si>
  <si>
    <t>Comune di Castenedolo</t>
  </si>
  <si>
    <t>1608 Residential, 226 SMEs, 11 Public</t>
  </si>
  <si>
    <t>PV, 26 e-charging</t>
  </si>
  <si>
    <t>https://www.cer-anpci.it/wp-content/uploads/2024/01/DefCastenedolo_2023_CER-Studio-di-Fattibilita_Comune-di-Castenedolo_-7.pdf</t>
  </si>
  <si>
    <t>Costo installazione kwp: 1.200,00; Recupero investimento in anni: 6,90; Quota su reddito dichiarato dai residenti: 7,87%</t>
  </si>
  <si>
    <t>Kwp da installare: 12.121; Prod. kwh/kwp:  1.100; Produzione kwh: 13.333.100; Kw autoconsumati: 6.666.550; Energia immessa kwh: 6.666.550 Energia condivisa kwh: 3.999.930</t>
  </si>
  <si>
    <t>Comune di Breno</t>
  </si>
  <si>
    <t>Breno</t>
  </si>
  <si>
    <t>800 Residential, 150 SMEs, 10 Public</t>
  </si>
  <si>
    <t>https://www.cer-anpci.it/wp-content/uploads/2024/01/Breno_2023_CER-Studio-di-Fattibilita_Comune-di-Breno.pdf</t>
  </si>
  <si>
    <t>Quota su reddito dichiarato dai residenti: 4,97%</t>
  </si>
  <si>
    <t>Kwp da installare:  4.800; Prod. kwh/kwp: 1.100; Produzione kwh: 5.280.000; Kw autoconsumati: 2.640.000; Energia immessa kwh: 2.640.000 Energia condivisa kwh: 1.584.000</t>
  </si>
  <si>
    <t>Berzo Demo</t>
  </si>
  <si>
    <t>Comune di Calvisano</t>
  </si>
  <si>
    <t>Comune di Berzo Demo</t>
  </si>
  <si>
    <t>241 Residential, 23 SMEs, 1 Public</t>
  </si>
  <si>
    <t>https://www.cer-anpci.it/wp-content/uploads/2024/01/DefBerzo-Demo_2023_CER-Studio-di-Fattibilita_Comune-di-Berzo-Demo_-.pdf</t>
  </si>
  <si>
    <t>Quota su reddito dichiarato dai residenti: 5,40%</t>
  </si>
  <si>
    <t>Stima fabbisogno totale kwh: 6.030.100; Kwp da installare: 1.400; Prod. kwh/kwp: 1.100; Produzione kwh: 1.540.000; Kw autoconsumati: 770.000; Energia immessa kwh: 770.000 Energia condivisa kwh: 462.000</t>
  </si>
  <si>
    <t>Comune di Monno</t>
  </si>
  <si>
    <t>Monno</t>
  </si>
  <si>
    <t>Calvisano</t>
  </si>
  <si>
    <t>https://www.cer-anpci.it/assemblea-pubblica-a-monno-bs/</t>
  </si>
  <si>
    <t>https://www.cer-anpci.it/wp-content/uploads/2024/01/Calvisano_2023_CER-Studio-di-Fattibilita.pdf?</t>
  </si>
  <si>
    <t>1125 Residential, 129 SMEs, 8 Public</t>
  </si>
  <si>
    <t>Kwp da installare: 6.800; Prod. kwh/kwp: 1.100; Produzione kwh: 7.480.000; Kw autoconsumati: 3.740.000; Energia immessa kwh: 3.740.000 Energia condivisa kwh: 2.244.000</t>
  </si>
  <si>
    <t>Quota su reddito dichiarato dai residenti: 4,57%</t>
  </si>
  <si>
    <t>6 Public (municipalities), 8 NPOs (5 churches, 3 other NPOs)</t>
  </si>
  <si>
    <t>https://cremonasera.it/cronaca/nasce-a-gussola-la-prima-comunit-energetica-rinnovabile-fondazione-cer-top-energie-ets-coinvolti-6-comuni-5-parrocchie-e-3-enti-del-terzo-settore-gi-pronti-altri-5-progetti; https://www.diocesidicremona.it/anche-nella-bergamasca-la-prima-comunita-energetica-rinnovabile-del-progetto-diocesano-29-11-2024.html</t>
  </si>
  <si>
    <t>Gussola, Piadena Drizzona, San Giovanni in Croce, Scandolara Ravara, Martignana Po, Rivarolo Mantovano</t>
  </si>
  <si>
    <t>Cevo</t>
  </si>
  <si>
    <t>Comune di Cevo</t>
  </si>
  <si>
    <t>149 Residential, 14 SMEs, 1 Public</t>
  </si>
  <si>
    <t>https://www.cer-anpci.it/wp-content/uploads/2024/01/Cevo_2023_CER-Studio-di-Fattibilita.pdf</t>
  </si>
  <si>
    <t>Kwp da installare:  1.000; Prod. kwh/kwp:  1.100; Produzione kwh: 1.100.000; Kw autoconsumati: 550.000; Energia immessa kwh: 550.000 Energia condivisa kwh: 330.000</t>
  </si>
  <si>
    <t>Quota su reddito dichiarato dai residenti: 6,93%</t>
  </si>
  <si>
    <t>Vezza d'Oglio</t>
  </si>
  <si>
    <t>https://www.cer-anpci.it/cer-vezza-doglio/</t>
  </si>
  <si>
    <t>Comune di Vezza d'Oglio</t>
  </si>
  <si>
    <t>https://www.diocesidicremona.it/comunita-energetiche-rinnovabili-la-rete-si-allarga-altre-tre-fondazioni-cer-costituite-sul-territorio-09-11-2024.html?utm_source=chatgpt.com</t>
  </si>
  <si>
    <t>Viadana, Casalmaggiore, Commessaggio, Pomponesco</t>
  </si>
  <si>
    <t>4 Public (municipalities), 12 NPOs (7 churches, 3 foundations, 1 coop., 1 kindergarden)</t>
  </si>
  <si>
    <t>Comune di Piubega</t>
  </si>
  <si>
    <t>Piubega</t>
  </si>
  <si>
    <t>https://www.cer-anpci.it/assemblea-pubblica-a-piubega-mn-6-novembre/</t>
  </si>
  <si>
    <t>Rodigo</t>
  </si>
  <si>
    <t>https://www.sorgenia.it/content/comunita-energetiche-rinnovabili-al-quattro-comuni-nel-mantovano</t>
  </si>
  <si>
    <t>4 Public (school [1 [prosumer], warehouses [2 prosumers], sport/complex [1 prosumer]</t>
  </si>
  <si>
    <t>Roverbella</t>
  </si>
  <si>
    <t>Comune di Lograto</t>
  </si>
  <si>
    <t>https://www.cer-anpci.it/assemblea-pubblica-cer-lograto15-aprile-2024/</t>
  </si>
  <si>
    <t>Fossa, Scoppito, San Demetrio, Poggio Picenze, Navelli, Barisciano, Civitella Casanova, Torricella Sicura, Teramo, Montereale, Civitella del Tronto</t>
  </si>
  <si>
    <t>Assergi</t>
  </si>
  <si>
    <t>? Public (car parking [1 standalone 1000kw], warehouses  [? prosumers 998kw]), 87 residential and industrial (consumers)</t>
  </si>
  <si>
    <t>https://abruzzoweb.it/comunita-energetiche-a-laquila-ecco-progetto-i-sei-impianti-e-i-risparmi-per-i-cittadini/?</t>
  </si>
  <si>
    <t>2 Public (sport/complex [1 prosumer 350kw], sport/stadium [1 prosumer 450kw])</t>
  </si>
  <si>
    <t xml:space="preserve">1 Public (car parking [1 standalone 999kw]), 9 residential and SMEs </t>
  </si>
  <si>
    <t>In perspective, there is also a project by the University of L'Aquila to create storage plants using hydrogen technology, so that energy can be used for example at night in the case of solar panels, or when necessary, for example to meet peaks in demand.</t>
  </si>
  <si>
    <t>Public (waste management company [? Prosumers 950kw])</t>
  </si>
  <si>
    <t>40% public funds, 60% private funds</t>
  </si>
  <si>
    <t>33.028.528,43</t>
  </si>
  <si>
    <t>Cascia, Cerreto di Spoleto, Sellano, Norcia, Vallo di Nera, Sant'Anatolia di Narco, Monteleone di Spoleto</t>
  </si>
  <si>
    <t>Belforte del Chienti, Caldarola, Camporotondo di Fiastrone, Cessapalombo, Colmurano, Gualgo, Loro Piceno, Monte San Martino, Penna San Giovanni, Ripe San Ginesio, San Ginesio, Sant'Angelo in Pontano, Serrapetrona .</t>
  </si>
  <si>
    <t>Public ([88 prosumers]), Residential and SMEs (130 residential [90 prosumers])</t>
  </si>
  <si>
    <t>288 Public ([288 prosumers]), 614 Residential ([302 prosumers])</t>
  </si>
  <si>
    <t>Matelica, Treia, Castignano, Apiro, Esanatoglia, Montappone, Cossignano, Montelparo, Monteleone di Fermo.</t>
  </si>
  <si>
    <t>Camerino, Muccia, Serravalle del Chienti, Castelraimondo, Gagliole</t>
  </si>
  <si>
    <t>6 Public ([29 prosumers]), 300 Residential ([124 prosumers, 176 consumers]), producer (hydro, standalone)</t>
  </si>
  <si>
    <t>PV standalone, %</t>
  </si>
  <si>
    <t>Tossicia, Teramo</t>
  </si>
  <si>
    <t>Teramo</t>
  </si>
  <si>
    <t>Buccino</t>
  </si>
  <si>
    <t>Pelugo, Spiazzo, Porte di Rendena, Borgo Lares, Sella Giudicarie, Tione di Trento, Tre Ville</t>
  </si>
  <si>
    <t>https://www.cerpiugreen.it/; https://www.ilrestodelcarlino.it/ancona/cronaca/comunita-energetiche-ecco-la-prima-coop-d10f4949?live</t>
  </si>
  <si>
    <t>Total energy fed into the grid 1.098 MWh; Total incentivized/shared energy 767.8 MWh; Physical self-consumption 330 MWh</t>
  </si>
  <si>
    <t>CER Valdarno</t>
  </si>
  <si>
    <t>https://www.cervaldarno.it/chi-siamo; https://confcommercio.ar.it/articoli/altro/21159-valdarno-nasce-la-comunita-energetica-cer-valdarno</t>
  </si>
  <si>
    <t>1 Public (23 municipality [schools, gyms, cemeteries, etc]), ? residential</t>
  </si>
  <si>
    <t>PV, hydro 500 kw</t>
  </si>
  <si>
    <t>2 standalone [PV 3000kw, hydro 500kw]</t>
  </si>
  <si>
    <t>Public (university [20 prosumers, 1 standalone 1000kw]), Residential</t>
  </si>
  <si>
    <t>Public (5 roofs and 1 parking [prosumer]), Residential (186 prosumers, 58 consumers)</t>
  </si>
  <si>
    <t>PV Capacity (inst. or plan) kw</t>
  </si>
  <si>
    <t>Capacity (inst. or plan) kw</t>
  </si>
  <si>
    <t>1 public (municipality), ? SMEs (local utility, SMEs), ? Residential, 2 producers standalone [1 wind, 1 PV]</t>
  </si>
  <si>
    <t>Public (1 prosumer, 5 car parking standalone), residential (consumer)</t>
  </si>
  <si>
    <t>5 SMEs min (agricultural market/parking [standalone 4000kw, 1 prosumer 200kw], industrial site [standalone biogas 50 kwe], commercial/mall [1 prosumer 200kw], industrial [2 prosumers 200kw+200kw]),  3 Residential (social [3 prosumers 33kw+33kw+33kw)</t>
  </si>
  <si>
    <t>Amatrice</t>
  </si>
  <si>
    <t>Castel Sant’Angelo</t>
  </si>
  <si>
    <t>Aquila</t>
  </si>
  <si>
    <t>Bologna</t>
  </si>
  <si>
    <t>Capacity per 1 substation, kw</t>
  </si>
  <si>
    <t>https://esg.nexteconomia.org/utente/ezio-chiaramello/; https://www.qualenergia.it/articoli/comunita-energetica-valpellice-aspetti-economici-energetici-sociali/; https://www.ecodallecitta.it/grazie-a-acea-pinerolese-nasce-la-comunita-energetica-valpellice/</t>
  </si>
  <si>
    <t>2 NPOs (churches [2 consumers]), 2 SMEs (sport/complex [2 prosumers]), ? residential ([consumers])</t>
  </si>
  <si>
    <t>3 NPOs ( 86kw churchs [2 prosumers], 15kw social canteen [1 prosumer], church [consumer])</t>
  </si>
  <si>
    <t>https://sinergiecondivise.it/comunita-energetiche-rinnovabili/; https://fondazionemirafiori.it/comunita-cers-mirafiori</t>
  </si>
  <si>
    <t>1 Public [1 prosumer], 4 NPOs (2 cooperatives [1 prosumer/office, 1 consumer], solidarity condominium [consumer], other [consumer]),  26 Residential [consumers]</t>
  </si>
  <si>
    <t>5 Public (schools [2 consumers], town hall [2 prosumers, 1 consumer]), 22 NPOs [cooperatives/offices [3 prosumers, 4 consumers], associations/foundations/offices [4 prosumers, 6 consumers], church [2 prosumers, 2 consumers]),  1 SME ([prosumer])</t>
  </si>
  <si>
    <t>4 NPOs (church [1 prosumer], foundations/onlus/offices [3 prosumers]), 1 SME (commercial, [prosumer]), 11 Residential ( consumers)</t>
  </si>
  <si>
    <t>personal participation at FVG regional event; https://fvgenergia.it/export/sites/energia/documents/CER/5_Sessione-CER.pdf</t>
  </si>
  <si>
    <t>Public [prosumers 6 roofs], NPOs [prosumers 5 roofs]</t>
  </si>
  <si>
    <t>All Calabria</t>
  </si>
  <si>
    <t>Number of members and typology of members</t>
  </si>
  <si>
    <t>Shares, %</t>
  </si>
  <si>
    <t>3 NPOs [prosumers/offices], 1 SME [prosumer/private school], 1 Public (municipality [prosumer/town hall])</t>
  </si>
  <si>
    <t>5 SMEs (3 prosumers with a total 185 kwp [industrial], 2 consumers], 30 Residential [18 prosumers with a total 45 kwp, 12 consumers]</t>
  </si>
  <si>
    <t>27 SMEs (commercial [14 prosumers], tourist/hotel [13 prosumers])</t>
  </si>
  <si>
    <t>Residential (consumer), SMEs (consumer), public (town halls, schools, sport/football stadium [prosumers])</t>
  </si>
  <si>
    <t>Public (municipality [prosumer])</t>
  </si>
  <si>
    <t>Public [103kw prosumer/sport/autodrom, consumer/social center], 7 NPOs [92kw prosumer/seminario church, 99kw standalone/water surface, consumers/1 church and 5 coops], 1 SME [437 kw prosumer/industrial], Standalone 3d party [905 kw+1 MW].</t>
  </si>
  <si>
    <t>11 Public (? Municipalities, 3 schools [1 prosumer 19,8kw, 1 prosumer 60kw, 1 prosumer 20kw]), 4 SMEs, 15 Residential</t>
  </si>
  <si>
    <t>3 Public (municipalities, cemetery [standalone 50kw]), 3 NPOs (5 associations and 5 churches [10 prosumers/92 kwp + 50kwp +100kw +50kw+5kw+5kw+5kw+5kw+5kw+5kw, 5 consumers), 16 Residential [12 prosumers, 4 consumers]</t>
  </si>
  <si>
    <t>PV standalone, N</t>
  </si>
  <si>
    <t>Produced energy 21 Mwh/year. Shared energy 6,3 Mwh/year</t>
  </si>
  <si>
    <t>Revenue from energy sales/year</t>
  </si>
  <si>
    <t>Revenue from shared energy/year</t>
  </si>
  <si>
    <t>Total energy fed into the grid
91.2 MWh
Total incentivized/shared energy
91.2 MWh
Physical self-consumption
22 MWh</t>
  </si>
  <si>
    <t>Total energy fed into the grid
286.6 MWh
Total incentivized/shared energy
95.9 MWh
Physical self-consumption
4 MWh</t>
  </si>
  <si>
    <t>Total energy fed into the grid
288.8 MWh
Total incentivized/shared energy
59.2 MWh
Physical self-consumption
276.6 MWh</t>
  </si>
  <si>
    <t>Total energy fed into the grid
284.3 MWh
Total incentivized/shared energy
284.3 MWh
Physical self-consumption
94.3 MWh</t>
  </si>
  <si>
    <t>Energy poverty inclined. Regulation of redistribution of benefits
40% Prosumer
25% Consumer
25% Social Fund
10% Management Costs</t>
  </si>
  <si>
    <t>Total energy produced
95 MWh
Total energy fed into the grid
50 MWh
Total incentivized/shared energy
25 MWh</t>
  </si>
  <si>
    <t>Total energy produced
70 MWh
Total energy fed into the grid
70 MWh
Total incentivized/shared energy
53.2 MWh</t>
  </si>
  <si>
    <t>https://esg.nexteconomia.org/utente/cer-di-borgo-val-di-taro/</t>
  </si>
  <si>
    <t>Total energy fed into the grid
243.1 MWh
Total incentivized/shared energy
40.8 MWh
Physical self-consumption
69.8 MWh</t>
  </si>
  <si>
    <t xml:space="preserve">Energy poverty inclined.Regulation of redistribution of benefits
20% Prosumer
70% Consumer
10% Management Costs
</t>
  </si>
  <si>
    <t>Total energy produced
51 MWh
Total energy fed into the grid
36 MWh
Total incentivized/shared energy
28.80 MWh</t>
  </si>
  <si>
    <t>Total energy produced
46 MWh
Total energy fed into the grid
37.5 MWh
Total incentivized/shared energy
25.1 MWh</t>
  </si>
  <si>
    <t>Regulation of redistribution of benefits
Regulation on the distribution of the amounts resulting from the
Energy Sharing of the Sant'Elia Renewable Energy Community provides:
2. The Community may hold, for the purposes of art. 42 bis, Legislative Decree 162/2019, pursuant to art.
3.2, letter D) of Annex A to Resolution no. 318/2020 of the Regulatory Authority for Networks and
the Environment, plants of Community Members or, where permitted, of third parties provided
that the latter sign this Regulation for acceptance.
Article 3 – Allocation of Amounts from Energy Sharing
1. The Amounts from Community Energy Sharing will be allocated:
i. to the payment to the Municipality of the fee for making
the plant available to the CER as a “Plant for the production of electricity
powered by renewable sources owned by the
renewable energy community”, according to the agreements reached with the Municipality through a specific
agreement, or with the other members or third-party producers;
ii. to cover the administrative costs defined in the Technical Rules of the GSE and
invoiced by the same and the other operating costs of the
Community. The amounts due to the GSE are due on an annual basis and
recognized to the GSE through compensation of the amounts paid;
iii. to the refund to the members of the CER, pursuant to the following art. 4;
iv. for the remaining share and secondarily, to the institutional purposes of the Community
or, as established by the Members' Assembly, to
social initiatives, environmental redevelopment or social support
in the local area in which it operates.
Article 4 – Refund of Amounts deriving from Energy Sharing
1. The refund to the members of the Amounts deriving from Community Energy Sharing
, referred to in art. 3 (iii) will be made through annual payments by the
Community, in accordance with the tax regime applicable from time to time.
2. The calculation of the Contribution to the reduction of Energy Costs will take place as
established in Annex 1, taking into account the contribution of each member to
energy sharing.
3. In any case, in anticipation of the variable number of members of the CER, in particular
for decreasing numbers, the Contribution to the reduction of Energy Costs cannot
exceed the limit of €118.22/MWh (calculated according to the values ​​of the
2020 Arera unit fee) of shared energy for each individual member plus the remuneration
of the energy fed into the grid at a zonal price (reference value equal to €144/MWh).
Any excess revenue, if any, will be set aside and used in
accordance with the provisions of Article 3(iv) for the institutional purposes of the Community,
as established by the Members' Assembly.
4. In anticipation of increasing numbers of members, the Contribution to the reduction of
Energy Costs to be divided among the members cannot exceed the value generated by
a maximum of 80% of energy shared within the community. If the
sharing index is greater than 80%, the value generated by the remaining 20% ​​will be
set aside and used in accordance with the provisions of Article 3(iv) for the
institutional purposes of the Community, as established by the Members' Assembly.
5. The Community will forward to the members on an annual basis:
i. the statement relating to the Amounts deriving from Energy Sharing received
from GSE under the Incentive and Enhancement Service (the
“Statement”);
ii. The calculation of the Contribution to the reduction of Energy Costs due to each
member pursuant to this Article. If the Statement and the Contribution to the reduction of Energy Costs are not contested within ten days of receipt by the members, they will be considered approved.</t>
  </si>
  <si>
    <t>Total energy fed into the grid
40.9 MWh
Total incentivized/shared energy
36.25 MWh</t>
  </si>
  <si>
    <t>Total energy produced
1.095 MWh
Total energy fed into the grid
1.048 MWh
Total incentivized/shared energy
1.034 MWh</t>
  </si>
  <si>
    <t>Energy povery aim. 10% WILL GO TO THE MUNICIPALITY WHICH COMMITS TO USE THEM FOR THE PURPOSE OF FIGHTING ENERGY POVERTY. Has objective to grow to 1,8 MWp</t>
  </si>
  <si>
    <t>Number of members and capacity installed per type of prosumer/consumer/producer</t>
  </si>
  <si>
    <t>Building typology availability</t>
  </si>
  <si>
    <t>Building types</t>
  </si>
  <si>
    <t>Total energy produced
40 MWh
Total energy fed into the grid
19 MWh
Total incentivized/shared energy
17 MWh</t>
  </si>
  <si>
    <t>Total energy produced
60 MWh
Total energy fed into the grid
55 MWh
Total incentivized/shared energy
40 MWh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</si>
</sst>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2]\ #,##0.00;[Red]\-[$€-2]\ #,##0.00"/>
  </numFmts>
  <fonts count="21" x14ac:knownFonts="1">
    <font>
      <sz val="11"/>
      <color theme="1"/>
      <name val="Calibri"/>
      <family val="2"/>
      <charset val="204"/>
      <scheme val="minor"/>
    </font>
    <font>
      <sz val="10"/>
      <color theme="1"/>
      <name val="Calibri"/>
      <family val="2"/>
      <charset val="204"/>
      <scheme val="minor"/>
    </font>
    <font>
      <b/>
      <sz val="11"/>
      <color theme="1"/>
      <name val="Calibri"/>
      <family val="2"/>
      <charset val="204"/>
      <scheme val="minor"/>
    </font>
    <font>
      <b/>
      <sz val="10"/>
      <color theme="1"/>
      <name val="Calibri"/>
      <family val="2"/>
      <charset val="204"/>
      <scheme val="minor"/>
    </font>
    <font>
      <sz val="12"/>
      <color theme="1"/>
      <name val="Calibri"/>
      <family val="2"/>
      <charset val="204"/>
      <scheme val="minor"/>
    </font>
    <font>
      <b/>
      <sz val="12"/>
      <color theme="1"/>
      <name val="Calibri"/>
      <family val="2"/>
      <charset val="204"/>
      <scheme val="minor"/>
    </font>
    <font>
      <sz val="18"/>
      <color theme="1"/>
      <name val="Calibri"/>
      <family val="2"/>
      <charset val="204"/>
      <scheme val="minor"/>
    </font>
    <font>
      <u/>
      <sz val="11"/>
      <color theme="10"/>
      <name val="Calibri"/>
      <family val="2"/>
      <charset val="204"/>
      <scheme val="minor"/>
    </font>
    <font>
      <sz val="9"/>
      <color theme="1"/>
      <name val="Calibri"/>
      <family val="2"/>
      <charset val="204"/>
      <scheme val="minor"/>
    </font>
    <font>
      <b/>
      <sz val="14"/>
      <color theme="1"/>
      <name val="Calibri"/>
      <family val="2"/>
      <charset val="204"/>
      <scheme val="minor"/>
    </font>
    <font>
      <sz val="11"/>
      <color theme="1"/>
      <name val="Calibri"/>
      <family val="2"/>
      <scheme val="minor"/>
    </font>
    <font>
      <u/>
      <sz val="11"/>
      <color theme="10"/>
      <name val="Calibri"/>
      <family val="2"/>
    </font>
    <font>
      <sz val="11"/>
      <color theme="1"/>
      <name val="Arial"/>
      <family val="2"/>
      <charset val="204"/>
    </font>
    <font>
      <b/>
      <sz val="9"/>
      <color theme="1"/>
      <name val="Calibri"/>
      <family val="2"/>
      <charset val="204"/>
      <scheme val="minor"/>
    </font>
    <font>
      <sz val="11"/>
      <name val="Calibri"/>
      <family val="2"/>
      <charset val="204"/>
      <scheme val="minor"/>
    </font>
    <font>
      <b/>
      <i/>
      <sz val="14"/>
      <color theme="1"/>
      <name val="Calibri"/>
      <family val="2"/>
      <scheme val="minor"/>
    </font>
    <font>
      <u/>
      <sz val="11"/>
      <color theme="1"/>
      <name val="Calibri"/>
      <family val="2"/>
      <charset val="204"/>
      <scheme val="minor"/>
    </font>
    <font>
      <sz val="11"/>
      <color theme="1"/>
      <name val="Source Sans Pro"/>
      <family val="2"/>
    </font>
    <font>
      <sz val="13"/>
      <color theme="1"/>
      <name val="Arial"/>
      <family val="2"/>
      <charset val="204"/>
    </font>
    <font>
      <b/>
      <sz val="11"/>
      <color theme="1"/>
      <name val="Arial"/>
      <family val="2"/>
      <charset val="204"/>
    </font>
    <font>
      <sz val="12"/>
      <color theme="1"/>
      <name val="Arial"/>
      <family val="2"/>
      <charset val="204"/>
    </font>
  </fonts>
  <fills count="11">
    <fill>
      <patternFill patternType="none"/>
    </fill>
    <fill>
      <patternFill patternType="gray125"/>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rgb="FFBBD32D"/>
        <bgColor indexed="64"/>
      </patternFill>
    </fill>
    <fill>
      <patternFill patternType="solid">
        <fgColor theme="8" tint="0.79998168889431442"/>
        <bgColor indexed="64"/>
      </patternFill>
    </fill>
    <fill>
      <patternFill patternType="solid">
        <fgColor theme="9" tint="-0.249977111117893"/>
        <bgColor indexed="64"/>
      </patternFill>
    </fill>
    <fill>
      <patternFill patternType="solid">
        <fgColor theme="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s>
  <cellStyleXfs count="4">
    <xf numFmtId="0" fontId="0" fillId="0" borderId="0"/>
    <xf numFmtId="0" fontId="7" fillId="0" borderId="0" applyNumberFormat="0" applyFill="0" applyBorder="0" applyAlignment="0" applyProtection="0"/>
    <xf numFmtId="0" fontId="10" fillId="0" borderId="0"/>
    <xf numFmtId="0" fontId="11" fillId="0" borderId="0" applyNumberFormat="0" applyFill="0" applyBorder="0" applyAlignment="0" applyProtection="0">
      <alignment vertical="top"/>
      <protection locked="0"/>
    </xf>
  </cellStyleXfs>
  <cellXfs count="88">
    <xf numFmtId="0" fontId="0" fillId="0" borderId="0" xfId="0"/>
    <xf numFmtId="0" fontId="0" fillId="0" borderId="0" xfId="0" applyAlignment="1">
      <alignment wrapText="1"/>
    </xf>
    <xf numFmtId="0" fontId="1" fillId="0" borderId="0" xfId="0" applyFont="1" applyAlignment="1">
      <alignment wrapText="1"/>
    </xf>
    <xf numFmtId="0" fontId="0" fillId="0" borderId="4" xfId="0" applyBorder="1"/>
    <xf numFmtId="0" fontId="0" fillId="0" borderId="6" xfId="0" applyBorder="1"/>
    <xf numFmtId="0" fontId="1" fillId="0" borderId="0" xfId="0" applyFont="1"/>
    <xf numFmtId="0" fontId="1" fillId="2" borderId="1" xfId="0" applyFont="1" applyFill="1" applyBorder="1"/>
    <xf numFmtId="0" fontId="1" fillId="2" borderId="1" xfId="0" applyFont="1" applyFill="1" applyBorder="1" applyAlignment="1">
      <alignment wrapText="1"/>
    </xf>
    <xf numFmtId="0" fontId="1" fillId="2" borderId="0" xfId="0" applyFont="1" applyFill="1" applyAlignment="1">
      <alignment wrapText="1"/>
    </xf>
    <xf numFmtId="0" fontId="1" fillId="3" borderId="1" xfId="0" applyFont="1" applyFill="1" applyBorder="1" applyAlignment="1">
      <alignment wrapText="1"/>
    </xf>
    <xf numFmtId="0" fontId="1" fillId="6" borderId="1" xfId="0" applyFont="1" applyFill="1" applyBorder="1" applyAlignment="1">
      <alignment wrapText="1"/>
    </xf>
    <xf numFmtId="0" fontId="8" fillId="2" borderId="1" xfId="0" applyFont="1" applyFill="1" applyBorder="1"/>
    <xf numFmtId="0" fontId="8" fillId="2" borderId="0" xfId="0" applyFont="1" applyFill="1" applyAlignment="1">
      <alignment wrapText="1"/>
    </xf>
    <xf numFmtId="0" fontId="8" fillId="2" borderId="1" xfId="0" applyFont="1" applyFill="1" applyBorder="1" applyAlignment="1">
      <alignment wrapText="1"/>
    </xf>
    <xf numFmtId="0" fontId="8" fillId="3" borderId="1" xfId="0" applyFont="1" applyFill="1" applyBorder="1" applyAlignment="1">
      <alignment wrapText="1"/>
    </xf>
    <xf numFmtId="0" fontId="8" fillId="6" borderId="1" xfId="0" applyFont="1" applyFill="1" applyBorder="1" applyAlignment="1">
      <alignment wrapText="1"/>
    </xf>
    <xf numFmtId="0" fontId="8" fillId="0" borderId="0" xfId="0" applyFont="1"/>
    <xf numFmtId="0" fontId="1" fillId="7" borderId="1" xfId="0" applyFont="1" applyFill="1" applyBorder="1" applyAlignment="1">
      <alignment wrapText="1"/>
    </xf>
    <xf numFmtId="1" fontId="1" fillId="0" borderId="0" xfId="0" applyNumberFormat="1" applyFont="1"/>
    <xf numFmtId="0" fontId="1" fillId="8" borderId="1" xfId="0" applyFont="1" applyFill="1" applyBorder="1" applyAlignment="1">
      <alignment wrapText="1"/>
    </xf>
    <xf numFmtId="0" fontId="1" fillId="0" borderId="11" xfId="0" applyFont="1" applyBorder="1"/>
    <xf numFmtId="0" fontId="1" fillId="9" borderId="0" xfId="0" applyFont="1" applyFill="1" applyAlignment="1">
      <alignment wrapText="1"/>
    </xf>
    <xf numFmtId="0" fontId="2" fillId="0" borderId="7" xfId="0" applyFont="1" applyBorder="1" applyAlignment="1">
      <alignment horizontal="center"/>
    </xf>
    <xf numFmtId="0" fontId="2" fillId="4" borderId="2" xfId="0" applyFont="1" applyFill="1" applyBorder="1"/>
    <xf numFmtId="0" fontId="2" fillId="4" borderId="3" xfId="0" applyFont="1" applyFill="1" applyBorder="1"/>
    <xf numFmtId="0" fontId="2" fillId="0" borderId="7" xfId="0" applyFont="1" applyBorder="1" applyAlignment="1">
      <alignment horizontal="center" vertical="center"/>
    </xf>
    <xf numFmtId="0" fontId="0" fillId="0" borderId="6" xfId="0" applyBorder="1" applyAlignment="1">
      <alignment wrapText="1"/>
    </xf>
    <xf numFmtId="0" fontId="2" fillId="0" borderId="5" xfId="0" applyFont="1" applyBorder="1" applyAlignment="1">
      <alignment horizontal="center" vertical="center"/>
    </xf>
    <xf numFmtId="0" fontId="0" fillId="0" borderId="2" xfId="0" applyBorder="1" applyAlignment="1">
      <alignment horizontal="left"/>
    </xf>
    <xf numFmtId="0" fontId="2" fillId="0" borderId="3" xfId="0" applyFont="1" applyBorder="1" applyAlignment="1">
      <alignment horizontal="center" vertical="center"/>
    </xf>
    <xf numFmtId="0" fontId="0" fillId="5" borderId="6" xfId="0" applyFill="1" applyBorder="1" applyAlignment="1">
      <alignment horizontal="left"/>
    </xf>
    <xf numFmtId="0" fontId="0" fillId="5" borderId="4" xfId="0" applyFill="1" applyBorder="1" applyAlignment="1">
      <alignment horizontal="left"/>
    </xf>
    <xf numFmtId="0" fontId="2" fillId="0" borderId="5" xfId="0" applyFont="1" applyBorder="1" applyAlignment="1">
      <alignment horizontal="center"/>
    </xf>
    <xf numFmtId="0" fontId="2" fillId="0" borderId="12" xfId="0" applyFont="1" applyBorder="1"/>
    <xf numFmtId="0" fontId="0" fillId="0" borderId="8" xfId="0" applyBorder="1"/>
    <xf numFmtId="164" fontId="0" fillId="10" borderId="7" xfId="0" applyNumberFormat="1" applyFill="1" applyBorder="1" applyAlignment="1">
      <alignment horizontal="center"/>
    </xf>
    <xf numFmtId="0" fontId="0" fillId="0" borderId="9" xfId="0" applyBorder="1"/>
    <xf numFmtId="164" fontId="0" fillId="10" borderId="5" xfId="0" applyNumberFormat="1" applyFill="1" applyBorder="1" applyAlignment="1">
      <alignment horizontal="center"/>
    </xf>
    <xf numFmtId="0" fontId="12" fillId="0" borderId="10" xfId="0" applyFont="1" applyBorder="1"/>
    <xf numFmtId="0" fontId="14" fillId="0" borderId="6" xfId="0" applyFont="1" applyBorder="1" applyAlignment="1">
      <alignment horizontal="left"/>
    </xf>
    <xf numFmtId="0" fontId="14" fillId="0" borderId="7" xfId="0" applyFont="1" applyBorder="1" applyAlignment="1">
      <alignment horizontal="center"/>
    </xf>
    <xf numFmtId="0" fontId="6" fillId="0" borderId="0" xfId="0" applyFont="1" applyFill="1" applyBorder="1"/>
    <xf numFmtId="0" fontId="0" fillId="0" borderId="0" xfId="0" applyFill="1" applyBorder="1"/>
    <xf numFmtId="0" fontId="1" fillId="0" borderId="0" xfId="0" applyFont="1" applyFill="1" applyBorder="1"/>
    <xf numFmtId="0" fontId="1" fillId="0" borderId="0" xfId="0" applyFont="1" applyFill="1" applyBorder="1" applyAlignment="1">
      <alignment wrapText="1"/>
    </xf>
    <xf numFmtId="0" fontId="0" fillId="0" borderId="0" xfId="0" applyFill="1" applyBorder="1" applyAlignment="1">
      <alignment wrapText="1"/>
    </xf>
    <xf numFmtId="0" fontId="9" fillId="0" borderId="0" xfId="0" applyFont="1" applyFill="1" applyBorder="1" applyAlignment="1">
      <alignment horizontal="left"/>
    </xf>
    <xf numFmtId="0" fontId="15" fillId="0" borderId="0" xfId="0" applyFont="1" applyFill="1" applyBorder="1" applyAlignment="1">
      <alignment horizontal="center" vertical="center" wrapText="1"/>
    </xf>
    <xf numFmtId="0" fontId="2" fillId="0" borderId="0" xfId="0" applyFont="1" applyFill="1" applyBorder="1" applyAlignment="1">
      <alignment horizontal="left"/>
    </xf>
    <xf numFmtId="0" fontId="0" fillId="0" borderId="0" xfId="0" applyFill="1" applyBorder="1" applyAlignment="1">
      <alignment horizontal="right"/>
    </xf>
    <xf numFmtId="0" fontId="0" fillId="0" borderId="0" xfId="0" applyFill="1" applyBorder="1" applyAlignment="1">
      <alignment horizontal="left" wrapText="1"/>
    </xf>
    <xf numFmtId="0" fontId="0" fillId="0" borderId="0" xfId="0" applyFill="1" applyBorder="1" applyAlignment="1">
      <alignment horizontal="left"/>
    </xf>
    <xf numFmtId="0" fontId="2" fillId="0" borderId="0" xfId="0" applyFont="1" applyFill="1" applyBorder="1"/>
    <xf numFmtId="0" fontId="14" fillId="0" borderId="0" xfId="0" applyFont="1" applyFill="1" applyBorder="1" applyAlignment="1">
      <alignment wrapText="1"/>
    </xf>
    <xf numFmtId="0" fontId="2" fillId="0" borderId="0" xfId="0" applyFont="1" applyFill="1" applyBorder="1" applyAlignment="1">
      <alignment wrapText="1"/>
    </xf>
    <xf numFmtId="0" fontId="2" fillId="0" borderId="0" xfId="0" applyFont="1" applyFill="1" applyBorder="1" applyAlignment="1">
      <alignment horizontal="left" wrapText="1"/>
    </xf>
    <xf numFmtId="0" fontId="13" fillId="0" borderId="0" xfId="0" applyFont="1" applyFill="1" applyBorder="1" applyAlignment="1">
      <alignment horizontal="left" wrapText="1"/>
    </xf>
    <xf numFmtId="0" fontId="5" fillId="0" borderId="0" xfId="0" applyFont="1" applyFill="1" applyBorder="1" applyAlignment="1">
      <alignment horizontal="center" wrapText="1"/>
    </xf>
    <xf numFmtId="0" fontId="2" fillId="0" borderId="0" xfId="0" applyFont="1" applyFill="1" applyBorder="1" applyAlignment="1">
      <alignment horizontal="center" vertical="center"/>
    </xf>
    <xf numFmtId="165" fontId="4" fillId="0" borderId="0" xfId="0" applyNumberFormat="1" applyFont="1" applyFill="1" applyBorder="1" applyAlignment="1">
      <alignment horizontal="left"/>
    </xf>
    <xf numFmtId="0" fontId="4" fillId="0" borderId="0" xfId="0" applyFont="1" applyFill="1" applyBorder="1" applyAlignment="1">
      <alignment horizontal="left" wrapText="1"/>
    </xf>
    <xf numFmtId="164" fontId="4" fillId="0" borderId="0" xfId="0" applyNumberFormat="1" applyFont="1" applyFill="1" applyBorder="1" applyAlignment="1">
      <alignment horizontal="right"/>
    </xf>
    <xf numFmtId="1" fontId="1" fillId="0" borderId="0" xfId="0" applyNumberFormat="1" applyFont="1" applyFill="1" applyBorder="1" applyAlignment="1">
      <alignment horizontal="center"/>
    </xf>
    <xf numFmtId="164" fontId="0" fillId="0" borderId="0" xfId="0" applyNumberFormat="1" applyFill="1" applyBorder="1" applyAlignment="1">
      <alignment horizontal="center"/>
    </xf>
    <xf numFmtId="164" fontId="0" fillId="0" borderId="0" xfId="0" applyNumberFormat="1" applyFill="1" applyBorder="1" applyAlignment="1">
      <alignment horizontal="center" vertical="center"/>
    </xf>
    <xf numFmtId="0" fontId="4" fillId="0" borderId="0" xfId="0" applyFont="1" applyFill="1" applyBorder="1" applyAlignment="1">
      <alignment wrapText="1"/>
    </xf>
    <xf numFmtId="164" fontId="1" fillId="0" borderId="0" xfId="0" applyNumberFormat="1" applyFont="1" applyFill="1" applyBorder="1" applyAlignment="1">
      <alignment horizontal="right"/>
    </xf>
    <xf numFmtId="0" fontId="3" fillId="0" borderId="0" xfId="0" applyFont="1" applyFill="1" applyBorder="1" applyAlignment="1">
      <alignment horizontal="center"/>
    </xf>
    <xf numFmtId="0" fontId="1" fillId="0" borderId="0" xfId="0" applyFont="1" applyFill="1" applyBorder="1" applyAlignment="1">
      <alignment horizontal="center" vertical="center"/>
    </xf>
    <xf numFmtId="0" fontId="0" fillId="0" borderId="0" xfId="0" applyFont="1"/>
    <xf numFmtId="0" fontId="0" fillId="0" borderId="0" xfId="0" applyFont="1" applyAlignment="1">
      <alignment wrapText="1"/>
    </xf>
    <xf numFmtId="0" fontId="16" fillId="0" borderId="0" xfId="1" applyFont="1" applyFill="1" applyAlignment="1"/>
    <xf numFmtId="0" fontId="16" fillId="0" borderId="0" xfId="1" applyFont="1" applyAlignment="1"/>
    <xf numFmtId="0" fontId="16" fillId="0" borderId="0" xfId="1" applyFont="1"/>
    <xf numFmtId="0" fontId="17" fillId="0" borderId="0" xfId="0" applyFont="1"/>
    <xf numFmtId="0" fontId="0" fillId="0" borderId="0" xfId="0" applyFont="1" applyAlignment="1">
      <alignment vertical="center" wrapText="1"/>
    </xf>
    <xf numFmtId="1" fontId="0" fillId="0" borderId="0" xfId="0" applyNumberFormat="1" applyFont="1" applyAlignment="1">
      <alignment wrapText="1"/>
    </xf>
    <xf numFmtId="0" fontId="12" fillId="0" borderId="0" xfId="0" applyFont="1"/>
    <xf numFmtId="0" fontId="16" fillId="0" borderId="0" xfId="1" applyFont="1" applyFill="1"/>
    <xf numFmtId="0" fontId="16" fillId="0" borderId="0" xfId="1" applyFont="1" applyAlignment="1">
      <alignment wrapText="1"/>
    </xf>
    <xf numFmtId="0" fontId="18" fillId="0" borderId="0" xfId="0" applyFont="1" applyAlignment="1">
      <alignment wrapText="1"/>
    </xf>
    <xf numFmtId="0" fontId="19" fillId="0" borderId="0" xfId="0" applyFont="1" applyAlignment="1">
      <alignment wrapText="1"/>
    </xf>
    <xf numFmtId="0" fontId="16" fillId="0" borderId="0" xfId="1" applyFont="1" applyAlignment="1" applyProtection="1"/>
    <xf numFmtId="0" fontId="20" fillId="0" borderId="0" xfId="0" applyFont="1" applyAlignment="1">
      <alignment wrapText="1"/>
    </xf>
    <xf numFmtId="166" fontId="0" fillId="0" borderId="0" xfId="0" applyNumberFormat="1" applyFont="1"/>
    <xf numFmtId="0" fontId="0" fillId="0" borderId="11" xfId="0" applyFont="1" applyBorder="1" applyAlignment="1">
      <alignment wrapText="1"/>
    </xf>
    <xf numFmtId="0" fontId="10" fillId="0" borderId="0" xfId="2" applyFont="1" applyAlignment="1">
      <alignment wrapText="1"/>
    </xf>
    <xf numFmtId="0" fontId="10" fillId="0" borderId="0" xfId="2" applyFont="1"/>
  </cellXfs>
  <cellStyles count="4">
    <cellStyle name="Hyperlink" xfId="1" builtinId="8"/>
    <cellStyle name="Hyperlink 2" xfId="3" xr:uid="{473EAFDF-2D2F-49FC-B574-EF3E79B97B8B}"/>
    <cellStyle name="Normal" xfId="0" builtinId="0"/>
    <cellStyle name="Normal 2" xfId="2" xr:uid="{01D459A2-93D4-4844-96A1-390CD594F16E}"/>
  </cellStyles>
  <dxfs count="0"/>
  <tableStyles count="0" defaultTableStyle="TableStyleMedium2" defaultPivotStyle="PivotStyleLight16"/>
  <colors>
    <mruColors>
      <color rgb="FFFF66CC"/>
      <color rgb="FFFB7511"/>
      <color rgb="FF059DBB"/>
      <color rgb="FF80FF01"/>
      <color rgb="FFE602FE"/>
      <color rgb="FFBBD3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comune.palermo.it/palermo-informa-dettaglio.php?id=37494&amp;tp=1" TargetMode="External"/><Relationship Id="rId21" Type="http://schemas.openxmlformats.org/officeDocument/2006/relationships/hyperlink" Target="https://esg.nexteconomia.org/utente/cersrinnovaanguillara/" TargetMode="External"/><Relationship Id="rId42" Type="http://schemas.openxmlformats.org/officeDocument/2006/relationships/hyperlink" Target="https://www.cer-anpci.it/wp-content/uploads/2024/01/Arcore_2023_CER-Studio-di-Fattibilita_Comune-di-Arcore_-.pdf" TargetMode="External"/><Relationship Id="rId47" Type="http://schemas.openxmlformats.org/officeDocument/2006/relationships/hyperlink" Target="https://www.cer-anpci.it/wp-content/uploads/2024/01/Aicurzio_2023_CER-Studio-di-Fattibilita.pdf" TargetMode="External"/><Relationship Id="rId63" Type="http://schemas.openxmlformats.org/officeDocument/2006/relationships/hyperlink" Target="https://www.cer-anpci.it/wp-content/uploads/2024/02/Palazzolo-SullOglio_2023_CER-Studio-di-Fattibilita.pdf?" TargetMode="External"/><Relationship Id="rId68" Type="http://schemas.openxmlformats.org/officeDocument/2006/relationships/hyperlink" Target="https://cremonasera.it/cronaca/nasce-a-gussola-la-prima-comunit-energetica-rinnovabile-fondazione-cer-top-energie-ets-coinvolti-6-comuni-5-parrocchie-e-3-enti-del-terzo-settore-gi-pronti-altri-5-progetti" TargetMode="External"/><Relationship Id="rId84" Type="http://schemas.openxmlformats.org/officeDocument/2006/relationships/hyperlink" Target="https://esg.nexteconomia.org/utente/cer-i-care-reggio-emilia/" TargetMode="External"/><Relationship Id="rId16" Type="http://schemas.openxmlformats.org/officeDocument/2006/relationships/hyperlink" Target="https://reteperilclimadelverbano.it/wp-content/uploads/2024/10/CER-29ott24-rev-tp.pdf" TargetMode="External"/><Relationship Id="rId11" Type="http://schemas.openxmlformats.org/officeDocument/2006/relationships/hyperlink" Target="https://esg.nexteconomia.org/" TargetMode="External"/><Relationship Id="rId32" Type="http://schemas.openxmlformats.org/officeDocument/2006/relationships/hyperlink" Target="https://www.verbanonews.it/aree-geografiche/lago-maggiore/2024/10/01/nasce-la-comunita-energetica-rinnovabile-di-sesto-calende/989973/?utm_source=chatgpt.com" TargetMode="External"/><Relationship Id="rId37" Type="http://schemas.openxmlformats.org/officeDocument/2006/relationships/hyperlink" Target="https://www.energialombardia.eu/cer/monitoraggio" TargetMode="External"/><Relationship Id="rId53" Type="http://schemas.openxmlformats.org/officeDocument/2006/relationships/hyperlink" Target="https://www.cremaonline.it/politica/28-11-2024_Costituite+le+prime+due+Cer+del+territorio%3A+Fulcheria+e+Adda+Serio" TargetMode="External"/><Relationship Id="rId58" Type="http://schemas.openxmlformats.org/officeDocument/2006/relationships/hyperlink" Target="https://www.cremaonline.it/politica/06-12-2024_Consorzio.%2BCostitute%2Ble%2BCer%2BOglio%2BSerio%2Be%2BPalate%2BFontanili/?" TargetMode="External"/><Relationship Id="rId74" Type="http://schemas.openxmlformats.org/officeDocument/2006/relationships/hyperlink" Target="https://sinergiecondivise.it/comunita-energetiche-rinnovabili/" TargetMode="External"/><Relationship Id="rId79" Type="http://schemas.openxmlformats.org/officeDocument/2006/relationships/hyperlink" Target="https://www.bryo-spa.it/2024/10/22/nasce-la-prima-comunita-energetica-del-territorio-imolese-sotto-forma-di-cooperativa/" TargetMode="External"/><Relationship Id="rId5"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19" Type="http://schemas.openxmlformats.org/officeDocument/2006/relationships/hyperlink" Target="https://reteperilclimadelverbano.it/wp-content/uploads/2024/10/CER-29ott24-rev-tp.pdf" TargetMode="External"/><Relationship Id="rId14" Type="http://schemas.openxmlformats.org/officeDocument/2006/relationships/hyperlink" Target="https://esg.nexteconomia.org/utente/ezio-chiaramello/" TargetMode="External"/><Relationship Id="rId22" Type="http://schemas.openxmlformats.org/officeDocument/2006/relationships/hyperlink" Target="https://esg.nexteconomia.org/utente/sun-fai-cers/;%20GSE%20portal" TargetMode="External"/><Relationship Id="rId27" Type="http://schemas.openxmlformats.org/officeDocument/2006/relationships/hyperlink" Target="https://www.gse.it/servizi-per-te/autoconsumo/mappa-interattiva-delle-cabine-primarie" TargetMode="External"/><Relationship Id="rId30" Type="http://schemas.openxmlformats.org/officeDocument/2006/relationships/hyperlink" Target="https://cercami.info/" TargetMode="External"/><Relationship Id="rId35" Type="http://schemas.openxmlformats.org/officeDocument/2006/relationships/hyperlink" Target="https://www.unioncamere.gov.it/sistema-camerale/news-dal-sistema-camerale/varese-costituita-la-comunita-energetica-rinnovabile-di-malpensafiere?" TargetMode="External"/><Relationship Id="rId43" Type="http://schemas.openxmlformats.org/officeDocument/2006/relationships/hyperlink" Target="https://www.cer-anpci.it/wp-content/uploads/2024/01/ModificatoVigano_2023_CER-Studio-di-Fattibilita_Comune-di-Vigano_-.pdf" TargetMode="External"/><Relationship Id="rId48" Type="http://schemas.openxmlformats.org/officeDocument/2006/relationships/hyperlink" Target="https://www.cer-anpci.it/wp-content/uploads/2024/02/OkMiradolo-Terme_2023_CER-Studio-di-Fattibilita_Comune-di-Miradolo-Terme_-.pdf" TargetMode="External"/><Relationship Id="rId56" Type="http://schemas.openxmlformats.org/officeDocument/2006/relationships/hyperlink" Target="https://www.cremaonline.it/politica/12-12-2024_Consorzio.+Costituite+le+Comunit%C3%A0+energetiche+Gerundo+e+Crema+" TargetMode="External"/><Relationship Id="rId64" Type="http://schemas.openxmlformats.org/officeDocument/2006/relationships/hyperlink" Target="https://primabrescia.it/cronaca/energia-pulita-e-rinnovabile-a-chilometro-zero-a-cologne-nasce-la-cer/?" TargetMode="External"/><Relationship Id="rId69" Type="http://schemas.openxmlformats.org/officeDocument/2006/relationships/hyperlink" Target="http://bimcascia.pg.it/cnsrzbimnv/po/mostra_news.php?id=25&amp;area=H" TargetMode="External"/><Relationship Id="rId77" Type="http://schemas.openxmlformats.org/officeDocument/2006/relationships/hyperlink" Target="https://esg.nexteconomia.org/utente/cer-la-pianticella/" TargetMode="External"/><Relationship Id="rId8" Type="http://schemas.openxmlformats.org/officeDocument/2006/relationships/hyperlink" Target="https://www.enostra.it/nasce-la-comunita-energetica-di-santeramo-in-colle-ba/" TargetMode="External"/><Relationship Id="rId51" Type="http://schemas.openxmlformats.org/officeDocument/2006/relationships/hyperlink" Target="https://www.cer-anpci.it/wp-content/uploads/2024/01/Capizzone_2023_CER-Studio-di-Fattibilita.pdf" TargetMode="External"/><Relationship Id="rId72" Type="http://schemas.openxmlformats.org/officeDocument/2006/relationships/hyperlink" Target="https://energy4com.eu/progetti/" TargetMode="External"/><Relationship Id="rId80" Type="http://schemas.openxmlformats.org/officeDocument/2006/relationships/hyperlink" Target="https://sinergiecondivise.it/comunita-energetiche-rinnovabili/" TargetMode="External"/><Relationship Id="rId85" Type="http://schemas.openxmlformats.org/officeDocument/2006/relationships/hyperlink" Target="https://esg.nexteconomia.org/utente/cer-la-quercia-viterbo-sud/" TargetMode="External"/><Relationship Id="rId3" Type="http://schemas.openxmlformats.org/officeDocument/2006/relationships/hyperlink" Target="https://www.ener2crowd.com/it/progetti/dettaglio/236-comunitagrave-energetica-7?_gl=1*1ui9y0n*_up*MQ..&amp;gclid=CjwKCAjw-O6zBhASEiwAOHeGxbbww6yrUwosi5Q1mrnLA4PSrmOLG9F0a0I-4rs0Y3uo81NKhrIorhoCumMQAvD_BwE;;%20personal%20communication%20with%20Ener2Crowd" TargetMode="External"/><Relationship Id="rId12" Type="http://schemas.openxmlformats.org/officeDocument/2006/relationships/hyperlink" Target="https://esg.nexteconomia.org/" TargetMode="External"/><Relationship Id="rId17" Type="http://schemas.openxmlformats.org/officeDocument/2006/relationships/hyperlink" Target="https://rete-ries.it/soci/notizie-soci/co-energia-un-anno-di-incontri-sulle-cers/" TargetMode="External"/><Relationship Id="rId25" Type="http://schemas.openxmlformats.org/officeDocument/2006/relationships/hyperlink" Target="https://www.cerpalermoest.com/" TargetMode="External"/><Relationship Id="rId33" Type="http://schemas.openxmlformats.org/officeDocument/2006/relationships/hyperlink" Target="https://www.cer-anpci.it/wp-content/uploads/2024/02/OkValle-Lomellina_2023_CER-Studio-di-Fattibilita_Comune-di-Valle-Lomellina_-.pdf?" TargetMode="External"/><Relationship Id="rId38" Type="http://schemas.openxmlformats.org/officeDocument/2006/relationships/hyperlink" Target="https://www.ciaocomo.it/2024/12/06/nasce-la-cers-del-lario-ets-la-comunita-energetica-di-11-comuni-e-4-imprese/291876/?utm_source=chatgpt.com" TargetMode="External"/><Relationship Id="rId46" Type="http://schemas.openxmlformats.org/officeDocument/2006/relationships/hyperlink" Target="https://www.lombardia.confcooperative.it/Dettaglio/ArtMID/523/ArticleID/4932/Parte-la-CER-di-Ronco-Briantino?utm_source=chatgpt.com" TargetMode="External"/><Relationship Id="rId59" Type="http://schemas.openxmlformats.org/officeDocument/2006/relationships/hyperlink" Target="https://www.consorzioit.net/CER-realta?" TargetMode="External"/><Relationship Id="rId67" Type="http://schemas.openxmlformats.org/officeDocument/2006/relationships/hyperlink" Target="https://www.cer-anpci.it/wp-content/uploads/2024/01/Calvisano_2023_CER-Studio-di-Fattibilita.pdf?" TargetMode="External"/><Relationship Id="rId20" Type="http://schemas.openxmlformats.org/officeDocument/2006/relationships/hyperlink" Target="https://www.rse-web.it/wp-content/uploads/2024/09/Elaborazione-del-Modello-di-Piano-dazione-locale-per-le-CER-del-Modello-di-Piano-organizzativo-di-comunita-e-integrazione-della-risorsa-geotermica.pdf" TargetMode="External"/><Relationship Id="rId41" Type="http://schemas.openxmlformats.org/officeDocument/2006/relationships/hyperlink" Target="https://www.cer-anpci.it/wp-content/uploads/2024/01/Albiate_2023_CER-Studio-di-Fattibilita.pdf" TargetMode="External"/><Relationship Id="rId54" Type="http://schemas.openxmlformats.org/officeDocument/2006/relationships/hyperlink" Target="https://www.qualenergia.it/articoli/crescono-cer-promosse-terzo-settore-enti-locali-quando-ci-sono-risorse/?" TargetMode="External"/><Relationship Id="rId62" Type="http://schemas.openxmlformats.org/officeDocument/2006/relationships/hyperlink" Target="https://www.energialombardia.eu/cer/monitoraggio" TargetMode="External"/><Relationship Id="rId70" Type="http://schemas.openxmlformats.org/officeDocument/2006/relationships/hyperlink" Target="https://picchionews.it/varie/sisma-2016-comunita-energetiche-rinnovabili-oltre-50-milioni-nelle-marche-matelica-e-camerino-capofila" TargetMode="External"/><Relationship Id="rId75" Type="http://schemas.openxmlformats.org/officeDocument/2006/relationships/hyperlink" Target="https://www.corrieredirieti.it/rieti-provincia/otto-milioni-per-tre-comunita-energetiche-del-cratere/" TargetMode="External"/><Relationship Id="rId83" Type="http://schemas.openxmlformats.org/officeDocument/2006/relationships/hyperlink" Target="https://esg.nexteconomia.org/utente/cer-energie-future/" TargetMode="External"/><Relationship Id="rId88" Type="http://schemas.openxmlformats.org/officeDocument/2006/relationships/printerSettings" Target="../printerSettings/printerSettings1.bin"/><Relationship Id="rId1" Type="http://schemas.openxmlformats.org/officeDocument/2006/relationships/hyperlink" Target="https://energia.incooperazione.it/cer-in-trentino" TargetMode="External"/><Relationship Id="rId6" Type="http://schemas.openxmlformats.org/officeDocument/2006/relationships/hyperlink" Target="https://esg.nexteconomia.org/utente/cer-di-sassofeltrio/" TargetMode="External"/><Relationship Id="rId15" Type="http://schemas.openxmlformats.org/officeDocument/2006/relationships/hyperlink" Target="https://esg.nexteconomia.org/utente/cerbermf/" TargetMode="External"/><Relationship Id="rId23" Type="http://schemas.openxmlformats.org/officeDocument/2006/relationships/hyperlink" Target="https://sinergiecondivise.it/comunita-energetiche-rinnovabili/" TargetMode="External"/><Relationship Id="rId28" Type="http://schemas.openxmlformats.org/officeDocument/2006/relationships/hyperlink" Target="https://cer-amica.webnode.it/" TargetMode="External"/><Relationship Id="rId36" Type="http://schemas.openxmlformats.org/officeDocument/2006/relationships/hyperlink" Target="https://www.luinonotizie.it/2024/09/24/valceresio-nasce-la-comunita-energetica-delle-5-vette/492620?utm_source=chatgpt.com" TargetMode="External"/><Relationship Id="rId49" Type="http://schemas.openxmlformats.org/officeDocument/2006/relationships/hyperlink" Target="https://www.legambientelodi.it/aderire-alla-cers-comunita-solare-lodi-e-piacenza/?utm_source=chatgpt.com" TargetMode="External"/><Relationship Id="rId57" Type="http://schemas.openxmlformats.org/officeDocument/2006/relationships/hyperlink" Target="https://www.cremaonline.it/politica/06-12-2024_Consorzio.+Costitute+le+Cer+Oglio+Serio+e+Palate+Fontanili" TargetMode="External"/><Relationship Id="rId10" Type="http://schemas.openxmlformats.org/officeDocument/2006/relationships/hyperlink" Target="https://esg.nexteconomia.org/utente/cer-stella-aragona/" TargetMode="External"/><Relationship Id="rId31" Type="http://schemas.openxmlformats.org/officeDocument/2006/relationships/hyperlink" Target="https://sondrio.comunitaenergeticarinnovabile.it/" TargetMode="External"/><Relationship Id="rId44" Type="http://schemas.openxmlformats.org/officeDocument/2006/relationships/hyperlink" Target="https://www.cer-anpci.it/wp-content/uploads/2024/02/Santa-Maria-Hoe_2023_CER-Studio-di-Fattibilita.pdf" TargetMode="External"/><Relationship Id="rId52" Type="http://schemas.openxmlformats.org/officeDocument/2006/relationships/hyperlink" Target="https://www.consorzioit.net/CER-11dic?" TargetMode="External"/><Relationship Id="rId60" Type="http://schemas.openxmlformats.org/officeDocument/2006/relationships/hyperlink" Target="https://www.consorzioit.net/valle_dadda?" TargetMode="External"/><Relationship Id="rId65" Type="http://schemas.openxmlformats.org/officeDocument/2006/relationships/hyperlink" Target="https://www.cer-anpci.it/wp-content/uploads/2024/02/Orzivecchi_2023_CER-Studio-di-Fattibilita_Comune-di-Orzivecchi_-.pdf" TargetMode="External"/><Relationship Id="rId73" Type="http://schemas.openxmlformats.org/officeDocument/2006/relationships/hyperlink" Target="https://www.cerpiugreen.it/" TargetMode="External"/><Relationship Id="rId78" Type="http://schemas.openxmlformats.org/officeDocument/2006/relationships/hyperlink" Target="https://esg.nexteconomia.org/utente/cers-anzio-nettuno/" TargetMode="External"/><Relationship Id="rId81" Type="http://schemas.openxmlformats.org/officeDocument/2006/relationships/hyperlink" Target="https://esg.nexteconomia.org/utente/cers-polo-civico-esquilino/" TargetMode="External"/><Relationship Id="rId86" Type="http://schemas.openxmlformats.org/officeDocument/2006/relationships/hyperlink" Target="https://esg.nexteconomia.org/utente/cerlomellina/" TargetMode="External"/><Relationship Id="rId4" Type="http://schemas.openxmlformats.org/officeDocument/2006/relationships/hyperlink" Target="https://www.ener2crowd.com/it/progetti/dettaglio/235-comunitagrave-energetica-2?_gl=1*1ui9y0n*_up*MQ..&amp;gclid=CjwKCAjw-O6zBhASEiwAOHeGxbbww6yrUwosi5Q1mrnLA4PSrmOLG9F0a0I-4rs0Y3uo81NKhrIorhoCumMQAvD_BwE;%20personal%20communication%20with%20Ener2Crowd" TargetMode="External"/><Relationship Id="rId9" Type="http://schemas.openxmlformats.org/officeDocument/2006/relationships/hyperlink" Target="https://www.enostra.it/nasce-la-cer-bolenergia-un-esempio-di-solidarieta-tra-cittadini/" TargetMode="External"/><Relationship Id="rId13" Type="http://schemas.openxmlformats.org/officeDocument/2006/relationships/hyperlink" Target="https://esg.nexteconomia.org/utente/cer-nosenergia/" TargetMode="External"/><Relationship Id="rId18" Type="http://schemas.openxmlformats.org/officeDocument/2006/relationships/hyperlink" Target="https://reteperilclimadelverbano.it/wp-content/uploads/2024/10/CER-29ott24-rev-tp.pdf" TargetMode="External"/><Relationship Id="rId39" Type="http://schemas.openxmlformats.org/officeDocument/2006/relationships/hyperlink" Target="https://www.cer-anpci.it/wp-content/uploads/2024/01/Cogliate_2023_CER-Studio-di-Fattibilita.pdf" TargetMode="External"/><Relationship Id="rId34" Type="http://schemas.openxmlformats.org/officeDocument/2006/relationships/hyperlink" Target="https://www.cer-anpci.it/cer-ternate/?" TargetMode="External"/><Relationship Id="rId50" Type="http://schemas.openxmlformats.org/officeDocument/2006/relationships/hyperlink" Target="https://www.cer-anpci.it/wp-content/uploads/2024/01/Fara-Gera-DAdda_2023_CER-Studio-di-Fattibilita.pdf?" TargetMode="External"/><Relationship Id="rId55" Type="http://schemas.openxmlformats.org/officeDocument/2006/relationships/hyperlink" Target="https://www.sorgenia.it/content/approvato-il-progetto-la-comunita-energetica-di-casalpusterlengo?" TargetMode="External"/><Relationship Id="rId76" Type="http://schemas.openxmlformats.org/officeDocument/2006/relationships/hyperlink" Target="https://www.chiesadimilano.it/news/chiesa-diocesi/energie-rinnovabili-cosi-a-greco-si-fa-soledarieta-2797667.html" TargetMode="External"/><Relationship Id="rId7" Type="http://schemas.openxmlformats.org/officeDocument/2006/relationships/hyperlink" Target="http://95.110.227.90/rosetocomunitaenergetica/Contenuto.asp?pg=1&amp;ipg=5&amp;lg=1" TargetMode="External"/><Relationship Id="rId71" Type="http://schemas.openxmlformats.org/officeDocument/2006/relationships/hyperlink" Target="https://www.unite.it/UniTE/Bandi_di_gara_e_contratti/COMUNITA_ENERGETICA_DELL_UNIVERSITA_DI_TERAMO" TargetMode="External"/><Relationship Id="rId2"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29" Type="http://schemas.openxmlformats.org/officeDocument/2006/relationships/hyperlink" Target="https://lozza.comunitaenergeticarinnovabile.it/;" TargetMode="External"/><Relationship Id="rId24" Type="http://schemas.openxmlformats.org/officeDocument/2006/relationships/hyperlink" Target="https://www.gse.it/servizi-per-te/autoconsumo/mappa-interattiva-delle-cabine-primarie;%20v" TargetMode="External"/><Relationship Id="rId40" Type="http://schemas.openxmlformats.org/officeDocument/2006/relationships/hyperlink" Target="https://www.greenflex.com/it/progetti/referenze/impianto-fotovoltaico-chiavi-in-mano-edificio16/" TargetMode="External"/><Relationship Id="rId45" Type="http://schemas.openxmlformats.org/officeDocument/2006/relationships/hyperlink" Target="https://www.cer-anpci.it/wp-content/uploads/2024/02/Inverno-E-Monteleone_2023_CER-Studio-di-Fattibilita.pdf" TargetMode="External"/><Relationship Id="rId66" Type="http://schemas.openxmlformats.org/officeDocument/2006/relationships/hyperlink" Target="https://www.cer-anpci.it/wp-content/uploads/2024/01/Corzano_2023_CER-Studio-di-Fattibilita_Comune-di-Corzano_-.pdf" TargetMode="External"/><Relationship Id="rId87" Type="http://schemas.openxmlformats.org/officeDocument/2006/relationships/hyperlink" Target="https://esg.nexteconomia.org/utente/comunita-energetica-via-dei-partigiani/" TargetMode="External"/><Relationship Id="rId61" Type="http://schemas.openxmlformats.org/officeDocument/2006/relationships/hyperlink" Target="https://www.cer-anpci.it/wp-content/uploads/2024/01/Cappella-Cantone_2023_CER-Studio-di-Fattibilita.pdf?" TargetMode="External"/><Relationship Id="rId82" Type="http://schemas.openxmlformats.org/officeDocument/2006/relationships/hyperlink" Target="https://esg.nexteconomia.org/utente/cer-di-borgo-val-di-tar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72D37-39B3-4B67-B146-F109096885C4}">
  <sheetPr codeName="Sheet1"/>
  <dimension ref="A1:AL422"/>
  <sheetViews>
    <sheetView tabSelected="1" zoomScale="70" zoomScaleNormal="70" workbookViewId="0">
      <pane ySplit="1" topLeftCell="A2" activePane="bottomLeft" state="frozen"/>
      <selection pane="bottomLeft" activeCell="N4" sqref="N4"/>
    </sheetView>
  </sheetViews>
  <sheetFormatPr defaultRowHeight="15" x14ac:dyDescent="0.25"/>
  <cols>
    <col min="1" max="1" width="16" style="5" customWidth="1"/>
    <col min="2" max="2" width="16.85546875" style="5" customWidth="1"/>
    <col min="3" max="3" width="9.28515625" style="5" customWidth="1"/>
    <col min="4" max="4" width="8" style="5" customWidth="1"/>
    <col min="5" max="5" width="7.85546875" style="5" customWidth="1"/>
    <col min="6" max="6" width="9.140625" customWidth="1"/>
    <col min="7" max="7" width="10.42578125" style="5" customWidth="1"/>
    <col min="8" max="8" width="8.42578125" style="5" customWidth="1"/>
    <col min="9" max="9" width="5.28515625" style="5" customWidth="1"/>
    <col min="10" max="10" width="8.140625" style="5" customWidth="1"/>
    <col min="11" max="11" width="29.42578125" style="2" customWidth="1"/>
    <col min="12" max="12" width="9.7109375" style="5" customWidth="1"/>
    <col min="13" max="13" width="9.5703125" style="5" customWidth="1"/>
    <col min="14" max="14" width="10.5703125" style="5" customWidth="1"/>
    <col min="15" max="15" width="8" style="5" customWidth="1"/>
    <col min="17" max="17" width="9.5703125" style="5" customWidth="1"/>
    <col min="18" max="18" width="11" style="5" customWidth="1"/>
    <col min="19" max="19" width="8.140625" style="5" customWidth="1"/>
    <col min="20" max="20" width="8.5703125" style="5" customWidth="1"/>
    <col min="21" max="21" width="15.5703125" customWidth="1"/>
    <col min="24" max="24" width="12.85546875" customWidth="1"/>
    <col min="25" max="25" width="13.28515625" customWidth="1"/>
    <col min="33" max="33" width="11.42578125" bestFit="1" customWidth="1"/>
  </cols>
  <sheetData>
    <row r="1" spans="1:38" s="5" customFormat="1" ht="51" customHeight="1" x14ac:dyDescent="0.2">
      <c r="A1" s="6" t="s">
        <v>0</v>
      </c>
      <c r="B1" s="6" t="s">
        <v>1</v>
      </c>
      <c r="C1" s="8" t="s">
        <v>311</v>
      </c>
      <c r="D1" s="7" t="s">
        <v>1905</v>
      </c>
      <c r="E1" s="7" t="s">
        <v>2023</v>
      </c>
      <c r="F1" s="7" t="s">
        <v>2022</v>
      </c>
      <c r="G1" s="8" t="s">
        <v>2031</v>
      </c>
      <c r="H1" s="7" t="s">
        <v>24</v>
      </c>
      <c r="I1" s="6" t="s">
        <v>128</v>
      </c>
      <c r="J1" s="7" t="s">
        <v>1253</v>
      </c>
      <c r="K1" s="9" t="s">
        <v>2072</v>
      </c>
      <c r="L1" s="9" t="s">
        <v>376</v>
      </c>
      <c r="M1" s="9" t="s">
        <v>377</v>
      </c>
      <c r="N1" s="9" t="s">
        <v>511</v>
      </c>
      <c r="O1" s="9" t="s">
        <v>512</v>
      </c>
      <c r="P1" s="10" t="s">
        <v>2008</v>
      </c>
      <c r="Q1" s="17" t="s">
        <v>539</v>
      </c>
      <c r="R1" s="17" t="s">
        <v>540</v>
      </c>
      <c r="S1" s="17" t="s">
        <v>541</v>
      </c>
      <c r="T1" s="17" t="s">
        <v>542</v>
      </c>
      <c r="U1" s="21" t="s">
        <v>2052</v>
      </c>
      <c r="V1" s="7" t="s">
        <v>4</v>
      </c>
      <c r="W1" s="7" t="s">
        <v>249</v>
      </c>
      <c r="X1" s="7" t="s">
        <v>252</v>
      </c>
      <c r="Y1" s="7" t="s">
        <v>2</v>
      </c>
      <c r="Z1" s="7" t="s">
        <v>3</v>
      </c>
      <c r="AA1" s="7" t="s">
        <v>6</v>
      </c>
      <c r="AB1" s="6" t="s">
        <v>38</v>
      </c>
      <c r="AC1" s="6" t="s">
        <v>5</v>
      </c>
      <c r="AD1" s="7" t="s">
        <v>728</v>
      </c>
      <c r="AE1" s="7" t="s">
        <v>731</v>
      </c>
      <c r="AF1" s="19" t="s">
        <v>2055</v>
      </c>
      <c r="AG1" s="19" t="s">
        <v>2054</v>
      </c>
      <c r="AH1" s="19" t="s">
        <v>1599</v>
      </c>
      <c r="AI1" s="2" t="s">
        <v>1290</v>
      </c>
      <c r="AJ1" s="2" t="s">
        <v>1292</v>
      </c>
      <c r="AK1" s="2" t="s">
        <v>1291</v>
      </c>
      <c r="AL1" s="2" t="s">
        <v>2073</v>
      </c>
    </row>
    <row r="2" spans="1:38" s="2" customFormat="1" ht="47.25" customHeight="1" x14ac:dyDescent="0.25">
      <c r="A2" s="5" t="s">
        <v>265</v>
      </c>
      <c r="B2" s="5" t="s">
        <v>266</v>
      </c>
      <c r="C2" s="5" t="s">
        <v>308</v>
      </c>
      <c r="D2" s="5"/>
      <c r="E2" s="5"/>
      <c r="F2" s="69"/>
      <c r="H2" s="5"/>
      <c r="I2" s="5"/>
      <c r="J2" s="5"/>
      <c r="K2" s="2" t="s">
        <v>270</v>
      </c>
      <c r="L2" s="5"/>
      <c r="M2" s="5"/>
      <c r="N2" s="5"/>
      <c r="O2" s="5"/>
      <c r="P2" s="69"/>
      <c r="Q2" s="5"/>
      <c r="R2" s="5"/>
      <c r="S2" s="5"/>
      <c r="T2" s="5"/>
      <c r="U2" s="69"/>
      <c r="V2" s="5" t="s">
        <v>187</v>
      </c>
      <c r="W2" s="5" t="s">
        <v>259</v>
      </c>
      <c r="X2" s="2" t="s">
        <v>267</v>
      </c>
      <c r="Y2" s="5"/>
      <c r="Z2" s="5"/>
      <c r="AA2" s="5" t="s">
        <v>17</v>
      </c>
      <c r="AB2" s="5" t="s">
        <v>269</v>
      </c>
      <c r="AC2" s="5" t="s">
        <v>268</v>
      </c>
      <c r="AD2" s="5"/>
      <c r="AE2" s="69"/>
      <c r="AF2" s="69"/>
      <c r="AG2" s="69"/>
      <c r="AH2" s="69"/>
      <c r="AI2" s="69"/>
      <c r="AJ2" s="69"/>
      <c r="AK2" s="69"/>
      <c r="AL2" s="2" t="str">
        <f t="shared" ref="AL2:AL33" si="0">IF(OR(ISNUMBER(SEARCH("school", K2)), ISNUMBER(SEARCH("others", K2)), ISNUMBER(SEARCH("town hall", K2)), ISNUMBER(SEARCH("municipality", K2)),ISNUMBER(SEARCH("gym", K2)),ISNUMBER(SEARCH("sports", K2)),ISNUMBER(SEARCH("university", K2)),ISNUMBER(SEARCH("social center", K2)),ISNUMBER(SEARCH("warehouse", K2)),ISNUMBER(SEARCH("kindergarden", K2)),ISNUMBER(SEARCH("library", K2)),ISNUMBER(SEARCH("private", K2)),ISNUMBER(SEARCH("condominium", K2)),ISNUMBER(SEARCH("commercial", K2)),ISNUMBER(SEARCH("shop", K2)),ISNUMBER(SEARCH("comm", K2)),ISNUMBER(SEARCH("market", K2)),ISNUMBER(SEARCH("supermarket", K2)),ISNUMBER(SEARCH("hotel", K2)),ISNUMBER(SEARCH("industrial", K2)),ISNUMBER(SEARCH("farm", K2)),ISNUMBER(SEARCH("office", K2)),ISNUMBER(SEARCH("offices", K2)),ISNUMBER(SEARCH("church", K2)),ISNUMBER(SEARCH("canteen", K2)),ISNUMBER(SEARCH("educational", K2)), ISNUMBER(SEARCH("waste", K2)),ISNUMBER(SEARCH("social", K2)),ISNUMBER(SEARCH("sport/complex", K2)),ISNUMBER(SEARCH("utility", K2)),ISNUMBER(SEARCH("villa", K2)),ISNUMBER(SEARCH("prosumer/park", K2)),ISNUMBER(SEARCH("police", K2))),"Yes", "No")</f>
        <v>Yes</v>
      </c>
    </row>
    <row r="3" spans="1:38" s="2" customFormat="1" ht="45.75" customHeight="1" x14ac:dyDescent="0.25">
      <c r="A3" s="2" t="s">
        <v>197</v>
      </c>
      <c r="B3" s="2" t="s">
        <v>2011</v>
      </c>
      <c r="C3" s="70" t="s">
        <v>308</v>
      </c>
      <c r="D3" s="2">
        <v>1</v>
      </c>
      <c r="E3" s="2">
        <v>1600</v>
      </c>
      <c r="F3" s="2">
        <v>1600</v>
      </c>
      <c r="G3" s="2">
        <f>E3/D3</f>
        <v>1600</v>
      </c>
      <c r="J3" s="2">
        <v>7</v>
      </c>
      <c r="K3" s="2" t="s">
        <v>538</v>
      </c>
      <c r="L3" s="70">
        <v>0</v>
      </c>
      <c r="M3" s="70">
        <v>0</v>
      </c>
      <c r="N3" s="70">
        <v>100</v>
      </c>
      <c r="O3" s="70">
        <v>0</v>
      </c>
      <c r="P3" s="70">
        <v>0</v>
      </c>
      <c r="Q3" s="5"/>
      <c r="R3" s="5"/>
      <c r="S3" s="5">
        <v>7</v>
      </c>
      <c r="T3" s="5"/>
      <c r="U3" s="70"/>
      <c r="V3" s="2" t="s">
        <v>28</v>
      </c>
      <c r="W3" s="2" t="s">
        <v>199</v>
      </c>
      <c r="X3" s="2" t="s">
        <v>200</v>
      </c>
      <c r="Y3" s="2" t="s">
        <v>153</v>
      </c>
      <c r="AA3" s="2" t="s">
        <v>17</v>
      </c>
      <c r="AC3" s="5" t="s">
        <v>247</v>
      </c>
      <c r="AE3" s="69"/>
      <c r="AF3" s="69"/>
      <c r="AG3" s="69"/>
      <c r="AH3" s="69"/>
      <c r="AI3" s="69"/>
      <c r="AJ3" s="69"/>
      <c r="AK3" s="69"/>
      <c r="AL3" s="2" t="str">
        <f t="shared" si="0"/>
        <v>No</v>
      </c>
    </row>
    <row r="4" spans="1:38" s="2" customFormat="1" ht="33" customHeight="1" x14ac:dyDescent="0.25">
      <c r="A4" s="5" t="s">
        <v>428</v>
      </c>
      <c r="B4" s="5" t="s">
        <v>432</v>
      </c>
      <c r="C4" s="2" t="s">
        <v>308</v>
      </c>
      <c r="D4" s="5">
        <v>1</v>
      </c>
      <c r="E4" s="5">
        <v>50</v>
      </c>
      <c r="F4" s="5">
        <v>50</v>
      </c>
      <c r="G4" s="5">
        <v>50</v>
      </c>
      <c r="H4" s="5"/>
      <c r="I4" s="5"/>
      <c r="J4" s="5"/>
      <c r="K4" s="2" t="s">
        <v>437</v>
      </c>
      <c r="L4" s="5">
        <v>0</v>
      </c>
      <c r="M4" s="5">
        <v>0</v>
      </c>
      <c r="N4" s="5">
        <v>100</v>
      </c>
      <c r="O4" s="5">
        <v>0</v>
      </c>
      <c r="P4" s="5">
        <v>0</v>
      </c>
      <c r="Q4" s="5"/>
      <c r="R4" s="5"/>
      <c r="S4" s="5">
        <v>1</v>
      </c>
      <c r="T4" s="5"/>
      <c r="U4" s="69"/>
      <c r="V4" s="2" t="s">
        <v>435</v>
      </c>
      <c r="W4" s="2" t="s">
        <v>433</v>
      </c>
      <c r="X4" s="2" t="s">
        <v>434</v>
      </c>
      <c r="Y4" s="5" t="s">
        <v>12</v>
      </c>
      <c r="Z4" s="69"/>
      <c r="AA4" s="5" t="s">
        <v>16</v>
      </c>
      <c r="AB4" s="69"/>
      <c r="AC4" s="71" t="s">
        <v>450</v>
      </c>
      <c r="AD4" s="69"/>
      <c r="AE4" s="69"/>
      <c r="AF4" s="69"/>
      <c r="AG4" s="69"/>
      <c r="AH4" s="69"/>
      <c r="AI4" s="69"/>
      <c r="AJ4" s="69"/>
      <c r="AK4" s="69"/>
      <c r="AL4" s="2" t="str">
        <f t="shared" si="0"/>
        <v>Yes</v>
      </c>
    </row>
    <row r="5" spans="1:38" s="2" customFormat="1" ht="39.75" customHeight="1" x14ac:dyDescent="0.25">
      <c r="A5" s="5" t="s">
        <v>429</v>
      </c>
      <c r="B5" s="5" t="s">
        <v>432</v>
      </c>
      <c r="C5" s="2" t="s">
        <v>308</v>
      </c>
      <c r="D5" s="5">
        <v>1</v>
      </c>
      <c r="E5" s="5">
        <v>40</v>
      </c>
      <c r="F5" s="5">
        <v>40</v>
      </c>
      <c r="G5" s="5">
        <v>40</v>
      </c>
      <c r="H5" s="5"/>
      <c r="I5" s="5"/>
      <c r="J5" s="5"/>
      <c r="K5" s="2" t="s">
        <v>437</v>
      </c>
      <c r="L5" s="5">
        <v>0</v>
      </c>
      <c r="M5" s="5">
        <v>0</v>
      </c>
      <c r="N5" s="5">
        <v>100</v>
      </c>
      <c r="O5" s="5">
        <v>0</v>
      </c>
      <c r="P5" s="5">
        <v>0</v>
      </c>
      <c r="Q5" s="5"/>
      <c r="R5" s="5"/>
      <c r="S5" s="5">
        <v>1</v>
      </c>
      <c r="T5" s="5"/>
      <c r="U5" s="69"/>
      <c r="V5" s="2" t="s">
        <v>435</v>
      </c>
      <c r="W5" s="2" t="s">
        <v>433</v>
      </c>
      <c r="X5" s="2" t="s">
        <v>434</v>
      </c>
      <c r="Y5" s="5" t="s">
        <v>12</v>
      </c>
      <c r="Z5" s="69"/>
      <c r="AA5" s="5" t="s">
        <v>16</v>
      </c>
      <c r="AB5" s="69"/>
      <c r="AC5" s="71" t="s">
        <v>450</v>
      </c>
      <c r="AD5" s="69"/>
      <c r="AE5" s="69"/>
      <c r="AF5" s="69"/>
      <c r="AG5" s="69"/>
      <c r="AH5" s="69"/>
      <c r="AI5" s="69"/>
      <c r="AJ5" s="69"/>
      <c r="AK5" s="69"/>
      <c r="AL5" s="2" t="str">
        <f t="shared" si="0"/>
        <v>Yes</v>
      </c>
    </row>
    <row r="6" spans="1:38" s="2" customFormat="1" ht="35.25" customHeight="1" x14ac:dyDescent="0.25">
      <c r="A6" s="5" t="s">
        <v>430</v>
      </c>
      <c r="B6" s="5" t="s">
        <v>432</v>
      </c>
      <c r="C6" s="2" t="s">
        <v>308</v>
      </c>
      <c r="D6" s="5">
        <v>1</v>
      </c>
      <c r="E6" s="5">
        <v>20.25</v>
      </c>
      <c r="F6" s="5">
        <v>20.25</v>
      </c>
      <c r="G6" s="5">
        <v>20.25</v>
      </c>
      <c r="H6" s="5"/>
      <c r="I6" s="5"/>
      <c r="J6" s="5"/>
      <c r="K6" s="2" t="s">
        <v>437</v>
      </c>
      <c r="L6" s="5">
        <v>0</v>
      </c>
      <c r="M6" s="5">
        <v>0</v>
      </c>
      <c r="N6" s="5">
        <v>100</v>
      </c>
      <c r="O6" s="5">
        <v>0</v>
      </c>
      <c r="P6" s="5">
        <v>0</v>
      </c>
      <c r="Q6" s="5"/>
      <c r="R6" s="5"/>
      <c r="S6" s="5">
        <v>1</v>
      </c>
      <c r="T6" s="5"/>
      <c r="U6" s="69"/>
      <c r="V6" s="2" t="s">
        <v>435</v>
      </c>
      <c r="W6" s="2" t="s">
        <v>433</v>
      </c>
      <c r="X6" s="2" t="s">
        <v>434</v>
      </c>
      <c r="Y6" s="5" t="s">
        <v>12</v>
      </c>
      <c r="Z6" s="69"/>
      <c r="AA6" s="5" t="s">
        <v>16</v>
      </c>
      <c r="AB6" s="69"/>
      <c r="AC6" s="71" t="s">
        <v>450</v>
      </c>
      <c r="AD6" s="69"/>
      <c r="AE6" s="69"/>
      <c r="AF6" s="69"/>
      <c r="AG6" s="69"/>
      <c r="AH6" s="69"/>
      <c r="AI6" s="69"/>
      <c r="AJ6" s="69"/>
      <c r="AK6" s="69"/>
      <c r="AL6" s="2" t="str">
        <f t="shared" si="0"/>
        <v>Yes</v>
      </c>
    </row>
    <row r="7" spans="1:38" s="2" customFormat="1" ht="75" customHeight="1" x14ac:dyDescent="0.25">
      <c r="A7" s="5" t="s">
        <v>431</v>
      </c>
      <c r="B7" s="5" t="s">
        <v>432</v>
      </c>
      <c r="C7" s="2" t="s">
        <v>308</v>
      </c>
      <c r="D7" s="5">
        <v>1</v>
      </c>
      <c r="E7" s="5">
        <v>40</v>
      </c>
      <c r="F7" s="5">
        <v>40</v>
      </c>
      <c r="G7" s="5">
        <v>40</v>
      </c>
      <c r="H7" s="5"/>
      <c r="I7" s="5"/>
      <c r="J7" s="5"/>
      <c r="K7" s="2" t="s">
        <v>437</v>
      </c>
      <c r="L7" s="5">
        <v>0</v>
      </c>
      <c r="M7" s="5">
        <v>0</v>
      </c>
      <c r="N7" s="5">
        <v>100</v>
      </c>
      <c r="O7" s="5">
        <v>0</v>
      </c>
      <c r="P7" s="5">
        <v>0</v>
      </c>
      <c r="Q7" s="5"/>
      <c r="R7" s="5"/>
      <c r="S7" s="5">
        <v>1</v>
      </c>
      <c r="T7" s="5"/>
      <c r="U7" s="69"/>
      <c r="V7" s="2" t="s">
        <v>435</v>
      </c>
      <c r="W7" s="2" t="s">
        <v>433</v>
      </c>
      <c r="X7" s="2" t="s">
        <v>434</v>
      </c>
      <c r="Y7" s="5" t="s">
        <v>12</v>
      </c>
      <c r="Z7" s="5"/>
      <c r="AA7" s="5" t="s">
        <v>16</v>
      </c>
      <c r="AB7" s="5"/>
      <c r="AC7" s="71" t="s">
        <v>450</v>
      </c>
      <c r="AD7" s="5"/>
      <c r="AE7" s="69"/>
      <c r="AF7" s="69"/>
      <c r="AG7" s="69"/>
      <c r="AH7" s="69"/>
      <c r="AI7" s="69"/>
      <c r="AJ7" s="69"/>
      <c r="AK7" s="69"/>
      <c r="AL7" s="2" t="str">
        <f t="shared" si="0"/>
        <v>Yes</v>
      </c>
    </row>
    <row r="8" spans="1:38" s="2" customFormat="1" ht="49.5" customHeight="1" x14ac:dyDescent="0.25">
      <c r="A8" s="5" t="s">
        <v>436</v>
      </c>
      <c r="B8" s="5" t="s">
        <v>438</v>
      </c>
      <c r="C8" s="5" t="s">
        <v>313</v>
      </c>
      <c r="D8" s="5">
        <v>1</v>
      </c>
      <c r="E8" s="5">
        <v>646</v>
      </c>
      <c r="F8" s="5">
        <v>646</v>
      </c>
      <c r="G8" s="5">
        <v>646</v>
      </c>
      <c r="H8" s="5"/>
      <c r="I8" s="5"/>
      <c r="J8" s="5"/>
      <c r="K8" s="2" t="s">
        <v>437</v>
      </c>
      <c r="L8" s="5">
        <v>0</v>
      </c>
      <c r="M8" s="5">
        <v>0</v>
      </c>
      <c r="N8" s="5">
        <v>100</v>
      </c>
      <c r="O8" s="5">
        <v>0</v>
      </c>
      <c r="P8" s="5">
        <v>0</v>
      </c>
      <c r="Q8" s="5"/>
      <c r="R8" s="5"/>
      <c r="S8" s="5">
        <v>1</v>
      </c>
      <c r="T8" s="5"/>
      <c r="U8" s="69"/>
      <c r="V8" s="2" t="s">
        <v>435</v>
      </c>
      <c r="W8" s="2" t="s">
        <v>433</v>
      </c>
      <c r="X8" s="2" t="s">
        <v>434</v>
      </c>
      <c r="Y8" s="5" t="s">
        <v>12</v>
      </c>
      <c r="Z8" s="5"/>
      <c r="AA8" s="5" t="s">
        <v>17</v>
      </c>
      <c r="AB8" s="5"/>
      <c r="AC8" s="71" t="s">
        <v>450</v>
      </c>
      <c r="AD8" s="5"/>
      <c r="AE8" s="69"/>
      <c r="AF8" s="69"/>
      <c r="AG8" s="69"/>
      <c r="AH8" s="69"/>
      <c r="AI8" s="69"/>
      <c r="AJ8" s="69"/>
      <c r="AK8" s="69"/>
      <c r="AL8" s="2" t="str">
        <f t="shared" si="0"/>
        <v>Yes</v>
      </c>
    </row>
    <row r="9" spans="1:38" s="2" customFormat="1" ht="73.5" customHeight="1" x14ac:dyDescent="0.25">
      <c r="A9" s="5" t="s">
        <v>345</v>
      </c>
      <c r="B9" s="2" t="s">
        <v>346</v>
      </c>
      <c r="C9" s="5" t="s">
        <v>312</v>
      </c>
      <c r="D9" s="5">
        <v>1</v>
      </c>
      <c r="E9" s="5">
        <v>20</v>
      </c>
      <c r="F9" s="5">
        <v>20</v>
      </c>
      <c r="G9" s="2">
        <f>E9/D9</f>
        <v>20</v>
      </c>
      <c r="H9" s="5"/>
      <c r="I9" s="5"/>
      <c r="J9" s="5"/>
      <c r="K9" s="2" t="s">
        <v>358</v>
      </c>
      <c r="L9" s="5">
        <v>0</v>
      </c>
      <c r="M9" s="5">
        <v>0</v>
      </c>
      <c r="N9" s="5">
        <v>100</v>
      </c>
      <c r="O9" s="5">
        <v>0</v>
      </c>
      <c r="P9" s="5">
        <v>0</v>
      </c>
      <c r="Q9" s="5"/>
      <c r="R9" s="5"/>
      <c r="S9" s="5">
        <v>1</v>
      </c>
      <c r="T9" s="5"/>
      <c r="U9" s="69"/>
      <c r="V9" s="5"/>
      <c r="W9" s="2" t="s">
        <v>347</v>
      </c>
      <c r="X9" s="2" t="s">
        <v>348</v>
      </c>
      <c r="Y9" s="5" t="s">
        <v>12</v>
      </c>
      <c r="Z9" s="5"/>
      <c r="AA9" s="5" t="s">
        <v>16</v>
      </c>
      <c r="AB9" s="5"/>
      <c r="AC9" s="5" t="s">
        <v>352</v>
      </c>
      <c r="AD9" s="5"/>
      <c r="AE9" s="69"/>
      <c r="AF9" s="69"/>
      <c r="AG9" s="69"/>
      <c r="AH9" s="69"/>
      <c r="AI9" s="69"/>
      <c r="AJ9" s="69"/>
      <c r="AK9" s="69"/>
      <c r="AL9" s="2" t="str">
        <f t="shared" si="0"/>
        <v>No</v>
      </c>
    </row>
    <row r="10" spans="1:38" s="2" customFormat="1" ht="57.75" customHeight="1" x14ac:dyDescent="0.25">
      <c r="A10" s="2" t="s">
        <v>71</v>
      </c>
      <c r="B10" s="2" t="s">
        <v>72</v>
      </c>
      <c r="C10" s="2" t="s">
        <v>310</v>
      </c>
      <c r="D10" s="2">
        <v>1</v>
      </c>
      <c r="E10" s="2">
        <v>37.145000000000003</v>
      </c>
      <c r="F10" s="2">
        <v>37.145000000000003</v>
      </c>
      <c r="G10" s="2">
        <f>E10/D10</f>
        <v>37.145000000000003</v>
      </c>
      <c r="K10" s="2" t="s">
        <v>536</v>
      </c>
      <c r="L10" s="2">
        <v>0</v>
      </c>
      <c r="M10" s="2">
        <v>0</v>
      </c>
      <c r="N10" s="2">
        <v>0</v>
      </c>
      <c r="O10" s="2">
        <v>0</v>
      </c>
      <c r="P10" s="2">
        <v>100</v>
      </c>
      <c r="Q10" s="70"/>
      <c r="R10" s="70"/>
      <c r="S10" s="70"/>
      <c r="T10" s="70"/>
      <c r="U10" s="69">
        <v>1</v>
      </c>
      <c r="W10" s="2" t="s">
        <v>73</v>
      </c>
      <c r="X10" s="2" t="s">
        <v>74</v>
      </c>
      <c r="Y10" s="2" t="s">
        <v>12</v>
      </c>
      <c r="AA10" s="2" t="s">
        <v>16</v>
      </c>
      <c r="AC10" s="5" t="s">
        <v>164</v>
      </c>
      <c r="AE10" s="70"/>
      <c r="AF10" s="70"/>
      <c r="AG10" s="70"/>
      <c r="AH10" s="70"/>
      <c r="AI10" s="70"/>
      <c r="AJ10" s="70"/>
      <c r="AK10" s="70"/>
      <c r="AL10" s="2" t="str">
        <f t="shared" si="0"/>
        <v>No</v>
      </c>
    </row>
    <row r="11" spans="1:38" s="2" customFormat="1" ht="36.75" customHeight="1" x14ac:dyDescent="0.25">
      <c r="A11" s="2" t="s">
        <v>116</v>
      </c>
      <c r="B11" s="2" t="s">
        <v>119</v>
      </c>
      <c r="C11" s="70" t="s">
        <v>310</v>
      </c>
      <c r="F11" s="69"/>
      <c r="J11" s="2">
        <v>13</v>
      </c>
      <c r="K11" s="2" t="s">
        <v>117</v>
      </c>
      <c r="L11" s="70">
        <v>0</v>
      </c>
      <c r="M11" s="70">
        <v>0</v>
      </c>
      <c r="N11" s="70">
        <v>100</v>
      </c>
      <c r="O11" s="70">
        <v>0</v>
      </c>
      <c r="P11" s="70">
        <v>0</v>
      </c>
      <c r="Q11" s="5"/>
      <c r="R11" s="5"/>
      <c r="S11" s="5"/>
      <c r="T11" s="5"/>
      <c r="U11" s="69"/>
      <c r="W11" s="2" t="s">
        <v>118</v>
      </c>
      <c r="Y11" s="2" t="s">
        <v>12</v>
      </c>
      <c r="AA11" s="2" t="s">
        <v>17</v>
      </c>
      <c r="AC11" s="5" t="s">
        <v>164</v>
      </c>
      <c r="AE11" s="69"/>
      <c r="AF11" s="69"/>
      <c r="AG11" s="69"/>
      <c r="AH11" s="69"/>
      <c r="AI11" s="69"/>
      <c r="AJ11" s="69"/>
      <c r="AK11" s="69"/>
      <c r="AL11" s="2" t="str">
        <f t="shared" si="0"/>
        <v>No</v>
      </c>
    </row>
    <row r="12" spans="1:38" s="2" customFormat="1" ht="57" customHeight="1" x14ac:dyDescent="0.25">
      <c r="A12" s="2" t="s">
        <v>120</v>
      </c>
      <c r="B12" s="2" t="s">
        <v>314</v>
      </c>
      <c r="C12" s="70" t="s">
        <v>312</v>
      </c>
      <c r="F12" s="69"/>
      <c r="K12" s="2" t="s">
        <v>117</v>
      </c>
      <c r="L12" s="70">
        <v>0</v>
      </c>
      <c r="M12" s="70">
        <v>0</v>
      </c>
      <c r="N12" s="70">
        <v>100</v>
      </c>
      <c r="O12" s="70">
        <v>0</v>
      </c>
      <c r="P12" s="70">
        <v>0</v>
      </c>
      <c r="Q12" s="5"/>
      <c r="R12" s="5"/>
      <c r="S12" s="5"/>
      <c r="T12" s="5"/>
      <c r="U12" s="69"/>
      <c r="V12" s="2" t="s">
        <v>187</v>
      </c>
      <c r="W12" s="2" t="s">
        <v>121</v>
      </c>
      <c r="X12" s="2" t="s">
        <v>186</v>
      </c>
      <c r="Y12" s="2" t="s">
        <v>12</v>
      </c>
      <c r="Z12" s="2" t="s">
        <v>37</v>
      </c>
      <c r="AA12" s="2" t="s">
        <v>16</v>
      </c>
      <c r="AB12" s="2" t="s">
        <v>122</v>
      </c>
      <c r="AC12" s="5" t="s">
        <v>164</v>
      </c>
      <c r="AE12" s="69"/>
      <c r="AF12" s="69"/>
      <c r="AG12" s="69"/>
      <c r="AH12" s="69"/>
      <c r="AI12" s="69"/>
      <c r="AJ12" s="69"/>
      <c r="AK12" s="69"/>
      <c r="AL12" s="2" t="str">
        <f t="shared" si="0"/>
        <v>No</v>
      </c>
    </row>
    <row r="13" spans="1:38" s="2" customFormat="1" ht="54.75" customHeight="1" x14ac:dyDescent="0.25">
      <c r="A13" s="2" t="s">
        <v>192</v>
      </c>
      <c r="B13" s="2" t="s">
        <v>193</v>
      </c>
      <c r="C13" s="70" t="s">
        <v>306</v>
      </c>
      <c r="F13" s="69"/>
      <c r="K13" s="2" t="s">
        <v>117</v>
      </c>
      <c r="L13" s="70">
        <v>0</v>
      </c>
      <c r="M13" s="70">
        <v>0</v>
      </c>
      <c r="N13" s="70">
        <v>100</v>
      </c>
      <c r="O13" s="70">
        <v>0</v>
      </c>
      <c r="P13" s="70">
        <v>0</v>
      </c>
      <c r="Q13" s="5"/>
      <c r="R13" s="5"/>
      <c r="S13" s="5"/>
      <c r="T13" s="5"/>
      <c r="U13" s="69"/>
      <c r="V13" s="2" t="s">
        <v>28</v>
      </c>
      <c r="W13" s="2" t="s">
        <v>194</v>
      </c>
      <c r="Y13" s="2" t="s">
        <v>12</v>
      </c>
      <c r="AA13" s="2" t="s">
        <v>17</v>
      </c>
      <c r="AB13" s="70" t="s">
        <v>195</v>
      </c>
      <c r="AC13" s="5" t="s">
        <v>247</v>
      </c>
      <c r="AE13" s="69"/>
      <c r="AF13" s="69"/>
      <c r="AG13" s="69"/>
      <c r="AH13" s="69"/>
      <c r="AI13" s="69"/>
      <c r="AJ13" s="69"/>
      <c r="AK13" s="69"/>
      <c r="AL13" s="2" t="str">
        <f t="shared" si="0"/>
        <v>No</v>
      </c>
    </row>
    <row r="14" spans="1:38" s="2" customFormat="1" ht="27.75" customHeight="1" x14ac:dyDescent="0.25">
      <c r="A14" s="2" t="s">
        <v>255</v>
      </c>
      <c r="B14" s="2" t="s">
        <v>246</v>
      </c>
      <c r="C14" s="5" t="s">
        <v>306</v>
      </c>
      <c r="D14" s="5"/>
      <c r="E14" s="5"/>
      <c r="F14" s="69"/>
      <c r="H14" s="5"/>
      <c r="I14" s="5"/>
      <c r="J14" s="5"/>
      <c r="K14" s="2" t="s">
        <v>117</v>
      </c>
      <c r="L14" s="5">
        <v>0</v>
      </c>
      <c r="M14" s="5">
        <v>0</v>
      </c>
      <c r="N14" s="5">
        <v>100</v>
      </c>
      <c r="O14" s="5">
        <v>0</v>
      </c>
      <c r="P14" s="70">
        <v>0</v>
      </c>
      <c r="Q14" s="5"/>
      <c r="R14" s="5"/>
      <c r="S14" s="5"/>
      <c r="T14" s="5"/>
      <c r="U14" s="69"/>
      <c r="V14" s="5"/>
      <c r="W14" s="2" t="s">
        <v>246</v>
      </c>
      <c r="X14" s="5"/>
      <c r="Y14" s="5"/>
      <c r="Z14" s="5"/>
      <c r="AA14" s="2" t="s">
        <v>17</v>
      </c>
      <c r="AB14" s="5"/>
      <c r="AC14" s="5"/>
      <c r="AD14" s="5"/>
      <c r="AE14" s="69"/>
      <c r="AF14" s="69"/>
      <c r="AG14" s="69"/>
      <c r="AH14" s="69"/>
      <c r="AI14" s="69"/>
      <c r="AJ14" s="69"/>
      <c r="AK14" s="69"/>
      <c r="AL14" s="2" t="str">
        <f t="shared" si="0"/>
        <v>No</v>
      </c>
    </row>
    <row r="15" spans="1:38" s="2" customFormat="1" ht="31.5" customHeight="1" x14ac:dyDescent="0.25">
      <c r="A15" s="70" t="s">
        <v>440</v>
      </c>
      <c r="B15" s="70" t="s">
        <v>441</v>
      </c>
      <c r="C15" s="70" t="s">
        <v>308</v>
      </c>
      <c r="D15" s="70">
        <v>1</v>
      </c>
      <c r="E15" s="70">
        <v>193</v>
      </c>
      <c r="F15" s="70">
        <v>193</v>
      </c>
      <c r="G15" s="70">
        <v>193</v>
      </c>
      <c r="H15" s="70"/>
      <c r="I15" s="70"/>
      <c r="J15" s="70"/>
      <c r="K15" s="70" t="s">
        <v>442</v>
      </c>
      <c r="L15" s="70">
        <v>0</v>
      </c>
      <c r="M15" s="70">
        <v>0</v>
      </c>
      <c r="N15" s="70">
        <v>100</v>
      </c>
      <c r="O15" s="70">
        <v>0</v>
      </c>
      <c r="P15" s="70">
        <v>0</v>
      </c>
      <c r="Q15" s="5"/>
      <c r="R15" s="5"/>
      <c r="S15" s="5">
        <v>1</v>
      </c>
      <c r="T15" s="5"/>
      <c r="U15" s="69"/>
      <c r="V15" s="2" t="s">
        <v>449</v>
      </c>
      <c r="W15" s="2" t="s">
        <v>433</v>
      </c>
      <c r="X15" s="2" t="s">
        <v>434</v>
      </c>
      <c r="Y15" s="5" t="s">
        <v>12</v>
      </c>
      <c r="Z15" s="70"/>
      <c r="AA15" s="70" t="s">
        <v>16</v>
      </c>
      <c r="AB15" s="70" t="s">
        <v>439</v>
      </c>
      <c r="AC15" s="71" t="s">
        <v>451</v>
      </c>
      <c r="AD15" s="70"/>
      <c r="AE15" s="69"/>
      <c r="AF15" s="69"/>
      <c r="AG15" s="69"/>
      <c r="AH15" s="69"/>
      <c r="AI15" s="69"/>
      <c r="AJ15" s="69"/>
      <c r="AK15" s="69"/>
      <c r="AL15" s="2" t="str">
        <f t="shared" si="0"/>
        <v>Yes</v>
      </c>
    </row>
    <row r="16" spans="1:38" s="2" customFormat="1" ht="59.25" customHeight="1" x14ac:dyDescent="0.25">
      <c r="A16" s="70" t="s">
        <v>1646</v>
      </c>
      <c r="B16" s="5" t="s">
        <v>414</v>
      </c>
      <c r="C16" s="5" t="s">
        <v>306</v>
      </c>
      <c r="D16" s="5">
        <v>1</v>
      </c>
      <c r="E16" s="5">
        <v>400</v>
      </c>
      <c r="F16" s="5">
        <v>400</v>
      </c>
      <c r="G16" s="5">
        <v>400</v>
      </c>
      <c r="H16" s="5">
        <v>100</v>
      </c>
      <c r="I16" s="5">
        <v>40</v>
      </c>
      <c r="J16" s="5"/>
      <c r="K16" s="2" t="s">
        <v>1644</v>
      </c>
      <c r="L16" s="5">
        <v>0</v>
      </c>
      <c r="M16" s="5">
        <v>0</v>
      </c>
      <c r="N16" s="5">
        <v>100</v>
      </c>
      <c r="O16" s="5">
        <v>0</v>
      </c>
      <c r="P16" s="5">
        <v>0</v>
      </c>
      <c r="Q16" s="5"/>
      <c r="R16" s="5"/>
      <c r="S16" s="5">
        <v>1</v>
      </c>
      <c r="T16" s="5"/>
      <c r="U16" s="69"/>
      <c r="V16" s="70" t="s">
        <v>65</v>
      </c>
      <c r="W16" s="70" t="s">
        <v>1314</v>
      </c>
      <c r="X16" s="70" t="s">
        <v>1645</v>
      </c>
      <c r="Y16" s="70" t="s">
        <v>153</v>
      </c>
      <c r="Z16" s="70" t="s">
        <v>729</v>
      </c>
      <c r="AA16" s="70" t="s">
        <v>16</v>
      </c>
      <c r="AB16" s="69"/>
      <c r="AC16" s="72" t="s">
        <v>1647</v>
      </c>
      <c r="AD16" s="69"/>
      <c r="AE16" s="69" t="s">
        <v>1643</v>
      </c>
      <c r="AF16" s="69"/>
      <c r="AG16" s="69"/>
      <c r="AH16" s="69"/>
      <c r="AI16" s="69"/>
      <c r="AJ16" s="69"/>
      <c r="AK16" s="69"/>
      <c r="AL16" s="2" t="str">
        <f t="shared" si="0"/>
        <v>Yes</v>
      </c>
    </row>
    <row r="17" spans="1:38" s="2" customFormat="1" ht="69" customHeight="1" x14ac:dyDescent="0.25">
      <c r="A17" s="5" t="s">
        <v>296</v>
      </c>
      <c r="B17" s="2" t="s">
        <v>297</v>
      </c>
      <c r="C17" s="5" t="s">
        <v>306</v>
      </c>
      <c r="D17" s="5">
        <v>1</v>
      </c>
      <c r="E17" s="5">
        <v>1000</v>
      </c>
      <c r="F17" s="5">
        <v>1000</v>
      </c>
      <c r="G17" s="2">
        <v>1000</v>
      </c>
      <c r="H17" s="5"/>
      <c r="I17" s="5"/>
      <c r="J17" s="2">
        <v>140</v>
      </c>
      <c r="K17" s="2" t="s">
        <v>1003</v>
      </c>
      <c r="L17" s="5"/>
      <c r="M17" s="5"/>
      <c r="N17" s="5"/>
      <c r="O17" s="5"/>
      <c r="P17" s="69"/>
      <c r="Q17" s="5"/>
      <c r="R17" s="5"/>
      <c r="S17" s="5"/>
      <c r="T17" s="5"/>
      <c r="U17" s="69"/>
      <c r="V17" s="2" t="s">
        <v>1001</v>
      </c>
      <c r="W17" s="2" t="s">
        <v>666</v>
      </c>
      <c r="X17" s="2" t="s">
        <v>1004</v>
      </c>
      <c r="Y17" s="2" t="s">
        <v>12</v>
      </c>
      <c r="Z17" s="2" t="s">
        <v>283</v>
      </c>
      <c r="AA17" s="5" t="s">
        <v>17</v>
      </c>
      <c r="AB17" s="5" t="s">
        <v>999</v>
      </c>
      <c r="AC17" s="5" t="s">
        <v>1002</v>
      </c>
      <c r="AD17" s="5">
        <v>1200000</v>
      </c>
      <c r="AE17" s="69" t="s">
        <v>1000</v>
      </c>
      <c r="AF17" s="69">
        <v>20000</v>
      </c>
      <c r="AG17" s="69"/>
      <c r="AH17" s="69"/>
      <c r="AI17" s="69"/>
      <c r="AJ17" s="69"/>
      <c r="AK17" s="69"/>
      <c r="AL17" s="2" t="str">
        <f t="shared" si="0"/>
        <v>No</v>
      </c>
    </row>
    <row r="18" spans="1:38" s="2" customFormat="1" ht="80.25" customHeight="1" x14ac:dyDescent="0.25">
      <c r="A18" s="5" t="s">
        <v>780</v>
      </c>
      <c r="B18" s="5" t="s">
        <v>588</v>
      </c>
      <c r="C18" s="2" t="s">
        <v>308</v>
      </c>
      <c r="D18" s="5">
        <v>1</v>
      </c>
      <c r="E18" s="5">
        <v>45</v>
      </c>
      <c r="F18" s="5">
        <v>45</v>
      </c>
      <c r="G18" s="5">
        <v>45</v>
      </c>
      <c r="H18" s="5"/>
      <c r="I18" s="5"/>
      <c r="J18" s="5">
        <v>18</v>
      </c>
      <c r="K18" s="2" t="s">
        <v>877</v>
      </c>
      <c r="L18" s="5">
        <v>0</v>
      </c>
      <c r="M18" s="5">
        <v>83</v>
      </c>
      <c r="N18" s="5">
        <v>0</v>
      </c>
      <c r="O18" s="5">
        <v>0</v>
      </c>
      <c r="P18" s="5">
        <v>17</v>
      </c>
      <c r="Q18" s="5"/>
      <c r="R18" s="5">
        <v>5</v>
      </c>
      <c r="S18" s="5"/>
      <c r="T18" s="5"/>
      <c r="U18" s="69">
        <v>1</v>
      </c>
      <c r="V18" s="69"/>
      <c r="W18" s="70" t="s">
        <v>666</v>
      </c>
      <c r="X18" s="69"/>
      <c r="Y18" s="69" t="s">
        <v>12</v>
      </c>
      <c r="Z18" s="69"/>
      <c r="AA18" s="70" t="s">
        <v>17</v>
      </c>
      <c r="AB18" s="69" t="s">
        <v>876</v>
      </c>
      <c r="AC18" s="69" t="s">
        <v>878</v>
      </c>
      <c r="AD18" s="69">
        <v>60000</v>
      </c>
      <c r="AE18" s="70" t="s">
        <v>2076</v>
      </c>
      <c r="AF18" s="69">
        <v>5000</v>
      </c>
      <c r="AG18" s="69">
        <v>5000</v>
      </c>
      <c r="AH18" s="69"/>
      <c r="AI18" s="69"/>
      <c r="AJ18" s="69"/>
      <c r="AK18" s="69"/>
      <c r="AL18" s="2" t="str">
        <f t="shared" si="0"/>
        <v>No</v>
      </c>
    </row>
    <row r="19" spans="1:38" s="2" customFormat="1" ht="46.5" customHeight="1" x14ac:dyDescent="0.25">
      <c r="A19" s="2" t="s">
        <v>1076</v>
      </c>
      <c r="B19" s="5" t="s">
        <v>1075</v>
      </c>
      <c r="C19" s="2" t="s">
        <v>308</v>
      </c>
      <c r="D19" s="5">
        <v>1</v>
      </c>
      <c r="E19" s="5">
        <v>75</v>
      </c>
      <c r="F19" s="5">
        <v>75</v>
      </c>
      <c r="G19" s="5">
        <v>75</v>
      </c>
      <c r="H19" s="5"/>
      <c r="I19" s="5"/>
      <c r="J19" s="5">
        <v>21</v>
      </c>
      <c r="K19" s="2" t="s">
        <v>1077</v>
      </c>
      <c r="L19" s="5">
        <v>0</v>
      </c>
      <c r="M19" s="5">
        <v>100</v>
      </c>
      <c r="N19" s="5">
        <v>0</v>
      </c>
      <c r="O19" s="5">
        <v>0</v>
      </c>
      <c r="P19" s="5">
        <v>0</v>
      </c>
      <c r="Q19" s="5"/>
      <c r="R19" s="5">
        <v>13</v>
      </c>
      <c r="S19" s="5"/>
      <c r="T19" s="5"/>
      <c r="U19" s="69"/>
      <c r="V19" s="70" t="s">
        <v>1061</v>
      </c>
      <c r="W19" s="70" t="s">
        <v>666</v>
      </c>
      <c r="X19" s="69" t="s">
        <v>390</v>
      </c>
      <c r="Y19" s="70" t="s">
        <v>12</v>
      </c>
      <c r="Z19" s="70" t="s">
        <v>706</v>
      </c>
      <c r="AA19" s="70" t="s">
        <v>16</v>
      </c>
      <c r="AB19" s="69" t="s">
        <v>1073</v>
      </c>
      <c r="AC19" s="69" t="s">
        <v>1072</v>
      </c>
      <c r="AD19" s="69">
        <v>146000</v>
      </c>
      <c r="AE19" s="69" t="s">
        <v>1074</v>
      </c>
      <c r="AF19" s="69">
        <v>5242</v>
      </c>
      <c r="AG19" s="69">
        <v>10876</v>
      </c>
      <c r="AH19" s="69"/>
      <c r="AI19" s="69"/>
      <c r="AJ19" s="69"/>
      <c r="AK19" s="69"/>
      <c r="AL19" s="2" t="str">
        <f t="shared" si="0"/>
        <v>No</v>
      </c>
    </row>
    <row r="20" spans="1:38" s="2" customFormat="1" ht="68.25" customHeight="1" x14ac:dyDescent="0.25">
      <c r="A20" s="5" t="s">
        <v>790</v>
      </c>
      <c r="B20" s="5" t="s">
        <v>1005</v>
      </c>
      <c r="C20" s="2" t="s">
        <v>308</v>
      </c>
      <c r="D20" s="5">
        <v>1</v>
      </c>
      <c r="E20" s="5">
        <v>20</v>
      </c>
      <c r="F20" s="5">
        <v>20</v>
      </c>
      <c r="G20" s="5">
        <v>20</v>
      </c>
      <c r="H20" s="5"/>
      <c r="I20" s="5"/>
      <c r="J20" s="5">
        <v>30</v>
      </c>
      <c r="K20" s="2" t="s">
        <v>1010</v>
      </c>
      <c r="L20" s="5">
        <v>0</v>
      </c>
      <c r="M20" s="5">
        <v>100</v>
      </c>
      <c r="N20" s="5">
        <v>0</v>
      </c>
      <c r="O20" s="5">
        <v>0</v>
      </c>
      <c r="P20" s="5">
        <v>0</v>
      </c>
      <c r="Q20" s="5"/>
      <c r="R20" s="5">
        <v>25</v>
      </c>
      <c r="S20" s="5"/>
      <c r="T20" s="5"/>
      <c r="U20" s="69"/>
      <c r="V20" s="69"/>
      <c r="W20" s="70" t="s">
        <v>1006</v>
      </c>
      <c r="X20" s="70" t="s">
        <v>1009</v>
      </c>
      <c r="Y20" s="70" t="s">
        <v>12</v>
      </c>
      <c r="Z20" s="70" t="s">
        <v>578</v>
      </c>
      <c r="AA20" s="70" t="s">
        <v>16</v>
      </c>
      <c r="AB20" s="69"/>
      <c r="AC20" s="69" t="s">
        <v>1008</v>
      </c>
      <c r="AD20" s="69">
        <v>40000</v>
      </c>
      <c r="AE20" s="69" t="s">
        <v>1007</v>
      </c>
      <c r="AF20" s="69">
        <v>2500</v>
      </c>
      <c r="AG20" s="69">
        <v>2000</v>
      </c>
      <c r="AH20" s="69"/>
      <c r="AI20" s="69"/>
      <c r="AJ20" s="69"/>
      <c r="AK20" s="69"/>
      <c r="AL20" s="2" t="str">
        <f t="shared" si="0"/>
        <v>No</v>
      </c>
    </row>
    <row r="21" spans="1:38" s="2" customFormat="1" ht="69.75" customHeight="1" x14ac:dyDescent="0.25">
      <c r="A21" s="2" t="s">
        <v>34</v>
      </c>
      <c r="B21" s="2" t="s">
        <v>35</v>
      </c>
      <c r="C21" s="2" t="s">
        <v>306</v>
      </c>
      <c r="D21" s="2">
        <v>1</v>
      </c>
      <c r="E21" s="2">
        <v>10</v>
      </c>
      <c r="F21" s="2">
        <v>10</v>
      </c>
      <c r="G21" s="2">
        <f>E21/D21</f>
        <v>10</v>
      </c>
      <c r="J21" s="2">
        <v>12</v>
      </c>
      <c r="K21" s="2" t="s">
        <v>39</v>
      </c>
      <c r="L21" s="2">
        <v>0</v>
      </c>
      <c r="M21" s="2">
        <v>100</v>
      </c>
      <c r="N21" s="2">
        <v>0</v>
      </c>
      <c r="O21" s="2">
        <v>0</v>
      </c>
      <c r="P21" s="2">
        <v>0</v>
      </c>
      <c r="Q21" s="5"/>
      <c r="R21" s="5">
        <v>6</v>
      </c>
      <c r="S21" s="5"/>
      <c r="T21" s="5"/>
      <c r="U21" s="69"/>
      <c r="V21" s="2" t="s">
        <v>28</v>
      </c>
      <c r="W21" s="2" t="s">
        <v>36</v>
      </c>
      <c r="Y21" s="2" t="s">
        <v>12</v>
      </c>
      <c r="Z21" s="2" t="s">
        <v>37</v>
      </c>
      <c r="AA21" s="2" t="s">
        <v>16</v>
      </c>
      <c r="AB21" s="5" t="s">
        <v>41</v>
      </c>
      <c r="AC21" s="5" t="s">
        <v>164</v>
      </c>
      <c r="AE21" s="69"/>
      <c r="AF21" s="69"/>
      <c r="AG21" s="69"/>
      <c r="AH21" s="69"/>
      <c r="AI21" s="69"/>
      <c r="AJ21" s="69"/>
      <c r="AK21" s="69"/>
      <c r="AL21" s="2" t="str">
        <f t="shared" si="0"/>
        <v>No</v>
      </c>
    </row>
    <row r="22" spans="1:38" s="1" customFormat="1" ht="84.75" customHeight="1" x14ac:dyDescent="0.25">
      <c r="A22" s="2" t="s">
        <v>184</v>
      </c>
      <c r="B22" s="2" t="s">
        <v>182</v>
      </c>
      <c r="C22" s="70" t="s">
        <v>306</v>
      </c>
      <c r="D22" s="2">
        <v>1</v>
      </c>
      <c r="E22" s="2">
        <v>26</v>
      </c>
      <c r="F22" s="2">
        <v>26</v>
      </c>
      <c r="G22" s="2">
        <f>E22/D22</f>
        <v>26</v>
      </c>
      <c r="H22" s="2"/>
      <c r="I22" s="2"/>
      <c r="J22" s="2"/>
      <c r="K22" s="2" t="s">
        <v>185</v>
      </c>
      <c r="L22" s="70">
        <v>0</v>
      </c>
      <c r="M22" s="70">
        <v>100</v>
      </c>
      <c r="N22" s="70">
        <v>0</v>
      </c>
      <c r="O22" s="70">
        <v>0</v>
      </c>
      <c r="P22" s="70">
        <v>0</v>
      </c>
      <c r="Q22" s="5"/>
      <c r="R22" s="5">
        <v>1</v>
      </c>
      <c r="S22" s="5"/>
      <c r="T22" s="5"/>
      <c r="U22" s="69"/>
      <c r="V22" s="2" t="s">
        <v>183</v>
      </c>
      <c r="W22" s="2" t="s">
        <v>419</v>
      </c>
      <c r="X22" s="2" t="s">
        <v>420</v>
      </c>
      <c r="Y22" s="2" t="s">
        <v>12</v>
      </c>
      <c r="Z22" s="2"/>
      <c r="AA22" s="2" t="s">
        <v>16</v>
      </c>
      <c r="AB22" s="2"/>
      <c r="AC22" s="5" t="s">
        <v>247</v>
      </c>
      <c r="AD22" s="2"/>
      <c r="AE22" s="69"/>
      <c r="AF22" s="69"/>
      <c r="AG22" s="69"/>
      <c r="AH22" s="69"/>
      <c r="AI22" s="69"/>
      <c r="AJ22" s="69"/>
      <c r="AK22" s="69"/>
      <c r="AL22" s="2" t="str">
        <f t="shared" si="0"/>
        <v>Yes</v>
      </c>
    </row>
    <row r="23" spans="1:38" s="1" customFormat="1" ht="75" customHeight="1" x14ac:dyDescent="0.25">
      <c r="A23" s="2" t="s">
        <v>51</v>
      </c>
      <c r="B23" s="2" t="s">
        <v>52</v>
      </c>
      <c r="C23" s="2" t="s">
        <v>308</v>
      </c>
      <c r="D23" s="2">
        <v>1</v>
      </c>
      <c r="E23" s="2">
        <v>200</v>
      </c>
      <c r="F23" s="2">
        <v>200</v>
      </c>
      <c r="G23" s="2">
        <f>E23/D23</f>
        <v>200</v>
      </c>
      <c r="H23" s="2"/>
      <c r="I23" s="2"/>
      <c r="J23" s="2">
        <v>5</v>
      </c>
      <c r="K23" s="2" t="s">
        <v>385</v>
      </c>
      <c r="L23" s="2">
        <v>0</v>
      </c>
      <c r="M23" s="2">
        <v>0</v>
      </c>
      <c r="N23" s="2">
        <v>100</v>
      </c>
      <c r="O23" s="2">
        <v>0</v>
      </c>
      <c r="P23" s="2">
        <v>0</v>
      </c>
      <c r="Q23" s="5"/>
      <c r="R23" s="5"/>
      <c r="S23" s="5">
        <v>1</v>
      </c>
      <c r="T23" s="5"/>
      <c r="U23" s="69"/>
      <c r="V23" s="2" t="s">
        <v>54</v>
      </c>
      <c r="W23" s="2" t="s">
        <v>53</v>
      </c>
      <c r="X23" s="2"/>
      <c r="Y23" s="2" t="s">
        <v>12</v>
      </c>
      <c r="Z23" s="2"/>
      <c r="AA23" s="2" t="s">
        <v>17</v>
      </c>
      <c r="AB23" s="2"/>
      <c r="AC23" s="5" t="s">
        <v>164</v>
      </c>
      <c r="AD23" s="2"/>
      <c r="AE23" s="69"/>
      <c r="AF23" s="69"/>
      <c r="AG23" s="69"/>
      <c r="AH23" s="69"/>
      <c r="AI23" s="69"/>
      <c r="AJ23" s="69"/>
      <c r="AK23" s="69"/>
      <c r="AL23" s="2" t="str">
        <f t="shared" si="0"/>
        <v>Yes</v>
      </c>
    </row>
    <row r="24" spans="1:38" s="1" customFormat="1" ht="71.25" customHeight="1" x14ac:dyDescent="0.25">
      <c r="A24" s="2" t="s">
        <v>20</v>
      </c>
      <c r="B24" s="2" t="s">
        <v>18</v>
      </c>
      <c r="C24" s="2" t="s">
        <v>306</v>
      </c>
      <c r="D24" s="2">
        <v>1</v>
      </c>
      <c r="E24" s="2">
        <v>250</v>
      </c>
      <c r="F24" s="2">
        <v>250</v>
      </c>
      <c r="G24" s="2">
        <f>E24/D24</f>
        <v>250</v>
      </c>
      <c r="H24" s="2"/>
      <c r="I24" s="2"/>
      <c r="J24" s="2"/>
      <c r="K24" s="2" t="s">
        <v>2047</v>
      </c>
      <c r="L24" s="2">
        <v>100</v>
      </c>
      <c r="M24" s="2">
        <v>0</v>
      </c>
      <c r="N24" s="2">
        <v>0</v>
      </c>
      <c r="O24" s="2">
        <v>0</v>
      </c>
      <c r="P24" s="2">
        <v>0</v>
      </c>
      <c r="Q24" s="70">
        <v>4</v>
      </c>
      <c r="R24" s="70"/>
      <c r="S24" s="70"/>
      <c r="T24" s="70"/>
      <c r="U24" s="70"/>
      <c r="V24" s="2" t="s">
        <v>29</v>
      </c>
      <c r="W24" s="2" t="s">
        <v>18</v>
      </c>
      <c r="X24" s="2"/>
      <c r="Y24" s="2" t="s">
        <v>12</v>
      </c>
      <c r="Z24" s="2"/>
      <c r="AA24" s="2" t="s">
        <v>19</v>
      </c>
      <c r="AB24" s="2" t="s">
        <v>27</v>
      </c>
      <c r="AC24" s="5" t="s">
        <v>164</v>
      </c>
      <c r="AD24" s="2"/>
      <c r="AE24" s="70"/>
      <c r="AF24" s="70"/>
      <c r="AG24" s="70"/>
      <c r="AH24" s="70"/>
      <c r="AI24" s="70"/>
      <c r="AJ24" s="70"/>
      <c r="AK24" s="70"/>
      <c r="AL24" s="2" t="str">
        <f t="shared" si="0"/>
        <v>Yes</v>
      </c>
    </row>
    <row r="25" spans="1:38" s="1" customFormat="1" ht="48" customHeight="1" x14ac:dyDescent="0.25">
      <c r="A25" s="2" t="s">
        <v>359</v>
      </c>
      <c r="B25" s="2" t="s">
        <v>324</v>
      </c>
      <c r="C25" s="2" t="s">
        <v>309</v>
      </c>
      <c r="D25" s="5">
        <v>1</v>
      </c>
      <c r="E25" s="5">
        <v>1500</v>
      </c>
      <c r="F25" s="5">
        <v>1500</v>
      </c>
      <c r="G25" s="2">
        <f>E25/D25</f>
        <v>1500</v>
      </c>
      <c r="H25" s="5">
        <v>40</v>
      </c>
      <c r="I25" s="5"/>
      <c r="J25" s="5"/>
      <c r="K25" s="2" t="s">
        <v>351</v>
      </c>
      <c r="L25" s="5">
        <v>60</v>
      </c>
      <c r="M25" s="5">
        <v>10</v>
      </c>
      <c r="N25" s="5">
        <v>30</v>
      </c>
      <c r="O25" s="5">
        <v>0</v>
      </c>
      <c r="P25" s="5">
        <v>0</v>
      </c>
      <c r="Q25" s="5"/>
      <c r="R25" s="5"/>
      <c r="S25" s="5"/>
      <c r="T25" s="5"/>
      <c r="U25" s="69"/>
      <c r="V25" s="5"/>
      <c r="W25" s="2" t="s">
        <v>325</v>
      </c>
      <c r="X25" s="2" t="s">
        <v>326</v>
      </c>
      <c r="Y25" s="5" t="s">
        <v>12</v>
      </c>
      <c r="Z25" s="5"/>
      <c r="AA25" s="5" t="s">
        <v>16</v>
      </c>
      <c r="AB25" s="5"/>
      <c r="AC25" s="5" t="s">
        <v>350</v>
      </c>
      <c r="AD25" s="5"/>
      <c r="AE25" s="69"/>
      <c r="AF25" s="69"/>
      <c r="AG25" s="69"/>
      <c r="AH25" s="69"/>
      <c r="AI25" s="69"/>
      <c r="AJ25" s="69"/>
      <c r="AK25" s="69"/>
      <c r="AL25" s="2" t="str">
        <f t="shared" si="0"/>
        <v>No</v>
      </c>
    </row>
    <row r="26" spans="1:38" s="1" customFormat="1" ht="39" x14ac:dyDescent="0.25">
      <c r="A26" s="5" t="s">
        <v>319</v>
      </c>
      <c r="B26" s="5" t="s">
        <v>320</v>
      </c>
      <c r="C26" s="5" t="s">
        <v>313</v>
      </c>
      <c r="D26" s="5"/>
      <c r="E26" s="5"/>
      <c r="F26" s="69"/>
      <c r="G26" s="2"/>
      <c r="H26" s="5"/>
      <c r="I26" s="5"/>
      <c r="J26" s="5"/>
      <c r="K26" s="2" t="s">
        <v>349</v>
      </c>
      <c r="L26" s="5"/>
      <c r="M26" s="5"/>
      <c r="N26" s="5"/>
      <c r="O26" s="5"/>
      <c r="P26" s="69"/>
      <c r="Q26" s="5"/>
      <c r="R26" s="5"/>
      <c r="S26" s="5"/>
      <c r="T26" s="5"/>
      <c r="U26" s="69"/>
      <c r="V26" s="5"/>
      <c r="W26" s="2" t="s">
        <v>321</v>
      </c>
      <c r="X26" s="5"/>
      <c r="Y26" s="5" t="s">
        <v>12</v>
      </c>
      <c r="Z26" s="5"/>
      <c r="AA26" s="5" t="s">
        <v>16</v>
      </c>
      <c r="AB26" s="5"/>
      <c r="AC26" s="5" t="s">
        <v>352</v>
      </c>
      <c r="AD26" s="5"/>
      <c r="AE26" s="69"/>
      <c r="AF26" s="69"/>
      <c r="AG26" s="69"/>
      <c r="AH26" s="69"/>
      <c r="AI26" s="69"/>
      <c r="AJ26" s="69"/>
      <c r="AK26" s="69"/>
      <c r="AL26" s="2" t="str">
        <f t="shared" si="0"/>
        <v>No</v>
      </c>
    </row>
    <row r="27" spans="1:38" ht="43.5" customHeight="1" x14ac:dyDescent="0.25">
      <c r="A27" s="2" t="s">
        <v>695</v>
      </c>
      <c r="B27" s="2" t="s">
        <v>696</v>
      </c>
      <c r="C27" s="5" t="s">
        <v>306</v>
      </c>
      <c r="D27" s="5">
        <v>1</v>
      </c>
      <c r="E27" s="5">
        <v>688</v>
      </c>
      <c r="F27" s="5">
        <v>688</v>
      </c>
      <c r="G27" s="5">
        <v>688</v>
      </c>
      <c r="J27" s="5">
        <v>7</v>
      </c>
      <c r="K27" s="2" t="s">
        <v>2040</v>
      </c>
      <c r="L27" s="5">
        <v>50</v>
      </c>
      <c r="M27" s="5">
        <v>0</v>
      </c>
      <c r="N27" s="5">
        <v>0</v>
      </c>
      <c r="O27" s="5">
        <v>50</v>
      </c>
      <c r="P27" s="5">
        <v>0</v>
      </c>
      <c r="Q27" s="5">
        <v>6</v>
      </c>
      <c r="T27" s="5">
        <v>5</v>
      </c>
      <c r="U27" s="69"/>
      <c r="V27" s="69"/>
      <c r="W27" s="70" t="s">
        <v>697</v>
      </c>
      <c r="X27" s="70" t="s">
        <v>698</v>
      </c>
      <c r="Y27" s="69" t="s">
        <v>12</v>
      </c>
      <c r="Z27" s="70" t="s">
        <v>578</v>
      </c>
      <c r="AA27" s="70" t="s">
        <v>16</v>
      </c>
      <c r="AB27" s="69" t="s">
        <v>700</v>
      </c>
      <c r="AC27" s="69" t="s">
        <v>699</v>
      </c>
      <c r="AD27" s="69"/>
      <c r="AE27" s="69"/>
      <c r="AF27" s="69">
        <v>80000</v>
      </c>
      <c r="AG27" s="69"/>
      <c r="AH27" s="69"/>
      <c r="AI27" s="69"/>
      <c r="AJ27" s="69"/>
      <c r="AK27" s="69"/>
      <c r="AL27" s="2" t="str">
        <f t="shared" si="0"/>
        <v>No</v>
      </c>
    </row>
    <row r="28" spans="1:38" s="1" customFormat="1" ht="120" customHeight="1" x14ac:dyDescent="0.25">
      <c r="A28" s="2" t="s">
        <v>701</v>
      </c>
      <c r="B28" s="5" t="s">
        <v>702</v>
      </c>
      <c r="C28" s="5" t="s">
        <v>310</v>
      </c>
      <c r="D28" s="5">
        <v>1</v>
      </c>
      <c r="E28" s="5">
        <v>30</v>
      </c>
      <c r="F28" s="5">
        <v>30</v>
      </c>
      <c r="G28" s="5">
        <v>30</v>
      </c>
      <c r="H28" s="5"/>
      <c r="I28" s="5"/>
      <c r="J28" s="5">
        <v>20</v>
      </c>
      <c r="K28" s="2" t="s">
        <v>708</v>
      </c>
      <c r="L28" s="5">
        <v>100</v>
      </c>
      <c r="M28" s="5">
        <v>0</v>
      </c>
      <c r="N28" s="5">
        <v>0</v>
      </c>
      <c r="O28" s="5">
        <v>0</v>
      </c>
      <c r="P28" s="5">
        <v>0</v>
      </c>
      <c r="Q28" s="5">
        <v>1</v>
      </c>
      <c r="R28" s="5"/>
      <c r="S28" s="5"/>
      <c r="T28" s="5"/>
      <c r="U28" s="69"/>
      <c r="V28" s="70" t="s">
        <v>705</v>
      </c>
      <c r="W28" s="70" t="s">
        <v>707</v>
      </c>
      <c r="X28" s="70" t="s">
        <v>704</v>
      </c>
      <c r="Y28" s="70" t="s">
        <v>12</v>
      </c>
      <c r="Z28" s="70" t="s">
        <v>706</v>
      </c>
      <c r="AA28" s="70" t="s">
        <v>16</v>
      </c>
      <c r="AB28" s="70" t="s">
        <v>2068</v>
      </c>
      <c r="AC28" s="69" t="s">
        <v>709</v>
      </c>
      <c r="AD28" s="69"/>
      <c r="AE28" s="70" t="s">
        <v>2075</v>
      </c>
      <c r="AF28" s="69">
        <v>2000</v>
      </c>
      <c r="AG28" s="69">
        <v>900</v>
      </c>
      <c r="AH28" s="69"/>
      <c r="AI28" s="69"/>
      <c r="AJ28" s="69"/>
      <c r="AK28" s="69"/>
      <c r="AL28" s="2" t="str">
        <f t="shared" si="0"/>
        <v>Yes</v>
      </c>
    </row>
    <row r="29" spans="1:38" s="1" customFormat="1" ht="153" customHeight="1" x14ac:dyDescent="0.25">
      <c r="A29" s="2" t="s">
        <v>950</v>
      </c>
      <c r="B29" s="2" t="s">
        <v>951</v>
      </c>
      <c r="C29" s="5" t="s">
        <v>306</v>
      </c>
      <c r="D29" s="5">
        <v>3</v>
      </c>
      <c r="E29" s="5">
        <f>103+92+99+437+905+1000</f>
        <v>2636</v>
      </c>
      <c r="F29" s="5">
        <f>103+92+99+437+905+1000</f>
        <v>2636</v>
      </c>
      <c r="G29" s="5">
        <f>E29/D29</f>
        <v>878.66666666666663</v>
      </c>
      <c r="H29" s="5"/>
      <c r="I29" s="5"/>
      <c r="J29" s="5">
        <v>9</v>
      </c>
      <c r="K29" s="2" t="s">
        <v>2049</v>
      </c>
      <c r="L29" s="5">
        <v>4</v>
      </c>
      <c r="M29" s="5">
        <v>0</v>
      </c>
      <c r="N29" s="5">
        <v>16.5</v>
      </c>
      <c r="O29" s="5">
        <v>3.5</v>
      </c>
      <c r="P29" s="5">
        <v>76</v>
      </c>
      <c r="Q29" s="5">
        <v>1</v>
      </c>
      <c r="R29" s="5"/>
      <c r="S29" s="5">
        <v>1</v>
      </c>
      <c r="T29" s="5">
        <v>1</v>
      </c>
      <c r="U29" s="5">
        <v>3</v>
      </c>
      <c r="V29" s="70" t="s">
        <v>943</v>
      </c>
      <c r="W29" s="70" t="s">
        <v>953</v>
      </c>
      <c r="X29" s="70" t="s">
        <v>948</v>
      </c>
      <c r="Y29" s="69" t="s">
        <v>12</v>
      </c>
      <c r="Z29" s="69"/>
      <c r="AA29" s="70" t="s">
        <v>17</v>
      </c>
      <c r="AB29" s="69" t="s">
        <v>952</v>
      </c>
      <c r="AC29" s="73" t="s">
        <v>949</v>
      </c>
      <c r="AD29" s="69"/>
      <c r="AE29" s="69"/>
      <c r="AF29" s="69"/>
      <c r="AG29" s="69"/>
      <c r="AH29" s="69"/>
      <c r="AI29" s="69"/>
      <c r="AJ29" s="69"/>
      <c r="AK29" s="69"/>
      <c r="AL29" s="2" t="str">
        <f t="shared" si="0"/>
        <v>Yes</v>
      </c>
    </row>
    <row r="30" spans="1:38" s="1" customFormat="1" ht="54.75" customHeight="1" x14ac:dyDescent="0.25">
      <c r="A30" s="2" t="s">
        <v>465</v>
      </c>
      <c r="B30" s="2" t="s">
        <v>456</v>
      </c>
      <c r="C30" s="2" t="s">
        <v>308</v>
      </c>
      <c r="D30" s="70">
        <v>1</v>
      </c>
      <c r="E30" s="70">
        <v>950</v>
      </c>
      <c r="F30" s="70">
        <v>950</v>
      </c>
      <c r="G30" s="70">
        <v>950</v>
      </c>
      <c r="H30" s="70"/>
      <c r="I30" s="70"/>
      <c r="J30" s="5">
        <f>261/4</f>
        <v>65.25</v>
      </c>
      <c r="K30" s="70" t="s">
        <v>1998</v>
      </c>
      <c r="L30" s="70">
        <v>100</v>
      </c>
      <c r="M30" s="70">
        <v>0</v>
      </c>
      <c r="N30" s="70">
        <v>0</v>
      </c>
      <c r="O30" s="70">
        <v>0</v>
      </c>
      <c r="P30" s="70">
        <v>0</v>
      </c>
      <c r="Q30" s="70"/>
      <c r="R30" s="70"/>
      <c r="S30" s="70"/>
      <c r="T30" s="70"/>
      <c r="U30" s="70"/>
      <c r="V30" s="2" t="s">
        <v>469</v>
      </c>
      <c r="W30" s="2" t="s">
        <v>458</v>
      </c>
      <c r="X30" s="70"/>
      <c r="Y30" s="70" t="s">
        <v>12</v>
      </c>
      <c r="Z30" s="70"/>
      <c r="AA30" s="5" t="s">
        <v>17</v>
      </c>
      <c r="AB30" s="74" t="s">
        <v>1997</v>
      </c>
      <c r="AC30" s="69" t="s">
        <v>1994</v>
      </c>
      <c r="AD30" s="70"/>
      <c r="AE30" s="70"/>
      <c r="AF30" s="70"/>
      <c r="AG30" s="70"/>
      <c r="AH30" s="70"/>
      <c r="AI30" s="70"/>
      <c r="AJ30" s="70"/>
      <c r="AK30" s="70"/>
      <c r="AL30" s="2" t="str">
        <f t="shared" si="0"/>
        <v>Yes</v>
      </c>
    </row>
    <row r="31" spans="1:38" s="1" customFormat="1" ht="55.5" customHeight="1" x14ac:dyDescent="0.25">
      <c r="A31" s="2" t="s">
        <v>564</v>
      </c>
      <c r="B31" s="2" t="s">
        <v>2012</v>
      </c>
      <c r="C31" s="5" t="s">
        <v>306</v>
      </c>
      <c r="D31" s="5">
        <v>1</v>
      </c>
      <c r="E31" s="5">
        <v>3800</v>
      </c>
      <c r="F31" s="69"/>
      <c r="G31" s="5">
        <f>E31/D31</f>
        <v>3800</v>
      </c>
      <c r="H31" s="5">
        <v>60</v>
      </c>
      <c r="I31" s="5"/>
      <c r="J31" s="5">
        <v>7</v>
      </c>
      <c r="K31" s="2" t="s">
        <v>569</v>
      </c>
      <c r="L31" s="5"/>
      <c r="M31" s="5"/>
      <c r="N31" s="5"/>
      <c r="O31" s="5"/>
      <c r="P31" s="69"/>
      <c r="Q31" s="5"/>
      <c r="R31" s="5"/>
      <c r="S31" s="5"/>
      <c r="T31" s="5"/>
      <c r="U31" s="69"/>
      <c r="V31" s="69"/>
      <c r="W31" s="70" t="s">
        <v>563</v>
      </c>
      <c r="X31" s="70" t="s">
        <v>561</v>
      </c>
      <c r="Y31" s="69" t="s">
        <v>565</v>
      </c>
      <c r="Z31" s="69"/>
      <c r="AA31" s="5" t="s">
        <v>17</v>
      </c>
      <c r="AB31" s="69"/>
      <c r="AC31" s="73" t="s">
        <v>557</v>
      </c>
      <c r="AD31" s="69"/>
      <c r="AE31" s="69"/>
      <c r="AF31" s="69"/>
      <c r="AG31" s="69"/>
      <c r="AH31" s="69"/>
      <c r="AI31" s="69"/>
      <c r="AJ31" s="69"/>
      <c r="AK31" s="69"/>
      <c r="AL31" s="2" t="str">
        <f t="shared" si="0"/>
        <v>No</v>
      </c>
    </row>
    <row r="32" spans="1:38" s="1" customFormat="1" ht="81.75" customHeight="1" x14ac:dyDescent="0.25">
      <c r="A32" s="5" t="s">
        <v>507</v>
      </c>
      <c r="B32" s="5" t="s">
        <v>2010</v>
      </c>
      <c r="C32" s="2" t="s">
        <v>308</v>
      </c>
      <c r="D32" s="5">
        <v>1</v>
      </c>
      <c r="E32" s="5">
        <v>1998</v>
      </c>
      <c r="F32" s="5">
        <v>1998</v>
      </c>
      <c r="G32" s="5">
        <f>E32/D32</f>
        <v>1998</v>
      </c>
      <c r="H32" s="5"/>
      <c r="I32" s="5"/>
      <c r="J32" s="5"/>
      <c r="K32" s="2" t="s">
        <v>2020</v>
      </c>
      <c r="L32" s="5">
        <v>50</v>
      </c>
      <c r="M32" s="5">
        <v>0</v>
      </c>
      <c r="N32" s="5">
        <v>0</v>
      </c>
      <c r="O32" s="5">
        <v>0</v>
      </c>
      <c r="P32" s="5">
        <v>50</v>
      </c>
      <c r="Q32" s="5">
        <v>20</v>
      </c>
      <c r="R32" s="5"/>
      <c r="S32" s="5"/>
      <c r="T32" s="5"/>
      <c r="U32" s="69">
        <v>1</v>
      </c>
      <c r="V32" s="2" t="s">
        <v>469</v>
      </c>
      <c r="W32" s="2" t="s">
        <v>470</v>
      </c>
      <c r="X32" s="5"/>
      <c r="Y32" s="5" t="s">
        <v>12</v>
      </c>
      <c r="Z32" s="69"/>
      <c r="AA32" s="5" t="s">
        <v>17</v>
      </c>
      <c r="AB32" s="69"/>
      <c r="AC32" s="73" t="s">
        <v>504</v>
      </c>
      <c r="AD32" s="69"/>
      <c r="AE32" s="69"/>
      <c r="AF32" s="69"/>
      <c r="AG32" s="69"/>
      <c r="AH32" s="69"/>
      <c r="AI32" s="69"/>
      <c r="AJ32" s="69"/>
      <c r="AK32" s="69"/>
      <c r="AL32" s="2" t="str">
        <f t="shared" si="0"/>
        <v>Yes</v>
      </c>
    </row>
    <row r="33" spans="1:38" s="1" customFormat="1" ht="78" customHeight="1" x14ac:dyDescent="0.25">
      <c r="A33" s="2" t="s">
        <v>106</v>
      </c>
      <c r="B33" s="2" t="s">
        <v>107</v>
      </c>
      <c r="C33" s="2" t="s">
        <v>313</v>
      </c>
      <c r="D33" s="2">
        <v>1</v>
      </c>
      <c r="E33" s="2">
        <v>71</v>
      </c>
      <c r="F33" s="2">
        <v>71</v>
      </c>
      <c r="G33" s="2">
        <f>E33/D33</f>
        <v>71</v>
      </c>
      <c r="H33" s="2"/>
      <c r="I33" s="2"/>
      <c r="J33" s="2">
        <v>61</v>
      </c>
      <c r="K33" s="2" t="s">
        <v>392</v>
      </c>
      <c r="L33" s="70">
        <v>100</v>
      </c>
      <c r="M33" s="70">
        <v>0</v>
      </c>
      <c r="N33" s="70">
        <v>0</v>
      </c>
      <c r="O33" s="70">
        <v>0</v>
      </c>
      <c r="P33" s="70">
        <v>0</v>
      </c>
      <c r="Q33" s="5">
        <v>2</v>
      </c>
      <c r="R33" s="5"/>
      <c r="S33" s="5"/>
      <c r="T33" s="5"/>
      <c r="U33" s="69"/>
      <c r="V33" s="2" t="s">
        <v>105</v>
      </c>
      <c r="W33" s="2" t="s">
        <v>108</v>
      </c>
      <c r="X33" s="2" t="s">
        <v>390</v>
      </c>
      <c r="Y33" s="2" t="s">
        <v>12</v>
      </c>
      <c r="Z33" s="2" t="s">
        <v>45</v>
      </c>
      <c r="AA33" s="2" t="s">
        <v>16</v>
      </c>
      <c r="AB33" s="2" t="s">
        <v>27</v>
      </c>
      <c r="AC33" s="5" t="s">
        <v>164</v>
      </c>
      <c r="AD33" s="2"/>
      <c r="AE33" s="69"/>
      <c r="AF33" s="69"/>
      <c r="AG33" s="69"/>
      <c r="AH33" s="69"/>
      <c r="AI33" s="69"/>
      <c r="AJ33" s="69"/>
      <c r="AK33" s="69"/>
      <c r="AL33" s="2" t="str">
        <f t="shared" si="0"/>
        <v>Yes</v>
      </c>
    </row>
    <row r="34" spans="1:38" s="1" customFormat="1" ht="70.5" customHeight="1" x14ac:dyDescent="0.25">
      <c r="A34" s="2" t="s">
        <v>1180</v>
      </c>
      <c r="B34" s="2" t="s">
        <v>1181</v>
      </c>
      <c r="C34" s="5" t="s">
        <v>306</v>
      </c>
      <c r="D34" s="5">
        <v>1</v>
      </c>
      <c r="E34" s="5">
        <v>984.4</v>
      </c>
      <c r="F34" s="5">
        <v>984.4</v>
      </c>
      <c r="G34" s="5">
        <v>984.4</v>
      </c>
      <c r="H34" s="5"/>
      <c r="I34" s="5"/>
      <c r="J34" s="5">
        <v>36</v>
      </c>
      <c r="K34" s="2" t="s">
        <v>1267</v>
      </c>
      <c r="L34" s="5">
        <v>18.3</v>
      </c>
      <c r="M34" s="5">
        <v>0</v>
      </c>
      <c r="N34" s="5">
        <v>0</v>
      </c>
      <c r="O34" s="5">
        <v>0</v>
      </c>
      <c r="P34" s="5">
        <v>81.7</v>
      </c>
      <c r="Q34" s="5">
        <v>3</v>
      </c>
      <c r="R34" s="5"/>
      <c r="S34" s="5"/>
      <c r="T34" s="5"/>
      <c r="U34" s="69">
        <v>10</v>
      </c>
      <c r="V34" s="70" t="s">
        <v>1087</v>
      </c>
      <c r="W34" s="70" t="s">
        <v>1192</v>
      </c>
      <c r="X34" s="69"/>
      <c r="Y34" s="70" t="s">
        <v>12</v>
      </c>
      <c r="Z34" s="70" t="s">
        <v>283</v>
      </c>
      <c r="AA34" s="70" t="s">
        <v>16</v>
      </c>
      <c r="AB34" s="69"/>
      <c r="AC34" s="69" t="s">
        <v>1089</v>
      </c>
      <c r="AD34" s="69"/>
      <c r="AE34" s="69" t="s">
        <v>1182</v>
      </c>
      <c r="AF34" s="69"/>
      <c r="AG34" s="69"/>
      <c r="AH34" s="69"/>
      <c r="AI34" s="69"/>
      <c r="AJ34" s="69"/>
      <c r="AK34" s="69"/>
      <c r="AL34" s="2" t="str">
        <f t="shared" ref="AL34:AL66" si="1">IF(OR(ISNUMBER(SEARCH("school", K34)), ISNUMBER(SEARCH("others", K34)), ISNUMBER(SEARCH("town hall", K34)), ISNUMBER(SEARCH("municipality", K34)),ISNUMBER(SEARCH("gym", K34)),ISNUMBER(SEARCH("sports", K34)),ISNUMBER(SEARCH("university", K34)),ISNUMBER(SEARCH("social center", K34)),ISNUMBER(SEARCH("warehouse", K34)),ISNUMBER(SEARCH("kindergarden", K34)),ISNUMBER(SEARCH("library", K34)),ISNUMBER(SEARCH("private", K34)),ISNUMBER(SEARCH("condominium", K34)),ISNUMBER(SEARCH("commercial", K34)),ISNUMBER(SEARCH("shop", K34)),ISNUMBER(SEARCH("comm", K34)),ISNUMBER(SEARCH("market", K34)),ISNUMBER(SEARCH("supermarket", K34)),ISNUMBER(SEARCH("hotel", K34)),ISNUMBER(SEARCH("industrial", K34)),ISNUMBER(SEARCH("farm", K34)),ISNUMBER(SEARCH("office", K34)),ISNUMBER(SEARCH("offices", K34)),ISNUMBER(SEARCH("church", K34)),ISNUMBER(SEARCH("canteen", K34)),ISNUMBER(SEARCH("educational", K34)), ISNUMBER(SEARCH("waste", K34)),ISNUMBER(SEARCH("social", K34)),ISNUMBER(SEARCH("sport/complex", K34)),ISNUMBER(SEARCH("utility", K34)),ISNUMBER(SEARCH("villa", K34)),ISNUMBER(SEARCH("prosumer/park", K34)),ISNUMBER(SEARCH("police", K34))),"Yes", "No")</f>
        <v>Yes</v>
      </c>
    </row>
    <row r="35" spans="1:38" s="1" customFormat="1" ht="81" customHeight="1" x14ac:dyDescent="0.25">
      <c r="A35" s="2" t="s">
        <v>1145</v>
      </c>
      <c r="B35" s="5" t="s">
        <v>1146</v>
      </c>
      <c r="C35" s="5" t="s">
        <v>306</v>
      </c>
      <c r="D35" s="5">
        <v>1</v>
      </c>
      <c r="E35" s="5">
        <v>18.5</v>
      </c>
      <c r="F35" s="5">
        <v>18.5</v>
      </c>
      <c r="G35" s="5">
        <v>18.5</v>
      </c>
      <c r="H35" s="5"/>
      <c r="I35" s="5"/>
      <c r="J35" s="5">
        <v>10</v>
      </c>
      <c r="K35" s="2" t="s">
        <v>1254</v>
      </c>
      <c r="L35" s="5">
        <v>100</v>
      </c>
      <c r="M35" s="5">
        <v>0</v>
      </c>
      <c r="N35" s="5">
        <v>0</v>
      </c>
      <c r="O35" s="5">
        <v>0</v>
      </c>
      <c r="P35" s="5">
        <v>0</v>
      </c>
      <c r="Q35" s="5">
        <v>1</v>
      </c>
      <c r="R35" s="5"/>
      <c r="S35" s="5"/>
      <c r="T35" s="5"/>
      <c r="U35" s="69"/>
      <c r="V35" s="70" t="s">
        <v>1087</v>
      </c>
      <c r="W35" s="70" t="s">
        <v>1214</v>
      </c>
      <c r="X35" s="69"/>
      <c r="Y35" s="70" t="s">
        <v>12</v>
      </c>
      <c r="Z35" s="70" t="s">
        <v>681</v>
      </c>
      <c r="AA35" s="70" t="s">
        <v>17</v>
      </c>
      <c r="AB35" s="69"/>
      <c r="AC35" s="69" t="s">
        <v>1089</v>
      </c>
      <c r="AD35" s="69"/>
      <c r="AE35" s="69" t="s">
        <v>1147</v>
      </c>
      <c r="AF35" s="69"/>
      <c r="AG35" s="69"/>
      <c r="AH35" s="69"/>
      <c r="AI35" s="69"/>
      <c r="AJ35" s="69"/>
      <c r="AK35" s="69"/>
      <c r="AL35" s="2" t="str">
        <f t="shared" si="1"/>
        <v>Yes</v>
      </c>
    </row>
    <row r="36" spans="1:38" s="1" customFormat="1" ht="77.25" customHeight="1" x14ac:dyDescent="0.25">
      <c r="A36" s="5" t="s">
        <v>1124</v>
      </c>
      <c r="B36" s="5" t="s">
        <v>1125</v>
      </c>
      <c r="C36" s="5" t="s">
        <v>306</v>
      </c>
      <c r="D36" s="5">
        <v>1</v>
      </c>
      <c r="E36" s="5">
        <v>417</v>
      </c>
      <c r="F36" s="5">
        <v>417</v>
      </c>
      <c r="G36" s="5">
        <v>417</v>
      </c>
      <c r="H36" s="5"/>
      <c r="I36" s="5"/>
      <c r="J36" s="5">
        <v>17</v>
      </c>
      <c r="K36" s="2" t="s">
        <v>1240</v>
      </c>
      <c r="L36" s="5">
        <v>73.599999999999994</v>
      </c>
      <c r="M36" s="5">
        <v>0</v>
      </c>
      <c r="N36" s="5">
        <v>0</v>
      </c>
      <c r="O36" s="5">
        <v>0</v>
      </c>
      <c r="P36" s="5">
        <v>26.4</v>
      </c>
      <c r="Q36" s="5">
        <v>6</v>
      </c>
      <c r="R36" s="5"/>
      <c r="S36" s="5"/>
      <c r="T36" s="5"/>
      <c r="U36" s="69">
        <v>4</v>
      </c>
      <c r="V36" s="70" t="s">
        <v>1087</v>
      </c>
      <c r="W36" s="70" t="s">
        <v>1206</v>
      </c>
      <c r="X36" s="69"/>
      <c r="Y36" s="70" t="s">
        <v>12</v>
      </c>
      <c r="Z36" s="69"/>
      <c r="AA36" s="70" t="s">
        <v>17</v>
      </c>
      <c r="AB36" s="69"/>
      <c r="AC36" s="69" t="s">
        <v>1089</v>
      </c>
      <c r="AD36" s="69"/>
      <c r="AE36" s="69" t="s">
        <v>1126</v>
      </c>
      <c r="AF36" s="69"/>
      <c r="AG36" s="69"/>
      <c r="AH36" s="69"/>
      <c r="AI36" s="69"/>
      <c r="AJ36" s="69"/>
      <c r="AK36" s="69"/>
      <c r="AL36" s="2" t="str">
        <f t="shared" si="1"/>
        <v>Yes</v>
      </c>
    </row>
    <row r="37" spans="1:38" s="1" customFormat="1" ht="45.75" customHeight="1" x14ac:dyDescent="0.25">
      <c r="A37" s="5" t="s">
        <v>1127</v>
      </c>
      <c r="B37" s="5" t="s">
        <v>1128</v>
      </c>
      <c r="C37" s="5" t="s">
        <v>306</v>
      </c>
      <c r="D37" s="5">
        <v>1</v>
      </c>
      <c r="E37" s="5">
        <v>100</v>
      </c>
      <c r="F37" s="5">
        <v>100</v>
      </c>
      <c r="G37" s="5">
        <v>100</v>
      </c>
      <c r="H37" s="5"/>
      <c r="I37" s="5"/>
      <c r="J37" s="5">
        <v>16</v>
      </c>
      <c r="K37" s="2" t="s">
        <v>1241</v>
      </c>
      <c r="L37" s="5">
        <v>0</v>
      </c>
      <c r="M37" s="5">
        <v>0</v>
      </c>
      <c r="N37" s="5">
        <v>0</v>
      </c>
      <c r="O37" s="5">
        <v>0</v>
      </c>
      <c r="P37" s="5">
        <v>100</v>
      </c>
      <c r="Q37" s="5"/>
      <c r="R37" s="5"/>
      <c r="S37" s="5"/>
      <c r="T37" s="5"/>
      <c r="U37" s="69">
        <v>1</v>
      </c>
      <c r="V37" s="69" t="s">
        <v>1087</v>
      </c>
      <c r="W37" s="69"/>
      <c r="X37" s="69"/>
      <c r="Y37" s="70" t="s">
        <v>12</v>
      </c>
      <c r="Z37" s="69"/>
      <c r="AA37" s="70" t="s">
        <v>17</v>
      </c>
      <c r="AB37" s="69"/>
      <c r="AC37" s="69" t="s">
        <v>1089</v>
      </c>
      <c r="AD37" s="69"/>
      <c r="AE37" s="69" t="s">
        <v>1129</v>
      </c>
      <c r="AF37" s="69"/>
      <c r="AG37" s="69"/>
      <c r="AH37" s="69"/>
      <c r="AI37" s="69"/>
      <c r="AJ37" s="69"/>
      <c r="AK37" s="69"/>
      <c r="AL37" s="2" t="str">
        <f t="shared" si="1"/>
        <v>Yes</v>
      </c>
    </row>
    <row r="38" spans="1:38" s="1" customFormat="1" ht="103.5" customHeight="1" x14ac:dyDescent="0.25">
      <c r="A38" s="2" t="s">
        <v>42</v>
      </c>
      <c r="B38" s="2" t="s">
        <v>43</v>
      </c>
      <c r="C38" s="2" t="s">
        <v>306</v>
      </c>
      <c r="D38" s="2">
        <v>1</v>
      </c>
      <c r="E38" s="2">
        <v>54</v>
      </c>
      <c r="F38" s="2">
        <v>54</v>
      </c>
      <c r="G38" s="2">
        <f>E38/D38</f>
        <v>54</v>
      </c>
      <c r="H38" s="2">
        <v>70</v>
      </c>
      <c r="I38" s="2"/>
      <c r="J38" s="2"/>
      <c r="K38" s="2" t="s">
        <v>384</v>
      </c>
      <c r="L38" s="2">
        <v>100</v>
      </c>
      <c r="M38" s="2">
        <v>0</v>
      </c>
      <c r="N38" s="2">
        <v>0</v>
      </c>
      <c r="O38" s="2">
        <v>0</v>
      </c>
      <c r="P38" s="2">
        <v>0</v>
      </c>
      <c r="Q38" s="5">
        <v>1</v>
      </c>
      <c r="R38" s="5"/>
      <c r="S38" s="5"/>
      <c r="T38" s="5"/>
      <c r="U38" s="69"/>
      <c r="V38" s="2" t="s">
        <v>212</v>
      </c>
      <c r="W38" s="2" t="s">
        <v>44</v>
      </c>
      <c r="X38" s="2"/>
      <c r="Y38" s="2" t="s">
        <v>12</v>
      </c>
      <c r="Z38" s="2" t="s">
        <v>45</v>
      </c>
      <c r="AA38" s="2" t="s">
        <v>16</v>
      </c>
      <c r="AB38" s="2" t="s">
        <v>40</v>
      </c>
      <c r="AC38" s="5" t="s">
        <v>164</v>
      </c>
      <c r="AD38" s="2"/>
      <c r="AE38" s="69"/>
      <c r="AF38" s="69"/>
      <c r="AG38" s="69"/>
      <c r="AH38" s="69"/>
      <c r="AI38" s="69"/>
      <c r="AJ38" s="69"/>
      <c r="AK38" s="69"/>
      <c r="AL38" s="2" t="str">
        <f t="shared" si="1"/>
        <v>Yes</v>
      </c>
    </row>
    <row r="39" spans="1:38" s="1" customFormat="1" ht="66" customHeight="1" x14ac:dyDescent="0.25">
      <c r="A39" s="5" t="s">
        <v>524</v>
      </c>
      <c r="B39" s="2" t="s">
        <v>530</v>
      </c>
      <c r="C39" s="5" t="s">
        <v>306</v>
      </c>
      <c r="D39" s="5"/>
      <c r="E39" s="5"/>
      <c r="F39" s="69"/>
      <c r="G39" s="5"/>
      <c r="H39" s="5"/>
      <c r="I39" s="5"/>
      <c r="J39" s="5"/>
      <c r="K39" s="2" t="s">
        <v>529</v>
      </c>
      <c r="L39" s="5">
        <v>50</v>
      </c>
      <c r="M39" s="5">
        <v>0</v>
      </c>
      <c r="N39" s="5">
        <v>50</v>
      </c>
      <c r="O39" s="5">
        <v>0</v>
      </c>
      <c r="P39" s="5">
        <v>0</v>
      </c>
      <c r="Q39" s="5">
        <v>1</v>
      </c>
      <c r="R39" s="5"/>
      <c r="S39" s="5">
        <v>1</v>
      </c>
      <c r="T39" s="5"/>
      <c r="U39" s="69"/>
      <c r="V39" s="2" t="s">
        <v>528</v>
      </c>
      <c r="W39" s="2" t="s">
        <v>526</v>
      </c>
      <c r="X39" s="5" t="s">
        <v>337</v>
      </c>
      <c r="Y39" s="5" t="s">
        <v>12</v>
      </c>
      <c r="Z39" s="69"/>
      <c r="AA39" s="70" t="s">
        <v>17</v>
      </c>
      <c r="AB39" s="70" t="s">
        <v>525</v>
      </c>
      <c r="AC39" s="69" t="s">
        <v>527</v>
      </c>
      <c r="AD39" s="69"/>
      <c r="AE39" s="69"/>
      <c r="AF39" s="69"/>
      <c r="AG39" s="69"/>
      <c r="AH39" s="69"/>
      <c r="AI39" s="69"/>
      <c r="AJ39" s="69"/>
      <c r="AK39" s="69"/>
      <c r="AL39" s="2" t="str">
        <f t="shared" si="1"/>
        <v>Yes</v>
      </c>
    </row>
    <row r="40" spans="1:38" s="1" customFormat="1" ht="96" customHeight="1" x14ac:dyDescent="0.25">
      <c r="A40" s="2" t="s">
        <v>102</v>
      </c>
      <c r="B40" s="2" t="s">
        <v>103</v>
      </c>
      <c r="C40" s="2" t="s">
        <v>313</v>
      </c>
      <c r="D40" s="2">
        <v>1</v>
      </c>
      <c r="E40" s="2">
        <v>44</v>
      </c>
      <c r="F40" s="2">
        <v>44</v>
      </c>
      <c r="G40" s="2">
        <f>E40/D40</f>
        <v>44</v>
      </c>
      <c r="H40" s="2"/>
      <c r="I40" s="2"/>
      <c r="J40" s="2">
        <v>34</v>
      </c>
      <c r="K40" s="2" t="s">
        <v>391</v>
      </c>
      <c r="L40" s="2">
        <v>100</v>
      </c>
      <c r="M40" s="2">
        <v>0</v>
      </c>
      <c r="N40" s="2">
        <v>0</v>
      </c>
      <c r="O40" s="2">
        <v>0</v>
      </c>
      <c r="P40" s="2">
        <v>0</v>
      </c>
      <c r="Q40" s="5">
        <v>1</v>
      </c>
      <c r="R40" s="5"/>
      <c r="S40" s="5"/>
      <c r="T40" s="5"/>
      <c r="U40" s="69"/>
      <c r="V40" s="2" t="s">
        <v>105</v>
      </c>
      <c r="W40" s="2" t="s">
        <v>104</v>
      </c>
      <c r="X40" s="2" t="s">
        <v>390</v>
      </c>
      <c r="Y40" s="2" t="s">
        <v>12</v>
      </c>
      <c r="Z40" s="2" t="s">
        <v>45</v>
      </c>
      <c r="AA40" s="2" t="s">
        <v>16</v>
      </c>
      <c r="AB40" s="2" t="s">
        <v>27</v>
      </c>
      <c r="AC40" s="5" t="s">
        <v>164</v>
      </c>
      <c r="AD40" s="2"/>
      <c r="AE40" s="69"/>
      <c r="AF40" s="69"/>
      <c r="AG40" s="69"/>
      <c r="AH40" s="69"/>
      <c r="AI40" s="69"/>
      <c r="AJ40" s="69"/>
      <c r="AK40" s="69"/>
      <c r="AL40" s="2" t="str">
        <f t="shared" si="1"/>
        <v>Yes</v>
      </c>
    </row>
    <row r="41" spans="1:38" s="1" customFormat="1" ht="42" customHeight="1" x14ac:dyDescent="0.25">
      <c r="A41" s="2" t="s">
        <v>369</v>
      </c>
      <c r="B41" s="2" t="s">
        <v>368</v>
      </c>
      <c r="C41" s="5" t="s">
        <v>306</v>
      </c>
      <c r="D41" s="5">
        <v>1</v>
      </c>
      <c r="E41" s="5">
        <v>18</v>
      </c>
      <c r="F41" s="5">
        <v>18</v>
      </c>
      <c r="G41" s="2">
        <f>E41/D41</f>
        <v>18</v>
      </c>
      <c r="H41" s="5">
        <v>89</v>
      </c>
      <c r="I41" s="5">
        <v>13.5</v>
      </c>
      <c r="J41" s="5">
        <v>26</v>
      </c>
      <c r="K41" s="2" t="s">
        <v>397</v>
      </c>
      <c r="L41" s="69">
        <v>100</v>
      </c>
      <c r="M41" s="5">
        <v>0</v>
      </c>
      <c r="N41" s="5">
        <v>0</v>
      </c>
      <c r="O41" s="5">
        <v>0</v>
      </c>
      <c r="P41" s="5">
        <v>0</v>
      </c>
      <c r="Q41" s="5">
        <v>1</v>
      </c>
      <c r="R41" s="5"/>
      <c r="S41" s="5"/>
      <c r="T41" s="5"/>
      <c r="U41" s="69"/>
      <c r="V41" s="2" t="s">
        <v>399</v>
      </c>
      <c r="W41" s="2" t="s">
        <v>315</v>
      </c>
      <c r="X41" s="2" t="s">
        <v>370</v>
      </c>
      <c r="Y41" s="2" t="s">
        <v>1571</v>
      </c>
      <c r="Z41" s="5"/>
      <c r="AA41" s="5" t="s">
        <v>16</v>
      </c>
      <c r="AB41" s="2" t="s">
        <v>367</v>
      </c>
      <c r="AC41" s="5" t="s">
        <v>398</v>
      </c>
      <c r="AD41" s="5"/>
      <c r="AE41" s="69"/>
      <c r="AF41" s="69"/>
      <c r="AG41" s="69"/>
      <c r="AH41" s="69"/>
      <c r="AI41" s="69"/>
      <c r="AJ41" s="69"/>
      <c r="AK41" s="69"/>
      <c r="AL41" s="2" t="str">
        <f t="shared" si="1"/>
        <v>Yes</v>
      </c>
    </row>
    <row r="42" spans="1:38" s="1" customFormat="1" ht="27.75" customHeight="1" x14ac:dyDescent="0.25">
      <c r="A42" s="70" t="s">
        <v>1426</v>
      </c>
      <c r="B42" s="70" t="s">
        <v>1426</v>
      </c>
      <c r="C42" s="75" t="s">
        <v>309</v>
      </c>
      <c r="D42" s="69">
        <v>1</v>
      </c>
      <c r="E42" s="69">
        <v>39.06</v>
      </c>
      <c r="F42" s="69">
        <v>39.06</v>
      </c>
      <c r="G42" s="69">
        <v>39.06</v>
      </c>
      <c r="H42" s="5">
        <v>59</v>
      </c>
      <c r="I42" s="5"/>
      <c r="J42" s="69">
        <v>2</v>
      </c>
      <c r="K42" s="75" t="s">
        <v>1515</v>
      </c>
      <c r="L42" s="75">
        <v>100</v>
      </c>
      <c r="M42" s="5">
        <v>0</v>
      </c>
      <c r="N42" s="5">
        <v>0</v>
      </c>
      <c r="O42" s="5">
        <v>0</v>
      </c>
      <c r="P42" s="5">
        <v>0</v>
      </c>
      <c r="Q42" s="5">
        <v>1</v>
      </c>
      <c r="R42" s="5"/>
      <c r="S42" s="5"/>
      <c r="T42" s="5"/>
      <c r="U42" s="69"/>
      <c r="V42" s="69"/>
      <c r="W42" s="69"/>
      <c r="X42" s="70" t="s">
        <v>1517</v>
      </c>
      <c r="Y42" s="69" t="s">
        <v>153</v>
      </c>
      <c r="Z42" s="69"/>
      <c r="AA42" s="70" t="s">
        <v>16</v>
      </c>
      <c r="AB42" s="69"/>
      <c r="AC42" s="69" t="s">
        <v>1516</v>
      </c>
      <c r="AD42" s="69"/>
      <c r="AE42" s="69"/>
      <c r="AF42" s="69"/>
      <c r="AG42" s="69"/>
      <c r="AH42" s="69"/>
      <c r="AI42" s="69">
        <v>39.06</v>
      </c>
      <c r="AJ42" s="69">
        <v>1</v>
      </c>
      <c r="AK42" s="69">
        <v>2</v>
      </c>
      <c r="AL42" s="2" t="str">
        <f t="shared" si="1"/>
        <v>Yes</v>
      </c>
    </row>
    <row r="43" spans="1:38" s="1" customFormat="1" ht="68.25" customHeight="1" x14ac:dyDescent="0.25">
      <c r="A43" s="70" t="s">
        <v>1505</v>
      </c>
      <c r="B43" s="70" t="s">
        <v>1420</v>
      </c>
      <c r="C43" s="75" t="s">
        <v>310</v>
      </c>
      <c r="D43" s="69">
        <v>1</v>
      </c>
      <c r="E43" s="69">
        <v>20.25</v>
      </c>
      <c r="F43" s="69">
        <v>20.25</v>
      </c>
      <c r="G43" s="69">
        <v>20.25</v>
      </c>
      <c r="H43" s="5"/>
      <c r="I43" s="5"/>
      <c r="J43" s="69">
        <v>8</v>
      </c>
      <c r="K43" s="75" t="s">
        <v>1504</v>
      </c>
      <c r="L43" s="75">
        <v>100</v>
      </c>
      <c r="M43" s="5">
        <v>0</v>
      </c>
      <c r="N43" s="5">
        <v>0</v>
      </c>
      <c r="O43" s="5">
        <v>0</v>
      </c>
      <c r="P43" s="5">
        <v>0</v>
      </c>
      <c r="Q43" s="5">
        <v>1</v>
      </c>
      <c r="R43" s="5"/>
      <c r="S43" s="5"/>
      <c r="T43" s="5"/>
      <c r="U43" s="69"/>
      <c r="V43" s="70" t="s">
        <v>705</v>
      </c>
      <c r="W43" s="70" t="s">
        <v>1503</v>
      </c>
      <c r="X43" s="70" t="s">
        <v>1506</v>
      </c>
      <c r="Y43" s="69" t="s">
        <v>12</v>
      </c>
      <c r="Z43" s="69"/>
      <c r="AA43" s="70" t="s">
        <v>16</v>
      </c>
      <c r="AB43" s="69"/>
      <c r="AC43" s="69" t="s">
        <v>1502</v>
      </c>
      <c r="AD43" s="69"/>
      <c r="AE43" s="69"/>
      <c r="AF43" s="69"/>
      <c r="AG43" s="69"/>
      <c r="AH43" s="69"/>
      <c r="AI43" s="69">
        <v>20.25</v>
      </c>
      <c r="AJ43" s="69">
        <v>1</v>
      </c>
      <c r="AK43" s="69">
        <v>4</v>
      </c>
      <c r="AL43" s="2" t="str">
        <f t="shared" si="1"/>
        <v>Yes</v>
      </c>
    </row>
    <row r="44" spans="1:38" s="1" customFormat="1" ht="51" customHeight="1" x14ac:dyDescent="0.25">
      <c r="A44" s="2" t="s">
        <v>1162</v>
      </c>
      <c r="B44" s="5" t="s">
        <v>1163</v>
      </c>
      <c r="C44" s="5" t="s">
        <v>306</v>
      </c>
      <c r="D44" s="5">
        <v>1</v>
      </c>
      <c r="E44" s="5">
        <v>100</v>
      </c>
      <c r="F44" s="5">
        <v>100</v>
      </c>
      <c r="G44" s="5">
        <v>100</v>
      </c>
      <c r="H44" s="5"/>
      <c r="I44" s="5"/>
      <c r="J44" s="5">
        <v>3</v>
      </c>
      <c r="K44" s="2" t="s">
        <v>1262</v>
      </c>
      <c r="L44" s="5">
        <v>100</v>
      </c>
      <c r="M44" s="5">
        <v>0</v>
      </c>
      <c r="N44" s="5">
        <v>0</v>
      </c>
      <c r="O44" s="5">
        <v>0</v>
      </c>
      <c r="P44" s="5">
        <v>0</v>
      </c>
      <c r="Q44" s="5">
        <v>2</v>
      </c>
      <c r="R44" s="5"/>
      <c r="S44" s="5"/>
      <c r="T44" s="5"/>
      <c r="U44" s="69"/>
      <c r="V44" s="70" t="s">
        <v>1087</v>
      </c>
      <c r="W44" s="70" t="s">
        <v>1215</v>
      </c>
      <c r="X44" s="69"/>
      <c r="Y44" s="70" t="s">
        <v>12</v>
      </c>
      <c r="Z44" s="69"/>
      <c r="AA44" s="70" t="s">
        <v>17</v>
      </c>
      <c r="AB44" s="69"/>
      <c r="AC44" s="69" t="s">
        <v>1089</v>
      </c>
      <c r="AD44" s="69"/>
      <c r="AE44" s="69" t="s">
        <v>1164</v>
      </c>
      <c r="AF44" s="69"/>
      <c r="AG44" s="69"/>
      <c r="AH44" s="69"/>
      <c r="AI44" s="69"/>
      <c r="AJ44" s="69"/>
      <c r="AK44" s="69"/>
      <c r="AL44" s="2" t="str">
        <f t="shared" si="1"/>
        <v>Yes</v>
      </c>
    </row>
    <row r="45" spans="1:38" s="1" customFormat="1" ht="52.5" customHeight="1" x14ac:dyDescent="0.25">
      <c r="A45" s="2" t="s">
        <v>81</v>
      </c>
      <c r="B45" s="2" t="s">
        <v>82</v>
      </c>
      <c r="C45" s="2" t="s">
        <v>312</v>
      </c>
      <c r="D45" s="2">
        <v>1</v>
      </c>
      <c r="E45" s="2">
        <v>65</v>
      </c>
      <c r="F45" s="2">
        <v>65</v>
      </c>
      <c r="G45" s="2">
        <v>65</v>
      </c>
      <c r="H45" s="2">
        <v>15</v>
      </c>
      <c r="I45" s="2"/>
      <c r="J45" s="2">
        <v>20</v>
      </c>
      <c r="K45" s="2" t="s">
        <v>386</v>
      </c>
      <c r="L45" s="2">
        <v>100</v>
      </c>
      <c r="M45" s="2">
        <v>0</v>
      </c>
      <c r="N45" s="2">
        <v>0</v>
      </c>
      <c r="O45" s="2">
        <v>0</v>
      </c>
      <c r="P45" s="2">
        <v>0</v>
      </c>
      <c r="Q45" s="5">
        <v>3</v>
      </c>
      <c r="R45" s="5"/>
      <c r="S45" s="5"/>
      <c r="T45" s="5"/>
      <c r="U45" s="69"/>
      <c r="V45" s="2" t="s">
        <v>87</v>
      </c>
      <c r="W45" s="2" t="s">
        <v>82</v>
      </c>
      <c r="X45" s="2" t="s">
        <v>654</v>
      </c>
      <c r="Y45" s="2" t="s">
        <v>12</v>
      </c>
      <c r="Z45" s="2" t="s">
        <v>45</v>
      </c>
      <c r="AA45" s="2" t="s">
        <v>16</v>
      </c>
      <c r="AB45" s="2" t="s">
        <v>652</v>
      </c>
      <c r="AC45" s="5" t="s">
        <v>653</v>
      </c>
      <c r="AD45" s="2"/>
      <c r="AE45" s="69"/>
      <c r="AF45" s="69"/>
      <c r="AG45" s="69"/>
      <c r="AH45" s="69"/>
      <c r="AI45" s="69"/>
      <c r="AJ45" s="69"/>
      <c r="AK45" s="69"/>
      <c r="AL45" s="2" t="str">
        <f t="shared" si="1"/>
        <v>No</v>
      </c>
    </row>
    <row r="46" spans="1:38" s="1" customFormat="1" ht="62.25" customHeight="1" x14ac:dyDescent="0.25">
      <c r="A46" s="2" t="s">
        <v>453</v>
      </c>
      <c r="B46" s="5" t="s">
        <v>2009</v>
      </c>
      <c r="C46" s="2" t="s">
        <v>308</v>
      </c>
      <c r="D46" s="5">
        <v>2</v>
      </c>
      <c r="E46" s="5">
        <v>1560</v>
      </c>
      <c r="F46" s="5">
        <v>1560</v>
      </c>
      <c r="G46" s="5">
        <f>E46/D46</f>
        <v>780</v>
      </c>
      <c r="H46" s="5"/>
      <c r="I46" s="5"/>
      <c r="J46" s="5"/>
      <c r="K46" s="2" t="s">
        <v>386</v>
      </c>
      <c r="L46" s="5">
        <v>100</v>
      </c>
      <c r="M46" s="5">
        <v>0</v>
      </c>
      <c r="N46" s="5">
        <v>0</v>
      </c>
      <c r="O46" s="5">
        <v>0</v>
      </c>
      <c r="P46" s="5">
        <v>0</v>
      </c>
      <c r="Q46" s="5"/>
      <c r="R46" s="5"/>
      <c r="S46" s="5"/>
      <c r="T46" s="5"/>
      <c r="U46" s="69"/>
      <c r="V46" s="2" t="s">
        <v>460</v>
      </c>
      <c r="W46" s="5" t="s">
        <v>454</v>
      </c>
      <c r="X46" s="5"/>
      <c r="Y46" s="5" t="s">
        <v>12</v>
      </c>
      <c r="Z46" s="69"/>
      <c r="AA46" s="2" t="s">
        <v>17</v>
      </c>
      <c r="AB46" s="69"/>
      <c r="AC46" s="69" t="s">
        <v>455</v>
      </c>
      <c r="AD46" s="69"/>
      <c r="AE46" s="69"/>
      <c r="AF46" s="69"/>
      <c r="AG46" s="69"/>
      <c r="AH46" s="69"/>
      <c r="AI46" s="69"/>
      <c r="AJ46" s="69"/>
      <c r="AK46" s="69"/>
      <c r="AL46" s="2" t="str">
        <f t="shared" si="1"/>
        <v>No</v>
      </c>
    </row>
    <row r="47" spans="1:38" s="1" customFormat="1" ht="118.5" customHeight="1" x14ac:dyDescent="0.25">
      <c r="A47" s="2" t="s">
        <v>251</v>
      </c>
      <c r="B47" s="2" t="s">
        <v>246</v>
      </c>
      <c r="C47" s="70" t="s">
        <v>306</v>
      </c>
      <c r="D47" s="2">
        <v>1</v>
      </c>
      <c r="E47" s="2">
        <v>20</v>
      </c>
      <c r="F47" s="2">
        <v>20</v>
      </c>
      <c r="G47" s="2">
        <f>E47/D47</f>
        <v>20</v>
      </c>
      <c r="H47" s="2"/>
      <c r="I47" s="2"/>
      <c r="J47" s="2"/>
      <c r="K47" s="2" t="s">
        <v>379</v>
      </c>
      <c r="L47" s="70">
        <v>100</v>
      </c>
      <c r="M47" s="70">
        <v>0</v>
      </c>
      <c r="N47" s="70">
        <v>0</v>
      </c>
      <c r="O47" s="70">
        <v>0</v>
      </c>
      <c r="P47" s="70">
        <v>0</v>
      </c>
      <c r="Q47" s="5">
        <v>1</v>
      </c>
      <c r="R47" s="5"/>
      <c r="S47" s="5"/>
      <c r="T47" s="5"/>
      <c r="U47" s="69"/>
      <c r="V47" s="2" t="s">
        <v>202</v>
      </c>
      <c r="W47" s="2" t="s">
        <v>246</v>
      </c>
      <c r="X47" s="2" t="s">
        <v>253</v>
      </c>
      <c r="Y47" s="2" t="s">
        <v>12</v>
      </c>
      <c r="Z47" s="2"/>
      <c r="AA47" s="2" t="s">
        <v>16</v>
      </c>
      <c r="AB47" s="2"/>
      <c r="AC47" s="5"/>
      <c r="AD47" s="2"/>
      <c r="AE47" s="69"/>
      <c r="AF47" s="69"/>
      <c r="AG47" s="69"/>
      <c r="AH47" s="69"/>
      <c r="AI47" s="69"/>
      <c r="AJ47" s="69"/>
      <c r="AK47" s="69"/>
      <c r="AL47" s="2" t="str">
        <f t="shared" si="1"/>
        <v>No</v>
      </c>
    </row>
    <row r="48" spans="1:38" s="1" customFormat="1" ht="65.25" customHeight="1" x14ac:dyDescent="0.25">
      <c r="A48" s="5" t="s">
        <v>341</v>
      </c>
      <c r="B48" s="5" t="s">
        <v>344</v>
      </c>
      <c r="C48" s="5" t="s">
        <v>310</v>
      </c>
      <c r="D48" s="5">
        <v>1</v>
      </c>
      <c r="E48" s="5">
        <v>90</v>
      </c>
      <c r="F48" s="5">
        <v>90</v>
      </c>
      <c r="G48" s="2">
        <f>E48/D48</f>
        <v>90</v>
      </c>
      <c r="H48" s="5"/>
      <c r="I48" s="5"/>
      <c r="J48" s="5">
        <v>50</v>
      </c>
      <c r="K48" s="2" t="s">
        <v>535</v>
      </c>
      <c r="L48" s="5">
        <v>33</v>
      </c>
      <c r="M48" s="5">
        <v>67</v>
      </c>
      <c r="N48" s="5">
        <v>0</v>
      </c>
      <c r="O48" s="5">
        <v>0</v>
      </c>
      <c r="P48" s="5">
        <v>0</v>
      </c>
      <c r="Q48" s="5">
        <v>1</v>
      </c>
      <c r="R48" s="5">
        <v>50</v>
      </c>
      <c r="S48" s="5"/>
      <c r="T48" s="5"/>
      <c r="U48" s="69"/>
      <c r="V48" s="5" t="s">
        <v>65</v>
      </c>
      <c r="W48" s="2" t="s">
        <v>188</v>
      </c>
      <c r="X48" s="2" t="s">
        <v>342</v>
      </c>
      <c r="Y48" s="5" t="s">
        <v>12</v>
      </c>
      <c r="Z48" s="5" t="s">
        <v>283</v>
      </c>
      <c r="AA48" s="2" t="s">
        <v>16</v>
      </c>
      <c r="AB48" s="5" t="s">
        <v>343</v>
      </c>
      <c r="AC48" s="5" t="s">
        <v>357</v>
      </c>
      <c r="AD48" s="5"/>
      <c r="AE48" s="69"/>
      <c r="AF48" s="69"/>
      <c r="AG48" s="69"/>
      <c r="AH48" s="69"/>
      <c r="AI48" s="69"/>
      <c r="AJ48" s="69"/>
      <c r="AK48" s="69"/>
      <c r="AL48" s="2" t="str">
        <f t="shared" si="1"/>
        <v>No</v>
      </c>
    </row>
    <row r="49" spans="1:38" s="1" customFormat="1" ht="55.5" customHeight="1" x14ac:dyDescent="0.25">
      <c r="A49" s="2" t="s">
        <v>227</v>
      </c>
      <c r="B49" s="2" t="s">
        <v>228</v>
      </c>
      <c r="C49" s="70" t="s">
        <v>306</v>
      </c>
      <c r="D49" s="2">
        <v>1</v>
      </c>
      <c r="E49" s="2">
        <v>174.65</v>
      </c>
      <c r="F49" s="2">
        <v>174.65</v>
      </c>
      <c r="G49" s="2">
        <f>E49/D49</f>
        <v>174.65</v>
      </c>
      <c r="H49" s="2"/>
      <c r="I49" s="2"/>
      <c r="J49" s="2"/>
      <c r="K49" s="2" t="s">
        <v>2048</v>
      </c>
      <c r="L49" s="70">
        <v>100</v>
      </c>
      <c r="M49" s="70">
        <v>0</v>
      </c>
      <c r="N49" s="70">
        <v>0</v>
      </c>
      <c r="O49" s="70">
        <v>0</v>
      </c>
      <c r="P49" s="70">
        <v>0</v>
      </c>
      <c r="Q49" s="5">
        <v>1</v>
      </c>
      <c r="R49" s="5"/>
      <c r="S49" s="5"/>
      <c r="T49" s="5"/>
      <c r="U49" s="69"/>
      <c r="V49" s="2" t="s">
        <v>231</v>
      </c>
      <c r="W49" s="2" t="s">
        <v>228</v>
      </c>
      <c r="X49" s="2" t="s">
        <v>229</v>
      </c>
      <c r="Y49" s="2" t="s">
        <v>279</v>
      </c>
      <c r="Z49" s="2"/>
      <c r="AA49" s="2" t="s">
        <v>16</v>
      </c>
      <c r="AB49" s="2"/>
      <c r="AC49" s="5" t="s">
        <v>247</v>
      </c>
      <c r="AD49" s="2"/>
      <c r="AE49" s="69"/>
      <c r="AF49" s="69"/>
      <c r="AG49" s="69"/>
      <c r="AH49" s="69"/>
      <c r="AI49" s="69"/>
      <c r="AJ49" s="69"/>
      <c r="AK49" s="69"/>
      <c r="AL49" s="2" t="str">
        <f t="shared" si="1"/>
        <v>Yes</v>
      </c>
    </row>
    <row r="50" spans="1:38" ht="189.75" customHeight="1" x14ac:dyDescent="0.25">
      <c r="A50" s="2" t="s">
        <v>1041</v>
      </c>
      <c r="B50" s="5" t="s">
        <v>1042</v>
      </c>
      <c r="C50" s="5" t="s">
        <v>306</v>
      </c>
      <c r="D50" s="5">
        <v>1</v>
      </c>
      <c r="E50" s="5">
        <f>26.1+33.5+156.7</f>
        <v>216.29999999999998</v>
      </c>
      <c r="F50" s="5">
        <f>26.1+33.5+156.7</f>
        <v>216.29999999999998</v>
      </c>
      <c r="G50" s="5">
        <f>E50</f>
        <v>216.29999999999998</v>
      </c>
      <c r="I50" s="5" t="s">
        <v>63</v>
      </c>
      <c r="K50" s="2" t="s">
        <v>1045</v>
      </c>
      <c r="L50" s="5">
        <v>27.6</v>
      </c>
      <c r="M50" s="5">
        <v>0</v>
      </c>
      <c r="N50" s="5">
        <v>0</v>
      </c>
      <c r="O50" s="5">
        <v>0</v>
      </c>
      <c r="P50" s="5">
        <v>72.400000000000006</v>
      </c>
      <c r="Q50" s="5">
        <v>2</v>
      </c>
      <c r="U50" s="69">
        <v>1</v>
      </c>
      <c r="V50" s="70" t="s">
        <v>1044</v>
      </c>
      <c r="W50" s="70" t="s">
        <v>60</v>
      </c>
      <c r="X50" s="69"/>
      <c r="Y50" s="70" t="s">
        <v>153</v>
      </c>
      <c r="Z50" s="69"/>
      <c r="AA50" s="70" t="s">
        <v>17</v>
      </c>
      <c r="AB50" s="69"/>
      <c r="AC50" s="69" t="s">
        <v>1043</v>
      </c>
      <c r="AD50" s="69"/>
      <c r="AE50" s="69"/>
      <c r="AF50" s="69"/>
      <c r="AG50" s="69"/>
      <c r="AH50" s="69"/>
      <c r="AI50" s="69"/>
      <c r="AJ50" s="69"/>
      <c r="AK50" s="69"/>
      <c r="AL50" s="2" t="str">
        <f t="shared" si="1"/>
        <v>Yes</v>
      </c>
    </row>
    <row r="51" spans="1:38" ht="119.25" customHeight="1" x14ac:dyDescent="0.25">
      <c r="A51" s="70" t="s">
        <v>1299</v>
      </c>
      <c r="B51" s="5" t="s">
        <v>1579</v>
      </c>
      <c r="C51" s="5" t="s">
        <v>306</v>
      </c>
      <c r="D51" s="5">
        <v>1</v>
      </c>
      <c r="E51" s="5">
        <v>36</v>
      </c>
      <c r="F51" s="5">
        <v>36</v>
      </c>
      <c r="G51" s="5">
        <v>36</v>
      </c>
      <c r="K51" s="2" t="s">
        <v>1582</v>
      </c>
      <c r="L51" s="5">
        <v>100</v>
      </c>
      <c r="M51" s="5">
        <v>0</v>
      </c>
      <c r="N51" s="5">
        <v>0</v>
      </c>
      <c r="O51" s="5">
        <v>0</v>
      </c>
      <c r="P51" s="5">
        <v>0</v>
      </c>
      <c r="Q51" s="5">
        <v>4</v>
      </c>
      <c r="U51" s="69"/>
      <c r="V51" s="70" t="s">
        <v>65</v>
      </c>
      <c r="W51" s="70" t="s">
        <v>1584</v>
      </c>
      <c r="X51" s="69" t="s">
        <v>1585</v>
      </c>
      <c r="Y51" s="70" t="s">
        <v>12</v>
      </c>
      <c r="Z51" s="70" t="s">
        <v>729</v>
      </c>
      <c r="AA51" s="70" t="s">
        <v>16</v>
      </c>
      <c r="AB51" s="69"/>
      <c r="AC51" s="72" t="s">
        <v>1583</v>
      </c>
      <c r="AD51" s="69"/>
      <c r="AE51" s="69"/>
      <c r="AF51" s="69"/>
      <c r="AG51" s="69"/>
      <c r="AH51" s="69"/>
      <c r="AI51" s="69"/>
      <c r="AJ51" s="69"/>
      <c r="AK51" s="69"/>
      <c r="AL51" s="2" t="str">
        <f t="shared" si="1"/>
        <v>Yes</v>
      </c>
    </row>
    <row r="52" spans="1:38" ht="101.25" customHeight="1" x14ac:dyDescent="0.25">
      <c r="A52" s="70" t="s">
        <v>1343</v>
      </c>
      <c r="B52" s="5" t="s">
        <v>1794</v>
      </c>
      <c r="C52" s="5" t="s">
        <v>306</v>
      </c>
      <c r="D52" s="5">
        <v>1</v>
      </c>
      <c r="E52" s="5">
        <v>26</v>
      </c>
      <c r="F52" s="5">
        <v>26</v>
      </c>
      <c r="G52" s="5">
        <v>26</v>
      </c>
      <c r="K52" s="2" t="s">
        <v>1801</v>
      </c>
      <c r="L52" s="5">
        <v>100</v>
      </c>
      <c r="M52" s="5">
        <v>0</v>
      </c>
      <c r="N52" s="5">
        <v>0</v>
      </c>
      <c r="O52" s="5">
        <v>0</v>
      </c>
      <c r="P52" s="5">
        <v>0</v>
      </c>
      <c r="Q52" s="5">
        <v>1</v>
      </c>
      <c r="U52" s="69"/>
      <c r="V52" s="70" t="s">
        <v>65</v>
      </c>
      <c r="W52" s="70" t="s">
        <v>1800</v>
      </c>
      <c r="X52" s="70" t="s">
        <v>1585</v>
      </c>
      <c r="Y52" s="69" t="s">
        <v>12</v>
      </c>
      <c r="Z52" s="70" t="s">
        <v>729</v>
      </c>
      <c r="AA52" s="70" t="s">
        <v>17</v>
      </c>
      <c r="AB52" s="69"/>
      <c r="AC52" s="72" t="s">
        <v>1802</v>
      </c>
      <c r="AD52" s="69"/>
      <c r="AE52" s="69"/>
      <c r="AF52" s="69"/>
      <c r="AG52" s="69"/>
      <c r="AH52" s="69"/>
      <c r="AI52" s="69"/>
      <c r="AJ52" s="69"/>
      <c r="AK52" s="69"/>
      <c r="AL52" s="2" t="str">
        <f t="shared" si="1"/>
        <v>Yes</v>
      </c>
    </row>
    <row r="53" spans="1:38" ht="106.5" customHeight="1" x14ac:dyDescent="0.25">
      <c r="A53" s="70" t="s">
        <v>1554</v>
      </c>
      <c r="B53" s="70" t="s">
        <v>1443</v>
      </c>
      <c r="C53" s="75" t="s">
        <v>312</v>
      </c>
      <c r="D53" s="69">
        <v>1</v>
      </c>
      <c r="E53" s="69">
        <v>1000</v>
      </c>
      <c r="F53" s="69">
        <v>1000</v>
      </c>
      <c r="G53" s="69">
        <v>1000</v>
      </c>
      <c r="J53" s="69"/>
      <c r="K53" s="75" t="s">
        <v>1559</v>
      </c>
      <c r="L53" s="75">
        <v>0</v>
      </c>
      <c r="M53" s="5">
        <v>0</v>
      </c>
      <c r="N53" s="5">
        <v>0</v>
      </c>
      <c r="O53" s="5">
        <v>0</v>
      </c>
      <c r="P53" s="5">
        <v>100</v>
      </c>
      <c r="U53" s="69">
        <v>1</v>
      </c>
      <c r="V53" s="69"/>
      <c r="W53" s="69"/>
      <c r="X53" s="70" t="s">
        <v>1555</v>
      </c>
      <c r="Y53" s="70" t="s">
        <v>1558</v>
      </c>
      <c r="Z53" s="69"/>
      <c r="AA53" s="70" t="s">
        <v>16</v>
      </c>
      <c r="AB53" s="69"/>
      <c r="AC53" s="72" t="s">
        <v>1556</v>
      </c>
      <c r="AD53" s="69"/>
      <c r="AE53" s="69"/>
      <c r="AF53" s="69"/>
      <c r="AG53" s="69"/>
      <c r="AH53" s="69"/>
      <c r="AI53" s="69"/>
      <c r="AJ53" s="69"/>
      <c r="AK53" s="69"/>
      <c r="AL53" s="2" t="str">
        <f t="shared" si="1"/>
        <v>Yes</v>
      </c>
    </row>
    <row r="54" spans="1:38" ht="128.25" x14ac:dyDescent="0.25">
      <c r="A54" s="2" t="s">
        <v>1189</v>
      </c>
      <c r="B54" s="2" t="s">
        <v>1188</v>
      </c>
      <c r="C54" s="5" t="s">
        <v>306</v>
      </c>
      <c r="D54" s="5">
        <v>2</v>
      </c>
      <c r="E54" s="5">
        <f>50.8+28.2</f>
        <v>79</v>
      </c>
      <c r="F54" s="5">
        <f>50.8+28.2</f>
        <v>79</v>
      </c>
      <c r="G54" s="5">
        <f>50.8+28.2</f>
        <v>79</v>
      </c>
      <c r="J54" s="5">
        <f>9+7</f>
        <v>16</v>
      </c>
      <c r="K54" s="2" t="s">
        <v>1272</v>
      </c>
      <c r="L54" s="5">
        <v>100</v>
      </c>
      <c r="M54" s="5">
        <v>0</v>
      </c>
      <c r="N54" s="5">
        <v>0</v>
      </c>
      <c r="O54" s="5">
        <v>0</v>
      </c>
      <c r="P54" s="5">
        <v>0</v>
      </c>
      <c r="Q54" s="5">
        <v>6</v>
      </c>
      <c r="U54" s="69"/>
      <c r="V54" s="70" t="s">
        <v>1087</v>
      </c>
      <c r="W54" s="70" t="s">
        <v>1208</v>
      </c>
      <c r="X54" s="69"/>
      <c r="Y54" s="70" t="s">
        <v>12</v>
      </c>
      <c r="Z54" s="70" t="s">
        <v>681</v>
      </c>
      <c r="AA54" s="70" t="s">
        <v>17</v>
      </c>
      <c r="AB54" s="69"/>
      <c r="AC54" s="69" t="s">
        <v>1089</v>
      </c>
      <c r="AD54" s="69"/>
      <c r="AE54" s="69" t="s">
        <v>1190</v>
      </c>
      <c r="AF54" s="69"/>
      <c r="AG54" s="69"/>
      <c r="AH54" s="69"/>
      <c r="AI54" s="69"/>
      <c r="AJ54" s="69"/>
      <c r="AK54" s="69"/>
      <c r="AL54" s="2" t="str">
        <f t="shared" si="1"/>
        <v>Yes</v>
      </c>
    </row>
    <row r="55" spans="1:38" ht="72.75" customHeight="1" x14ac:dyDescent="0.25">
      <c r="A55" s="70" t="s">
        <v>1423</v>
      </c>
      <c r="B55" s="70" t="s">
        <v>1423</v>
      </c>
      <c r="C55" s="75" t="s">
        <v>308</v>
      </c>
      <c r="D55" s="69">
        <v>1</v>
      </c>
      <c r="E55" s="69">
        <v>19.600000000000001</v>
      </c>
      <c r="F55" s="69">
        <v>19.600000000000001</v>
      </c>
      <c r="G55" s="69">
        <v>19.600000000000001</v>
      </c>
      <c r="J55" s="69">
        <v>16</v>
      </c>
      <c r="K55" s="75" t="s">
        <v>1512</v>
      </c>
      <c r="L55" s="75">
        <v>0</v>
      </c>
      <c r="M55" s="5">
        <v>0</v>
      </c>
      <c r="N55" s="5">
        <v>0</v>
      </c>
      <c r="O55" s="5">
        <v>0</v>
      </c>
      <c r="P55" s="69">
        <v>100</v>
      </c>
      <c r="U55" s="69">
        <v>1</v>
      </c>
      <c r="V55" s="70" t="s">
        <v>862</v>
      </c>
      <c r="W55" s="70" t="s">
        <v>1509</v>
      </c>
      <c r="X55" s="70" t="s">
        <v>1510</v>
      </c>
      <c r="Y55" s="70" t="s">
        <v>12</v>
      </c>
      <c r="Z55" s="69"/>
      <c r="AA55" s="70" t="s">
        <v>16</v>
      </c>
      <c r="AB55" s="69" t="s">
        <v>1508</v>
      </c>
      <c r="AC55" s="69" t="s">
        <v>1511</v>
      </c>
      <c r="AD55" s="69"/>
      <c r="AE55" s="69"/>
      <c r="AF55" s="69"/>
      <c r="AG55" s="69"/>
      <c r="AH55" s="69"/>
      <c r="AI55" s="69">
        <v>19.600000000000001</v>
      </c>
      <c r="AJ55" s="69">
        <v>1</v>
      </c>
      <c r="AK55" s="69">
        <v>16</v>
      </c>
      <c r="AL55" s="2" t="str">
        <f t="shared" si="1"/>
        <v>No</v>
      </c>
    </row>
    <row r="56" spans="1:38" ht="48" customHeight="1" x14ac:dyDescent="0.25">
      <c r="A56" s="2" t="s">
        <v>483</v>
      </c>
      <c r="B56" s="2" t="s">
        <v>2028</v>
      </c>
      <c r="C56" s="2" t="s">
        <v>308</v>
      </c>
      <c r="D56" s="5">
        <v>1</v>
      </c>
      <c r="E56" s="5">
        <v>650</v>
      </c>
      <c r="F56" s="5">
        <v>650</v>
      </c>
      <c r="G56" s="5">
        <f>E56/D56</f>
        <v>650</v>
      </c>
      <c r="I56" s="5" t="s">
        <v>63</v>
      </c>
      <c r="J56" s="5">
        <f>244+1</f>
        <v>245</v>
      </c>
      <c r="K56" s="2" t="s">
        <v>2021</v>
      </c>
      <c r="L56" s="5">
        <v>40</v>
      </c>
      <c r="M56" s="5">
        <v>40</v>
      </c>
      <c r="N56" s="5">
        <v>0</v>
      </c>
      <c r="O56" s="5">
        <v>0</v>
      </c>
      <c r="P56" s="5">
        <v>20</v>
      </c>
      <c r="Q56" s="5">
        <v>5</v>
      </c>
      <c r="R56" s="5">
        <v>186</v>
      </c>
      <c r="U56" s="5">
        <v>1</v>
      </c>
      <c r="V56" s="2" t="s">
        <v>480</v>
      </c>
      <c r="W56" s="5"/>
      <c r="X56" s="5"/>
      <c r="Y56" s="2" t="s">
        <v>1572</v>
      </c>
      <c r="Z56" s="69"/>
      <c r="AA56" s="5" t="s">
        <v>17</v>
      </c>
      <c r="AB56" s="69"/>
      <c r="AC56" s="69" t="s">
        <v>487</v>
      </c>
      <c r="AD56" s="69"/>
      <c r="AE56" s="69"/>
      <c r="AF56" s="69"/>
      <c r="AG56" s="69"/>
      <c r="AH56" s="69"/>
      <c r="AI56" s="69"/>
      <c r="AJ56" s="69"/>
      <c r="AK56" s="69"/>
      <c r="AL56" s="2" t="str">
        <f t="shared" si="1"/>
        <v>No</v>
      </c>
    </row>
    <row r="57" spans="1:38" ht="52.5" customHeight="1" x14ac:dyDescent="0.25">
      <c r="A57" s="2" t="s">
        <v>614</v>
      </c>
      <c r="B57" s="5" t="s">
        <v>615</v>
      </c>
      <c r="C57" s="2" t="s">
        <v>309</v>
      </c>
      <c r="D57" s="5">
        <v>1</v>
      </c>
      <c r="E57" s="5">
        <f>66+33+51+56+62</f>
        <v>268</v>
      </c>
      <c r="F57" s="5">
        <f>66+33+51+56+62</f>
        <v>268</v>
      </c>
      <c r="G57" s="5">
        <f>E57</f>
        <v>268</v>
      </c>
      <c r="K57" s="2" t="s">
        <v>617</v>
      </c>
      <c r="L57" s="5">
        <v>100</v>
      </c>
      <c r="M57" s="5">
        <v>0</v>
      </c>
      <c r="N57" s="5">
        <v>0</v>
      </c>
      <c r="O57" s="5">
        <v>0</v>
      </c>
      <c r="P57" s="5">
        <v>0</v>
      </c>
      <c r="Q57" s="5">
        <v>5</v>
      </c>
      <c r="U57" s="69"/>
      <c r="V57" s="69"/>
      <c r="W57" s="70" t="s">
        <v>616</v>
      </c>
      <c r="X57" s="69"/>
      <c r="Y57" s="70" t="s">
        <v>619</v>
      </c>
      <c r="Z57" s="69"/>
      <c r="AA57" s="70" t="s">
        <v>17</v>
      </c>
      <c r="AB57" s="69"/>
      <c r="AC57" s="69" t="s">
        <v>618</v>
      </c>
      <c r="AD57" s="69"/>
      <c r="AE57" s="69"/>
      <c r="AF57" s="69"/>
      <c r="AG57" s="69"/>
      <c r="AH57" s="69"/>
      <c r="AI57" s="69"/>
      <c r="AJ57" s="69"/>
      <c r="AK57" s="69"/>
      <c r="AL57" s="2" t="str">
        <f t="shared" si="1"/>
        <v>Yes</v>
      </c>
    </row>
    <row r="58" spans="1:38" ht="53.25" customHeight="1" x14ac:dyDescent="0.25">
      <c r="A58" s="5" t="s">
        <v>994</v>
      </c>
      <c r="B58" s="5" t="s">
        <v>588</v>
      </c>
      <c r="C58" s="2" t="s">
        <v>308</v>
      </c>
      <c r="D58" s="5">
        <v>1</v>
      </c>
      <c r="E58" s="5">
        <v>300</v>
      </c>
      <c r="F58" s="5">
        <v>300</v>
      </c>
      <c r="G58" s="5">
        <v>300</v>
      </c>
      <c r="K58" s="2" t="s">
        <v>995</v>
      </c>
      <c r="L58" s="5">
        <v>100</v>
      </c>
      <c r="M58" s="5">
        <v>0</v>
      </c>
      <c r="N58" s="5">
        <v>0</v>
      </c>
      <c r="O58" s="5">
        <v>0</v>
      </c>
      <c r="P58" s="5">
        <v>0</v>
      </c>
      <c r="Q58" s="5">
        <v>15</v>
      </c>
      <c r="U58" s="69"/>
      <c r="V58" s="70" t="s">
        <v>705</v>
      </c>
      <c r="W58" s="70" t="s">
        <v>998</v>
      </c>
      <c r="X58" s="69"/>
      <c r="Y58" s="70" t="s">
        <v>12</v>
      </c>
      <c r="Z58" s="69"/>
      <c r="AA58" s="70" t="s">
        <v>17</v>
      </c>
      <c r="AB58" s="69" t="s">
        <v>997</v>
      </c>
      <c r="AC58" s="69" t="s">
        <v>996</v>
      </c>
      <c r="AD58" s="69"/>
      <c r="AE58" s="69"/>
      <c r="AF58" s="69"/>
      <c r="AG58" s="69"/>
      <c r="AH58" s="69"/>
      <c r="AI58" s="69"/>
      <c r="AJ58" s="69"/>
      <c r="AK58" s="69"/>
      <c r="AL58" s="2" t="str">
        <f t="shared" si="1"/>
        <v>Yes</v>
      </c>
    </row>
    <row r="59" spans="1:38" ht="83.25" customHeight="1" x14ac:dyDescent="0.25">
      <c r="A59" s="5" t="s">
        <v>1168</v>
      </c>
      <c r="B59" s="5" t="s">
        <v>1169</v>
      </c>
      <c r="C59" s="5" t="s">
        <v>306</v>
      </c>
      <c r="D59" s="5">
        <v>1</v>
      </c>
      <c r="E59" s="5">
        <v>1000</v>
      </c>
      <c r="F59" s="5">
        <v>1000</v>
      </c>
      <c r="G59" s="5">
        <v>1000</v>
      </c>
      <c r="J59" s="5">
        <v>38</v>
      </c>
      <c r="K59" s="2" t="s">
        <v>1264</v>
      </c>
      <c r="L59" s="5">
        <v>0</v>
      </c>
      <c r="M59" s="5">
        <v>0</v>
      </c>
      <c r="N59" s="5">
        <v>0</v>
      </c>
      <c r="O59" s="5">
        <v>0</v>
      </c>
      <c r="P59" s="5">
        <v>100</v>
      </c>
      <c r="U59" s="69">
        <v>1</v>
      </c>
      <c r="V59" s="70" t="s">
        <v>1087</v>
      </c>
      <c r="W59" s="70" t="s">
        <v>1199</v>
      </c>
      <c r="X59" s="69"/>
      <c r="Y59" s="70" t="s">
        <v>12</v>
      </c>
      <c r="Z59" s="70" t="s">
        <v>517</v>
      </c>
      <c r="AA59" s="70" t="s">
        <v>17</v>
      </c>
      <c r="AB59" s="69"/>
      <c r="AC59" s="69" t="s">
        <v>1089</v>
      </c>
      <c r="AD59" s="69"/>
      <c r="AE59" s="69" t="s">
        <v>1170</v>
      </c>
      <c r="AF59" s="69"/>
      <c r="AG59" s="69"/>
      <c r="AH59" s="69"/>
      <c r="AI59" s="69"/>
      <c r="AJ59" s="69"/>
      <c r="AK59" s="69"/>
      <c r="AL59" s="2" t="str">
        <f t="shared" si="1"/>
        <v>Yes</v>
      </c>
    </row>
    <row r="60" spans="1:38" ht="59.25" customHeight="1" x14ac:dyDescent="0.25">
      <c r="A60" s="2" t="s">
        <v>353</v>
      </c>
      <c r="B60" s="5" t="s">
        <v>334</v>
      </c>
      <c r="C60" s="5" t="s">
        <v>1297</v>
      </c>
      <c r="D60" s="5">
        <v>1</v>
      </c>
      <c r="E60" s="5">
        <v>1000</v>
      </c>
      <c r="F60" s="5">
        <v>1000</v>
      </c>
      <c r="G60" s="2">
        <f>E60/D60</f>
        <v>1000</v>
      </c>
      <c r="H60" s="5">
        <v>50</v>
      </c>
      <c r="K60" s="2" t="s">
        <v>2025</v>
      </c>
      <c r="L60" s="5">
        <v>20</v>
      </c>
      <c r="M60" s="5">
        <v>0</v>
      </c>
      <c r="N60" s="5">
        <v>0</v>
      </c>
      <c r="O60" s="5">
        <v>0</v>
      </c>
      <c r="P60" s="5">
        <v>80</v>
      </c>
      <c r="U60" s="69">
        <v>5</v>
      </c>
      <c r="V60" s="5"/>
      <c r="W60" s="2" t="s">
        <v>335</v>
      </c>
      <c r="X60" s="5"/>
      <c r="Y60" s="2" t="s">
        <v>33</v>
      </c>
      <c r="Z60" s="5"/>
      <c r="AA60" s="5" t="s">
        <v>17</v>
      </c>
      <c r="AB60" s="5"/>
      <c r="AC60" s="5" t="s">
        <v>354</v>
      </c>
      <c r="AD60" s="5"/>
      <c r="AE60" s="69"/>
      <c r="AF60" s="69"/>
      <c r="AG60" s="69"/>
      <c r="AH60" s="69"/>
      <c r="AI60" s="69"/>
      <c r="AJ60" s="69"/>
      <c r="AK60" s="69"/>
      <c r="AL60" s="2" t="str">
        <f t="shared" si="1"/>
        <v>No</v>
      </c>
    </row>
    <row r="61" spans="1:38" ht="87" customHeight="1" x14ac:dyDescent="0.25">
      <c r="A61" s="5" t="s">
        <v>596</v>
      </c>
      <c r="B61" s="5" t="s">
        <v>182</v>
      </c>
      <c r="C61" s="5" t="s">
        <v>306</v>
      </c>
      <c r="D61" s="5">
        <v>2</v>
      </c>
      <c r="E61" s="5">
        <v>924</v>
      </c>
      <c r="F61" s="5">
        <v>924</v>
      </c>
      <c r="G61" s="5">
        <f>E61/D61</f>
        <v>462</v>
      </c>
      <c r="K61" s="2" t="s">
        <v>601</v>
      </c>
      <c r="L61" s="5">
        <v>24</v>
      </c>
      <c r="M61" s="5">
        <v>0</v>
      </c>
      <c r="N61" s="5">
        <v>0</v>
      </c>
      <c r="O61" s="5">
        <v>0</v>
      </c>
      <c r="P61" s="5">
        <v>76</v>
      </c>
      <c r="Q61" s="5">
        <v>1</v>
      </c>
      <c r="U61" s="69">
        <v>1</v>
      </c>
      <c r="V61" s="70" t="s">
        <v>600</v>
      </c>
      <c r="W61" s="2" t="s">
        <v>182</v>
      </c>
      <c r="X61" s="70" t="s">
        <v>597</v>
      </c>
      <c r="Y61" s="69" t="s">
        <v>12</v>
      </c>
      <c r="Z61" s="70" t="s">
        <v>555</v>
      </c>
      <c r="AA61" s="70" t="s">
        <v>17</v>
      </c>
      <c r="AB61" s="69" t="s">
        <v>599</v>
      </c>
      <c r="AC61" s="69" t="s">
        <v>598</v>
      </c>
      <c r="AD61" s="69"/>
      <c r="AE61" s="69"/>
      <c r="AF61" s="69"/>
      <c r="AG61" s="69"/>
      <c r="AH61" s="69"/>
      <c r="AI61" s="69"/>
      <c r="AJ61" s="69"/>
      <c r="AK61" s="69"/>
      <c r="AL61" s="2" t="str">
        <f t="shared" si="1"/>
        <v>Yes</v>
      </c>
    </row>
    <row r="62" spans="1:38" ht="99" customHeight="1" x14ac:dyDescent="0.25">
      <c r="A62" s="5" t="s">
        <v>1155</v>
      </c>
      <c r="B62" s="5" t="s">
        <v>1156</v>
      </c>
      <c r="C62" s="5" t="s">
        <v>306</v>
      </c>
      <c r="D62" s="5">
        <v>1</v>
      </c>
      <c r="E62" s="5">
        <v>272</v>
      </c>
      <c r="F62" s="5">
        <v>272</v>
      </c>
      <c r="G62" s="5">
        <v>272</v>
      </c>
      <c r="J62" s="5">
        <v>122</v>
      </c>
      <c r="K62" s="2" t="s">
        <v>1260</v>
      </c>
      <c r="L62" s="5">
        <v>0</v>
      </c>
      <c r="M62" s="5">
        <v>0</v>
      </c>
      <c r="N62" s="5">
        <v>0</v>
      </c>
      <c r="O62" s="5">
        <v>0</v>
      </c>
      <c r="P62" s="5">
        <v>100</v>
      </c>
      <c r="U62" s="69">
        <v>1</v>
      </c>
      <c r="V62" s="70" t="s">
        <v>1087</v>
      </c>
      <c r="W62" s="70" t="s">
        <v>1205</v>
      </c>
      <c r="X62" s="69"/>
      <c r="Y62" s="70" t="s">
        <v>12</v>
      </c>
      <c r="Z62" s="69"/>
      <c r="AA62" s="70" t="s">
        <v>17</v>
      </c>
      <c r="AB62" s="69"/>
      <c r="AC62" s="69" t="s">
        <v>1089</v>
      </c>
      <c r="AD62" s="69"/>
      <c r="AE62" s="69" t="s">
        <v>1157</v>
      </c>
      <c r="AF62" s="69"/>
      <c r="AG62" s="69"/>
      <c r="AH62" s="69"/>
      <c r="AI62" s="69"/>
      <c r="AJ62" s="69"/>
      <c r="AK62" s="69"/>
      <c r="AL62" s="2" t="str">
        <f t="shared" si="1"/>
        <v>Yes</v>
      </c>
    </row>
    <row r="63" spans="1:38" ht="179.25" x14ac:dyDescent="0.25">
      <c r="A63" s="2" t="s">
        <v>474</v>
      </c>
      <c r="B63" s="2" t="s">
        <v>2002</v>
      </c>
      <c r="C63" s="2" t="s">
        <v>309</v>
      </c>
      <c r="D63" s="5">
        <v>3</v>
      </c>
      <c r="E63" s="5">
        <v>2568</v>
      </c>
      <c r="F63" s="5">
        <v>2568</v>
      </c>
      <c r="G63" s="5">
        <f>E63/D63</f>
        <v>856</v>
      </c>
      <c r="J63" s="5">
        <f>130+12</f>
        <v>142</v>
      </c>
      <c r="K63" s="2" t="s">
        <v>2003</v>
      </c>
      <c r="L63" s="5">
        <v>50</v>
      </c>
      <c r="M63" s="5">
        <v>50</v>
      </c>
      <c r="N63" s="5">
        <v>0</v>
      </c>
      <c r="O63" s="5">
        <v>0</v>
      </c>
      <c r="P63" s="5">
        <v>0</v>
      </c>
      <c r="Q63" s="76">
        <f>88/3</f>
        <v>29.333333333333332</v>
      </c>
      <c r="R63" s="70">
        <f>90/3</f>
        <v>30</v>
      </c>
      <c r="S63" s="70"/>
      <c r="T63" s="70"/>
      <c r="U63" s="69"/>
      <c r="V63" s="2" t="s">
        <v>480</v>
      </c>
      <c r="W63" s="2" t="s">
        <v>477</v>
      </c>
      <c r="X63" s="2" t="s">
        <v>111</v>
      </c>
      <c r="Y63" s="5" t="s">
        <v>12</v>
      </c>
      <c r="Z63" s="69"/>
      <c r="AA63" s="5" t="s">
        <v>17</v>
      </c>
      <c r="AB63" s="69"/>
      <c r="AC63" s="73" t="s">
        <v>481</v>
      </c>
      <c r="AD63" s="69">
        <v>13400000</v>
      </c>
      <c r="AE63" s="70"/>
      <c r="AF63" s="70"/>
      <c r="AG63" s="70"/>
      <c r="AH63" s="70"/>
      <c r="AI63" s="70"/>
      <c r="AJ63" s="70"/>
      <c r="AK63" s="70"/>
      <c r="AL63" s="2" t="str">
        <f t="shared" si="1"/>
        <v>No</v>
      </c>
    </row>
    <row r="64" spans="1:38" ht="63" customHeight="1" x14ac:dyDescent="0.25">
      <c r="A64" s="5" t="s">
        <v>566</v>
      </c>
      <c r="B64" s="77" t="s">
        <v>568</v>
      </c>
      <c r="C64" s="5" t="s">
        <v>313</v>
      </c>
      <c r="D64" s="5">
        <v>1</v>
      </c>
      <c r="E64" s="5">
        <v>900</v>
      </c>
      <c r="F64" s="5">
        <v>900</v>
      </c>
      <c r="G64" s="5">
        <v>900</v>
      </c>
      <c r="H64" s="5">
        <v>60</v>
      </c>
      <c r="J64" s="5">
        <v>70</v>
      </c>
      <c r="K64" s="2" t="s">
        <v>604</v>
      </c>
      <c r="L64" s="5">
        <v>0</v>
      </c>
      <c r="M64" s="5">
        <v>0</v>
      </c>
      <c r="N64" s="5">
        <v>100</v>
      </c>
      <c r="O64" s="5">
        <v>0</v>
      </c>
      <c r="P64" s="69">
        <v>0</v>
      </c>
      <c r="S64" s="5">
        <v>1</v>
      </c>
      <c r="U64" s="69"/>
      <c r="V64" s="70" t="s">
        <v>592</v>
      </c>
      <c r="W64" s="70" t="s">
        <v>591</v>
      </c>
      <c r="X64" s="70" t="s">
        <v>595</v>
      </c>
      <c r="Y64" s="69" t="s">
        <v>12</v>
      </c>
      <c r="Z64" s="69"/>
      <c r="AA64" s="70" t="s">
        <v>17</v>
      </c>
      <c r="AB64" s="69" t="s">
        <v>594</v>
      </c>
      <c r="AC64" s="69" t="s">
        <v>593</v>
      </c>
      <c r="AD64" s="69"/>
      <c r="AE64" s="69"/>
      <c r="AF64" s="69"/>
      <c r="AG64" s="69"/>
      <c r="AH64" s="69"/>
      <c r="AI64" s="69"/>
      <c r="AJ64" s="69"/>
      <c r="AK64" s="69"/>
      <c r="AL64" s="2" t="str">
        <f t="shared" si="1"/>
        <v>Yes</v>
      </c>
    </row>
    <row r="65" spans="1:38" ht="166.5" x14ac:dyDescent="0.25">
      <c r="A65" s="5" t="s">
        <v>421</v>
      </c>
      <c r="B65" s="5" t="s">
        <v>422</v>
      </c>
      <c r="C65" s="2" t="s">
        <v>308</v>
      </c>
      <c r="D65" s="5">
        <v>1</v>
      </c>
      <c r="E65" s="5">
        <v>160</v>
      </c>
      <c r="F65" s="5">
        <f>160-10</f>
        <v>150</v>
      </c>
      <c r="G65" s="70">
        <f>E65/D65</f>
        <v>160</v>
      </c>
      <c r="K65" s="2" t="s">
        <v>497</v>
      </c>
      <c r="L65" s="5">
        <v>30</v>
      </c>
      <c r="M65" s="5">
        <v>0</v>
      </c>
      <c r="N65" s="5">
        <v>65</v>
      </c>
      <c r="O65" s="5">
        <v>0</v>
      </c>
      <c r="P65" s="5">
        <v>5</v>
      </c>
      <c r="Q65" s="70"/>
      <c r="R65" s="70"/>
      <c r="S65" s="70">
        <v>1</v>
      </c>
      <c r="T65" s="70"/>
      <c r="U65" s="70">
        <v>1</v>
      </c>
      <c r="V65" s="5"/>
      <c r="W65" s="2" t="s">
        <v>424</v>
      </c>
      <c r="X65" s="2" t="s">
        <v>423</v>
      </c>
      <c r="Y65" s="2" t="s">
        <v>425</v>
      </c>
      <c r="Z65" s="69"/>
      <c r="AA65" s="5" t="s">
        <v>17</v>
      </c>
      <c r="AB65" s="2" t="s">
        <v>426</v>
      </c>
      <c r="AC65" s="69" t="s">
        <v>427</v>
      </c>
      <c r="AD65" s="69"/>
      <c r="AE65" s="70"/>
      <c r="AF65" s="70"/>
      <c r="AG65" s="70"/>
      <c r="AH65" s="70"/>
      <c r="AI65" s="70"/>
      <c r="AJ65" s="70"/>
      <c r="AK65" s="70"/>
      <c r="AL65" s="2" t="str">
        <f t="shared" si="1"/>
        <v>Yes</v>
      </c>
    </row>
    <row r="66" spans="1:38" ht="63.75" customHeight="1" x14ac:dyDescent="0.25">
      <c r="A66" s="70" t="s">
        <v>1347</v>
      </c>
      <c r="B66" s="5" t="s">
        <v>1823</v>
      </c>
      <c r="C66" s="5" t="s">
        <v>306</v>
      </c>
      <c r="D66" s="5">
        <v>1</v>
      </c>
      <c r="E66" s="5">
        <v>5900</v>
      </c>
      <c r="F66" s="69"/>
      <c r="G66" s="5">
        <v>5900</v>
      </c>
      <c r="H66" s="5">
        <v>50</v>
      </c>
      <c r="J66" s="5">
        <v>985</v>
      </c>
      <c r="K66" s="2" t="s">
        <v>1822</v>
      </c>
      <c r="P66" s="69"/>
      <c r="U66" s="69"/>
      <c r="V66" s="70" t="s">
        <v>65</v>
      </c>
      <c r="W66" s="70" t="s">
        <v>1821</v>
      </c>
      <c r="X66" s="70" t="s">
        <v>1585</v>
      </c>
      <c r="Y66" s="70" t="s">
        <v>1827</v>
      </c>
      <c r="Z66" s="70" t="s">
        <v>729</v>
      </c>
      <c r="AA66" s="70" t="s">
        <v>17</v>
      </c>
      <c r="AB66" s="69" t="s">
        <v>1830</v>
      </c>
      <c r="AC66" s="69" t="s">
        <v>1828</v>
      </c>
      <c r="AD66" s="69">
        <v>4720000</v>
      </c>
      <c r="AE66" s="69" t="s">
        <v>1829</v>
      </c>
      <c r="AF66" s="69">
        <v>214170</v>
      </c>
      <c r="AG66" s="69">
        <f>1025420-AF66</f>
        <v>811250</v>
      </c>
      <c r="AH66" s="69">
        <f>811250</f>
        <v>811250</v>
      </c>
      <c r="AI66" s="69"/>
      <c r="AJ66" s="69"/>
      <c r="AK66" s="69"/>
      <c r="AL66" s="2" t="str">
        <f t="shared" si="1"/>
        <v>No</v>
      </c>
    </row>
    <row r="67" spans="1:38" ht="84" customHeight="1" x14ac:dyDescent="0.25">
      <c r="A67" s="70" t="s">
        <v>1344</v>
      </c>
      <c r="B67" s="5" t="s">
        <v>1795</v>
      </c>
      <c r="C67" s="5" t="s">
        <v>306</v>
      </c>
      <c r="D67" s="5">
        <v>1</v>
      </c>
      <c r="E67" s="5">
        <v>5800</v>
      </c>
      <c r="F67" s="5">
        <v>5800</v>
      </c>
      <c r="G67" s="5">
        <v>5800</v>
      </c>
      <c r="H67" s="5">
        <v>50</v>
      </c>
      <c r="J67" s="5">
        <f>970+120+4</f>
        <v>1094</v>
      </c>
      <c r="K67" s="2" t="s">
        <v>1805</v>
      </c>
      <c r="P67" s="69"/>
      <c r="U67" s="69"/>
      <c r="V67" s="70" t="s">
        <v>65</v>
      </c>
      <c r="W67" s="70" t="s">
        <v>1804</v>
      </c>
      <c r="X67" s="70" t="s">
        <v>1585</v>
      </c>
      <c r="Y67" s="69" t="s">
        <v>12</v>
      </c>
      <c r="Z67" s="70" t="s">
        <v>729</v>
      </c>
      <c r="AA67" s="70" t="s">
        <v>17</v>
      </c>
      <c r="AB67" s="69" t="s">
        <v>1808</v>
      </c>
      <c r="AC67" s="69" t="s">
        <v>1807</v>
      </c>
      <c r="AD67" s="69">
        <v>4640000</v>
      </c>
      <c r="AE67" s="69" t="s">
        <v>1806</v>
      </c>
      <c r="AF67" s="69">
        <v>210540</v>
      </c>
      <c r="AG67" s="69">
        <f>1008040-AF67</f>
        <v>797500</v>
      </c>
      <c r="AH67" s="69">
        <v>797500</v>
      </c>
      <c r="AI67" s="69"/>
      <c r="AJ67" s="69"/>
      <c r="AK67" s="69"/>
      <c r="AL67" s="2" t="str">
        <f t="shared" ref="AL67:AL130" si="2">IF(OR(ISNUMBER(SEARCH("school", K67)), ISNUMBER(SEARCH("others", K67)), ISNUMBER(SEARCH("town hall", K67)), ISNUMBER(SEARCH("municipality", K67)),ISNUMBER(SEARCH("gym", K67)),ISNUMBER(SEARCH("sports", K67)),ISNUMBER(SEARCH("university", K67)),ISNUMBER(SEARCH("social center", K67)),ISNUMBER(SEARCH("warehouse", K67)),ISNUMBER(SEARCH("kindergarden", K67)),ISNUMBER(SEARCH("library", K67)),ISNUMBER(SEARCH("private", K67)),ISNUMBER(SEARCH("condominium", K67)),ISNUMBER(SEARCH("commercial", K67)),ISNUMBER(SEARCH("shop", K67)),ISNUMBER(SEARCH("comm", K67)),ISNUMBER(SEARCH("market", K67)),ISNUMBER(SEARCH("supermarket", K67)),ISNUMBER(SEARCH("hotel", K67)),ISNUMBER(SEARCH("industrial", K67)),ISNUMBER(SEARCH("farm", K67)),ISNUMBER(SEARCH("office", K67)),ISNUMBER(SEARCH("offices", K67)),ISNUMBER(SEARCH("church", K67)),ISNUMBER(SEARCH("canteen", K67)),ISNUMBER(SEARCH("educational", K67)), ISNUMBER(SEARCH("waste", K67)),ISNUMBER(SEARCH("social", K67)),ISNUMBER(SEARCH("sport/complex", K67)),ISNUMBER(SEARCH("utility", K67)),ISNUMBER(SEARCH("villa", K67)),ISNUMBER(SEARCH("prosumer/park", K67)),ISNUMBER(SEARCH("police", K67))),"Yes", "No")</f>
        <v>No</v>
      </c>
    </row>
    <row r="68" spans="1:38" ht="153.75" x14ac:dyDescent="0.25">
      <c r="A68" s="2" t="s">
        <v>1247</v>
      </c>
      <c r="B68" s="2" t="s">
        <v>1248</v>
      </c>
      <c r="C68" s="5" t="s">
        <v>306</v>
      </c>
      <c r="D68" s="5">
        <v>2</v>
      </c>
      <c r="E68" s="5">
        <f>111+483</f>
        <v>594</v>
      </c>
      <c r="F68" s="5">
        <f>111+483</f>
        <v>594</v>
      </c>
      <c r="G68" s="5">
        <f>E68/D68</f>
        <v>297</v>
      </c>
      <c r="J68" s="5">
        <v>157</v>
      </c>
      <c r="K68" s="2" t="s">
        <v>1246</v>
      </c>
      <c r="P68" s="69"/>
      <c r="U68" s="69"/>
      <c r="V68" s="70" t="s">
        <v>1087</v>
      </c>
      <c r="W68" s="70" t="s">
        <v>1216</v>
      </c>
      <c r="X68" s="69"/>
      <c r="Y68" s="70" t="s">
        <v>1245</v>
      </c>
      <c r="Z68" s="69"/>
      <c r="AA68" s="70" t="s">
        <v>17</v>
      </c>
      <c r="AB68" s="69"/>
      <c r="AC68" s="69" t="s">
        <v>1089</v>
      </c>
      <c r="AD68" s="69"/>
      <c r="AE68" s="69" t="s">
        <v>1249</v>
      </c>
      <c r="AF68" s="69"/>
      <c r="AG68" s="69"/>
      <c r="AH68" s="69"/>
      <c r="AI68" s="69"/>
      <c r="AJ68" s="69"/>
      <c r="AK68" s="69"/>
      <c r="AL68" s="2" t="str">
        <f t="shared" si="2"/>
        <v>No</v>
      </c>
    </row>
    <row r="69" spans="1:38" ht="128.25" x14ac:dyDescent="0.25">
      <c r="A69" s="5" t="s">
        <v>493</v>
      </c>
      <c r="B69" s="2" t="s">
        <v>2001</v>
      </c>
      <c r="C69" s="2" t="s">
        <v>308</v>
      </c>
      <c r="D69" s="5">
        <v>3</v>
      </c>
      <c r="E69" s="5">
        <v>8549</v>
      </c>
      <c r="F69" s="70"/>
      <c r="G69" s="2">
        <f>E69/D69</f>
        <v>2849.6666666666665</v>
      </c>
      <c r="J69" s="5">
        <v>947</v>
      </c>
      <c r="K69" s="2" t="s">
        <v>496</v>
      </c>
      <c r="P69" s="69"/>
      <c r="Q69" s="70"/>
      <c r="R69" s="70"/>
      <c r="S69" s="70"/>
      <c r="T69" s="70"/>
      <c r="U69" s="70"/>
      <c r="V69" s="2" t="s">
        <v>494</v>
      </c>
      <c r="W69" s="2" t="s">
        <v>492</v>
      </c>
      <c r="X69" s="5"/>
      <c r="Y69" s="2" t="s">
        <v>279</v>
      </c>
      <c r="Z69" s="69"/>
      <c r="AA69" s="2" t="s">
        <v>17</v>
      </c>
      <c r="AB69" s="70" t="s">
        <v>1999</v>
      </c>
      <c r="AC69" s="73" t="s">
        <v>495</v>
      </c>
      <c r="AD69" s="69" t="s">
        <v>2000</v>
      </c>
      <c r="AE69" s="70"/>
      <c r="AF69" s="70"/>
      <c r="AG69" s="70"/>
      <c r="AH69" s="70"/>
      <c r="AI69" s="70"/>
      <c r="AJ69" s="70"/>
      <c r="AK69" s="70"/>
      <c r="AL69" s="2" t="str">
        <f t="shared" si="2"/>
        <v>No</v>
      </c>
    </row>
    <row r="70" spans="1:38" ht="123.75" customHeight="1" x14ac:dyDescent="0.25">
      <c r="A70" s="2" t="s">
        <v>198</v>
      </c>
      <c r="B70" s="2" t="s">
        <v>191</v>
      </c>
      <c r="C70" s="70" t="s">
        <v>309</v>
      </c>
      <c r="D70" s="2">
        <v>1</v>
      </c>
      <c r="E70" s="2">
        <v>1000</v>
      </c>
      <c r="F70" s="70"/>
      <c r="G70" s="2">
        <f>E70/D70</f>
        <v>1000</v>
      </c>
      <c r="H70" s="2">
        <v>0</v>
      </c>
      <c r="I70" s="2">
        <v>0</v>
      </c>
      <c r="J70" s="2">
        <v>900</v>
      </c>
      <c r="K70" s="2" t="s">
        <v>196</v>
      </c>
      <c r="L70" s="70"/>
      <c r="M70" s="70"/>
      <c r="N70" s="70"/>
      <c r="O70" s="70"/>
      <c r="P70" s="70"/>
      <c r="Q70" s="70"/>
      <c r="R70" s="70"/>
      <c r="S70" s="70"/>
      <c r="T70" s="70"/>
      <c r="U70" s="70"/>
      <c r="V70" s="2" t="s">
        <v>213</v>
      </c>
      <c r="W70" s="2" t="s">
        <v>188</v>
      </c>
      <c r="X70" s="2"/>
      <c r="Y70" s="2" t="s">
        <v>190</v>
      </c>
      <c r="Z70" s="2" t="s">
        <v>37</v>
      </c>
      <c r="AA70" s="2" t="s">
        <v>16</v>
      </c>
      <c r="AB70" s="2" t="s">
        <v>189</v>
      </c>
      <c r="AC70" s="5" t="s">
        <v>247</v>
      </c>
      <c r="AD70" s="2"/>
      <c r="AE70" s="70"/>
      <c r="AF70" s="70"/>
      <c r="AG70" s="70"/>
      <c r="AH70" s="70"/>
      <c r="AI70" s="70"/>
      <c r="AJ70" s="70"/>
      <c r="AK70" s="70"/>
      <c r="AL70" s="2" t="str">
        <f t="shared" si="2"/>
        <v>Yes</v>
      </c>
    </row>
    <row r="71" spans="1:38" ht="87" customHeight="1" x14ac:dyDescent="0.25">
      <c r="A71" s="2" t="s">
        <v>236</v>
      </c>
      <c r="B71" s="2" t="s">
        <v>237</v>
      </c>
      <c r="C71" s="70" t="s">
        <v>306</v>
      </c>
      <c r="D71" s="2">
        <v>19</v>
      </c>
      <c r="E71" s="2">
        <v>8600</v>
      </c>
      <c r="F71" s="2">
        <v>8600</v>
      </c>
      <c r="G71" s="2">
        <f>E71/D71</f>
        <v>452.63157894736844</v>
      </c>
      <c r="H71" s="2"/>
      <c r="I71" s="2"/>
      <c r="J71" s="2"/>
      <c r="K71" s="2" t="s">
        <v>411</v>
      </c>
      <c r="L71" s="70">
        <v>100</v>
      </c>
      <c r="M71" s="70">
        <v>0</v>
      </c>
      <c r="N71" s="70">
        <v>0</v>
      </c>
      <c r="O71" s="70">
        <v>0</v>
      </c>
      <c r="P71" s="70">
        <v>0</v>
      </c>
      <c r="Q71" s="70"/>
      <c r="R71" s="70"/>
      <c r="S71" s="70"/>
      <c r="T71" s="70"/>
      <c r="U71" s="70"/>
      <c r="V71" s="2" t="s">
        <v>65</v>
      </c>
      <c r="W71" s="2" t="s">
        <v>238</v>
      </c>
      <c r="X71" s="2" t="s">
        <v>229</v>
      </c>
      <c r="Y71" s="2" t="s">
        <v>12</v>
      </c>
      <c r="Z71" s="2"/>
      <c r="AA71" s="2" t="s">
        <v>17</v>
      </c>
      <c r="AB71" s="2"/>
      <c r="AC71" s="5" t="s">
        <v>410</v>
      </c>
      <c r="AD71" s="2"/>
      <c r="AE71" s="70"/>
      <c r="AF71" s="70"/>
      <c r="AG71" s="70"/>
      <c r="AH71" s="70"/>
      <c r="AI71" s="70"/>
      <c r="AJ71" s="70"/>
      <c r="AK71" s="70"/>
      <c r="AL71" s="2" t="str">
        <f t="shared" si="2"/>
        <v>Yes</v>
      </c>
    </row>
    <row r="72" spans="1:38" ht="123" customHeight="1" x14ac:dyDescent="0.25">
      <c r="A72" s="70" t="s">
        <v>1744</v>
      </c>
      <c r="B72" s="2" t="s">
        <v>1734</v>
      </c>
      <c r="C72" s="5" t="s">
        <v>306</v>
      </c>
      <c r="F72" s="69"/>
      <c r="J72" s="5">
        <v>10</v>
      </c>
      <c r="K72" s="2" t="s">
        <v>1735</v>
      </c>
      <c r="P72" s="69"/>
      <c r="U72" s="69"/>
      <c r="V72" s="70" t="s">
        <v>1748</v>
      </c>
      <c r="W72" s="70" t="s">
        <v>1718</v>
      </c>
      <c r="X72" s="70" t="s">
        <v>1736</v>
      </c>
      <c r="Y72" s="69"/>
      <c r="Z72" s="70" t="s">
        <v>1197</v>
      </c>
      <c r="AA72" s="70" t="s">
        <v>16</v>
      </c>
      <c r="AB72" s="69"/>
      <c r="AC72" s="72" t="s">
        <v>1733</v>
      </c>
      <c r="AD72" s="69"/>
      <c r="AE72" s="69"/>
      <c r="AF72" s="69"/>
      <c r="AG72" s="69"/>
      <c r="AH72" s="69"/>
      <c r="AI72" s="69"/>
      <c r="AJ72" s="69"/>
      <c r="AK72" s="69"/>
      <c r="AL72" s="2" t="str">
        <f t="shared" si="2"/>
        <v>Yes</v>
      </c>
    </row>
    <row r="73" spans="1:38" ht="195" x14ac:dyDescent="0.25">
      <c r="A73" s="5" t="s">
        <v>940</v>
      </c>
      <c r="B73" s="5" t="s">
        <v>941</v>
      </c>
      <c r="C73" s="5" t="s">
        <v>306</v>
      </c>
      <c r="D73" s="5">
        <v>1</v>
      </c>
      <c r="E73" s="5">
        <v>800</v>
      </c>
      <c r="F73" s="5">
        <v>800</v>
      </c>
      <c r="G73" s="5">
        <f>E73/D73</f>
        <v>800</v>
      </c>
      <c r="J73" s="5">
        <v>9</v>
      </c>
      <c r="K73" s="2" t="s">
        <v>955</v>
      </c>
      <c r="L73" s="5">
        <v>0</v>
      </c>
      <c r="M73" s="5">
        <v>0</v>
      </c>
      <c r="N73" s="5">
        <v>0</v>
      </c>
      <c r="O73" s="5">
        <v>0</v>
      </c>
      <c r="P73" s="5">
        <v>100</v>
      </c>
      <c r="U73" s="69">
        <v>1</v>
      </c>
      <c r="V73" s="70" t="s">
        <v>945</v>
      </c>
      <c r="W73" s="70" t="s">
        <v>942</v>
      </c>
      <c r="X73" s="70" t="s">
        <v>947</v>
      </c>
      <c r="Y73" s="69" t="s">
        <v>12</v>
      </c>
      <c r="Z73" s="70" t="s">
        <v>283</v>
      </c>
      <c r="AA73" s="70" t="s">
        <v>16</v>
      </c>
      <c r="AB73" s="70" t="s">
        <v>954</v>
      </c>
      <c r="AC73" s="69" t="s">
        <v>946</v>
      </c>
      <c r="AD73" s="69">
        <v>10000</v>
      </c>
      <c r="AE73" s="69" t="s">
        <v>944</v>
      </c>
      <c r="AF73" s="69">
        <v>100000</v>
      </c>
      <c r="AG73" s="69"/>
      <c r="AH73" s="69"/>
      <c r="AI73" s="69"/>
      <c r="AJ73" s="69"/>
      <c r="AK73" s="69"/>
      <c r="AL73" s="2" t="str">
        <f t="shared" si="2"/>
        <v>No</v>
      </c>
    </row>
    <row r="74" spans="1:38" ht="285" x14ac:dyDescent="0.25">
      <c r="A74" s="2" t="s">
        <v>628</v>
      </c>
      <c r="B74" s="2" t="s">
        <v>630</v>
      </c>
      <c r="C74" s="2" t="s">
        <v>308</v>
      </c>
      <c r="D74" s="5">
        <v>1</v>
      </c>
      <c r="E74" s="5">
        <v>237</v>
      </c>
      <c r="F74" s="5">
        <v>237</v>
      </c>
      <c r="G74" s="5">
        <v>237</v>
      </c>
      <c r="H74" s="5">
        <v>36</v>
      </c>
      <c r="J74" s="5">
        <v>7</v>
      </c>
      <c r="K74" s="2" t="s">
        <v>631</v>
      </c>
      <c r="P74" s="69"/>
      <c r="U74" s="69"/>
      <c r="V74" s="70"/>
      <c r="W74" s="70" t="s">
        <v>629</v>
      </c>
      <c r="X74" s="69"/>
      <c r="Y74" s="69" t="s">
        <v>12</v>
      </c>
      <c r="Z74" s="69"/>
      <c r="AA74" s="5" t="s">
        <v>17</v>
      </c>
      <c r="AB74" s="70" t="s">
        <v>1282</v>
      </c>
      <c r="AC74" s="69" t="s">
        <v>632</v>
      </c>
      <c r="AD74" s="69">
        <v>362601</v>
      </c>
      <c r="AE74" s="70" t="s">
        <v>2057</v>
      </c>
      <c r="AF74" s="69">
        <v>30340</v>
      </c>
      <c r="AG74" s="69">
        <v>24824</v>
      </c>
      <c r="AH74" s="69"/>
      <c r="AI74" s="69"/>
      <c r="AJ74" s="69"/>
      <c r="AK74" s="69"/>
      <c r="AL74" s="2" t="str">
        <f t="shared" si="2"/>
        <v>No</v>
      </c>
    </row>
    <row r="75" spans="1:38" ht="60" x14ac:dyDescent="0.25">
      <c r="A75" s="70" t="s">
        <v>1355</v>
      </c>
      <c r="B75" s="5" t="s">
        <v>1849</v>
      </c>
      <c r="C75" s="5" t="s">
        <v>306</v>
      </c>
      <c r="D75" s="5">
        <v>1</v>
      </c>
      <c r="E75" s="5">
        <v>5000</v>
      </c>
      <c r="F75" s="5">
        <v>5000</v>
      </c>
      <c r="G75" s="5">
        <v>5000</v>
      </c>
      <c r="H75" s="5">
        <v>50</v>
      </c>
      <c r="J75" s="5">
        <f>828+115+5</f>
        <v>948</v>
      </c>
      <c r="K75" s="2" t="s">
        <v>1863</v>
      </c>
      <c r="P75" s="69"/>
      <c r="U75" s="69"/>
      <c r="V75" s="70" t="s">
        <v>65</v>
      </c>
      <c r="W75" s="70" t="s">
        <v>1841</v>
      </c>
      <c r="X75" s="70" t="s">
        <v>1585</v>
      </c>
      <c r="Y75" s="70" t="s">
        <v>1864</v>
      </c>
      <c r="Z75" s="70" t="s">
        <v>729</v>
      </c>
      <c r="AA75" s="70" t="s">
        <v>17</v>
      </c>
      <c r="AB75" s="69" t="s">
        <v>1867</v>
      </c>
      <c r="AC75" s="69" t="s">
        <v>1865</v>
      </c>
      <c r="AD75" s="69">
        <v>4000000</v>
      </c>
      <c r="AE75" s="69" t="s">
        <v>1866</v>
      </c>
      <c r="AF75" s="69">
        <v>181500</v>
      </c>
      <c r="AG75" s="69">
        <f>869000-AF75</f>
        <v>687500</v>
      </c>
      <c r="AH75" s="69">
        <v>687500</v>
      </c>
      <c r="AI75" s="69"/>
      <c r="AJ75" s="69"/>
      <c r="AK75" s="69"/>
      <c r="AL75" s="2" t="str">
        <f t="shared" si="2"/>
        <v>No</v>
      </c>
    </row>
    <row r="76" spans="1:38" ht="60" x14ac:dyDescent="0.25">
      <c r="A76" s="70" t="s">
        <v>1372</v>
      </c>
      <c r="B76" s="5" t="s">
        <v>1947</v>
      </c>
      <c r="C76" s="5" t="s">
        <v>306</v>
      </c>
      <c r="D76" s="5">
        <v>1</v>
      </c>
      <c r="E76" s="5">
        <v>4800</v>
      </c>
      <c r="F76" s="5">
        <v>4800</v>
      </c>
      <c r="G76" s="5">
        <v>4800</v>
      </c>
      <c r="H76" s="5">
        <v>50</v>
      </c>
      <c r="J76" s="5">
        <v>960</v>
      </c>
      <c r="K76" s="2" t="s">
        <v>1948</v>
      </c>
      <c r="P76" s="69"/>
      <c r="U76" s="69"/>
      <c r="V76" s="70" t="s">
        <v>65</v>
      </c>
      <c r="W76" s="70" t="s">
        <v>1946</v>
      </c>
      <c r="X76" s="70" t="s">
        <v>1585</v>
      </c>
      <c r="Y76" s="70" t="s">
        <v>1629</v>
      </c>
      <c r="Z76" s="70" t="s">
        <v>729</v>
      </c>
      <c r="AA76" s="70" t="s">
        <v>17</v>
      </c>
      <c r="AB76" s="69" t="s">
        <v>1950</v>
      </c>
      <c r="AC76" s="69" t="s">
        <v>1949</v>
      </c>
      <c r="AD76" s="69">
        <v>3840000</v>
      </c>
      <c r="AE76" s="69" t="s">
        <v>1951</v>
      </c>
      <c r="AF76" s="69">
        <v>174240</v>
      </c>
      <c r="AG76" s="69">
        <f>834240-AF76</f>
        <v>660000</v>
      </c>
      <c r="AH76" s="69">
        <v>660000</v>
      </c>
      <c r="AI76" s="69"/>
      <c r="AJ76" s="69"/>
      <c r="AK76" s="69"/>
      <c r="AL76" s="2" t="str">
        <f t="shared" si="2"/>
        <v>No</v>
      </c>
    </row>
    <row r="77" spans="1:38" s="1" customFormat="1" ht="51.75" customHeight="1" x14ac:dyDescent="0.25">
      <c r="A77" s="2" t="s">
        <v>174</v>
      </c>
      <c r="B77" s="2" t="s">
        <v>175</v>
      </c>
      <c r="C77" s="70" t="s">
        <v>309</v>
      </c>
      <c r="D77" s="2"/>
      <c r="E77" s="2"/>
      <c r="F77" s="70"/>
      <c r="G77" s="2"/>
      <c r="H77" s="2"/>
      <c r="I77" s="2"/>
      <c r="J77" s="2">
        <v>81</v>
      </c>
      <c r="K77" s="2" t="s">
        <v>178</v>
      </c>
      <c r="L77" s="70"/>
      <c r="M77" s="70"/>
      <c r="N77" s="70"/>
      <c r="O77" s="70"/>
      <c r="P77" s="70"/>
      <c r="Q77" s="70"/>
      <c r="R77" s="70"/>
      <c r="S77" s="70"/>
      <c r="T77" s="70"/>
      <c r="U77" s="70"/>
      <c r="V77" s="2" t="s">
        <v>177</v>
      </c>
      <c r="W77" s="2" t="s">
        <v>176</v>
      </c>
      <c r="X77" s="2"/>
      <c r="Y77" s="2"/>
      <c r="Z77" s="2"/>
      <c r="AA77" s="2" t="s">
        <v>16</v>
      </c>
      <c r="AB77" s="2"/>
      <c r="AC77" s="5" t="s">
        <v>247</v>
      </c>
      <c r="AD77" s="2"/>
      <c r="AE77" s="70"/>
      <c r="AF77" s="70"/>
      <c r="AG77" s="70"/>
      <c r="AH77" s="70"/>
      <c r="AI77" s="70"/>
      <c r="AJ77" s="70"/>
      <c r="AK77" s="70"/>
      <c r="AL77" s="2" t="str">
        <f t="shared" si="2"/>
        <v>No</v>
      </c>
    </row>
    <row r="78" spans="1:38" ht="115.5" x14ac:dyDescent="0.25">
      <c r="A78" s="5" t="s">
        <v>488</v>
      </c>
      <c r="B78" s="2" t="s">
        <v>2027</v>
      </c>
      <c r="C78" s="2" t="s">
        <v>308</v>
      </c>
      <c r="D78" s="5">
        <v>1</v>
      </c>
      <c r="E78" s="5">
        <v>761</v>
      </c>
      <c r="F78" s="70"/>
      <c r="G78" s="5">
        <f>E78/D78</f>
        <v>761</v>
      </c>
      <c r="J78" s="5">
        <v>9</v>
      </c>
      <c r="K78" s="2" t="s">
        <v>489</v>
      </c>
      <c r="P78" s="5"/>
      <c r="Q78" s="70"/>
      <c r="R78" s="70"/>
      <c r="S78" s="70"/>
      <c r="T78" s="70"/>
      <c r="U78" s="70"/>
      <c r="V78" s="2" t="s">
        <v>480</v>
      </c>
      <c r="W78" s="5"/>
      <c r="X78" s="5"/>
      <c r="Y78" s="2" t="s">
        <v>277</v>
      </c>
      <c r="Z78" s="69"/>
      <c r="AA78" s="5" t="s">
        <v>17</v>
      </c>
      <c r="AB78" s="69"/>
      <c r="AC78" s="78" t="s">
        <v>487</v>
      </c>
      <c r="AD78" s="69">
        <v>3000000</v>
      </c>
      <c r="AE78" s="70"/>
      <c r="AF78" s="70"/>
      <c r="AG78" s="70"/>
      <c r="AH78" s="70"/>
      <c r="AI78" s="70"/>
      <c r="AJ78" s="70"/>
      <c r="AK78" s="70"/>
      <c r="AL78" s="2" t="str">
        <f t="shared" si="2"/>
        <v>No</v>
      </c>
    </row>
    <row r="79" spans="1:38" ht="405" x14ac:dyDescent="0.25">
      <c r="A79" s="70" t="s">
        <v>1746</v>
      </c>
      <c r="B79" s="2" t="s">
        <v>1719</v>
      </c>
      <c r="C79" s="5" t="s">
        <v>306</v>
      </c>
      <c r="F79" s="69"/>
      <c r="J79" s="5">
        <v>9</v>
      </c>
      <c r="K79" s="2" t="s">
        <v>1720</v>
      </c>
      <c r="P79" s="69"/>
      <c r="U79" s="69"/>
      <c r="V79" s="70" t="s">
        <v>1748</v>
      </c>
      <c r="W79" s="70" t="s">
        <v>1718</v>
      </c>
      <c r="X79" s="69" t="s">
        <v>1716</v>
      </c>
      <c r="Y79" s="69"/>
      <c r="Z79" s="70" t="s">
        <v>1197</v>
      </c>
      <c r="AA79" s="70" t="s">
        <v>16</v>
      </c>
      <c r="AB79" s="70" t="s">
        <v>1721</v>
      </c>
      <c r="AC79" s="79" t="s">
        <v>1722</v>
      </c>
      <c r="AD79" s="69"/>
      <c r="AE79" s="69"/>
      <c r="AF79" s="69"/>
      <c r="AG79" s="69"/>
      <c r="AH79" s="69"/>
      <c r="AI79" s="69"/>
      <c r="AJ79" s="69"/>
      <c r="AK79" s="69"/>
      <c r="AL79" s="2" t="str">
        <f t="shared" si="2"/>
        <v>Yes</v>
      </c>
    </row>
    <row r="80" spans="1:38" ht="45.75" customHeight="1" x14ac:dyDescent="0.25">
      <c r="A80" s="70" t="s">
        <v>1745</v>
      </c>
      <c r="B80" s="2" t="s">
        <v>1737</v>
      </c>
      <c r="C80" s="5" t="s">
        <v>306</v>
      </c>
      <c r="F80" s="69"/>
      <c r="J80" s="5">
        <v>10</v>
      </c>
      <c r="K80" s="2" t="s">
        <v>1739</v>
      </c>
      <c r="P80" s="69"/>
      <c r="U80" s="69"/>
      <c r="V80" s="70" t="s">
        <v>1748</v>
      </c>
      <c r="W80" s="70" t="s">
        <v>1718</v>
      </c>
      <c r="X80" s="70" t="s">
        <v>1738</v>
      </c>
      <c r="Y80" s="69"/>
      <c r="Z80" s="70" t="s">
        <v>1197</v>
      </c>
      <c r="AA80" s="70" t="s">
        <v>16</v>
      </c>
      <c r="AB80" s="69"/>
      <c r="AC80" s="79" t="s">
        <v>1740</v>
      </c>
      <c r="AD80" s="69"/>
      <c r="AE80" s="69"/>
      <c r="AF80" s="69"/>
      <c r="AG80" s="69"/>
      <c r="AH80" s="69"/>
      <c r="AI80" s="69"/>
      <c r="AJ80" s="69"/>
      <c r="AK80" s="69"/>
      <c r="AL80" s="2" t="str">
        <f t="shared" si="2"/>
        <v>Yes</v>
      </c>
    </row>
    <row r="81" spans="1:38" ht="58.5" customHeight="1" x14ac:dyDescent="0.25">
      <c r="A81" s="5" t="s">
        <v>1114</v>
      </c>
      <c r="B81" s="5" t="s">
        <v>1115</v>
      </c>
      <c r="C81" s="5" t="s">
        <v>306</v>
      </c>
      <c r="D81" s="5">
        <v>1</v>
      </c>
      <c r="E81" s="5">
        <v>32</v>
      </c>
      <c r="F81" s="5">
        <v>32</v>
      </c>
      <c r="G81" s="5">
        <v>32</v>
      </c>
      <c r="J81" s="5">
        <v>17</v>
      </c>
      <c r="K81" s="2" t="s">
        <v>1235</v>
      </c>
      <c r="L81" s="5">
        <v>6.3</v>
      </c>
      <c r="M81" s="5">
        <v>0</v>
      </c>
      <c r="N81" s="5">
        <v>0</v>
      </c>
      <c r="O81" s="5">
        <v>0</v>
      </c>
      <c r="P81" s="69">
        <v>93.7</v>
      </c>
      <c r="U81" s="69">
        <v>2</v>
      </c>
      <c r="V81" s="70" t="s">
        <v>1087</v>
      </c>
      <c r="W81" s="70" t="s">
        <v>1201</v>
      </c>
      <c r="X81" s="69"/>
      <c r="Y81" s="70" t="s">
        <v>12</v>
      </c>
      <c r="Z81" s="70" t="s">
        <v>607</v>
      </c>
      <c r="AA81" s="70" t="s">
        <v>16</v>
      </c>
      <c r="AB81" s="69"/>
      <c r="AC81" s="69" t="s">
        <v>1089</v>
      </c>
      <c r="AD81" s="69"/>
      <c r="AE81" s="69" t="s">
        <v>1116</v>
      </c>
      <c r="AF81" s="69"/>
      <c r="AG81" s="69"/>
      <c r="AH81" s="69"/>
      <c r="AI81" s="69"/>
      <c r="AJ81" s="69"/>
      <c r="AK81" s="69"/>
      <c r="AL81" s="2" t="str">
        <f t="shared" si="2"/>
        <v>Yes</v>
      </c>
    </row>
    <row r="82" spans="1:38" ht="60" x14ac:dyDescent="0.25">
      <c r="A82" s="70" t="s">
        <v>1333</v>
      </c>
      <c r="B82" s="5" t="s">
        <v>1753</v>
      </c>
      <c r="C82" s="5" t="s">
        <v>306</v>
      </c>
      <c r="D82" s="5">
        <v>1</v>
      </c>
      <c r="E82" s="5">
        <v>500</v>
      </c>
      <c r="F82" s="5">
        <v>500</v>
      </c>
      <c r="G82" s="5">
        <v>500</v>
      </c>
      <c r="H82" s="5">
        <v>50</v>
      </c>
      <c r="K82" s="2" t="s">
        <v>1756</v>
      </c>
      <c r="P82" s="69"/>
      <c r="U82" s="69"/>
      <c r="V82" s="70" t="s">
        <v>65</v>
      </c>
      <c r="W82" s="70" t="s">
        <v>1755</v>
      </c>
      <c r="X82" s="70" t="s">
        <v>1585</v>
      </c>
      <c r="Y82" s="69" t="s">
        <v>12</v>
      </c>
      <c r="Z82" s="70" t="s">
        <v>729</v>
      </c>
      <c r="AA82" s="70" t="s">
        <v>16</v>
      </c>
      <c r="AB82" s="69" t="s">
        <v>1759</v>
      </c>
      <c r="AC82" s="72" t="s">
        <v>1757</v>
      </c>
      <c r="AD82" s="69">
        <v>400000</v>
      </c>
      <c r="AE82" s="69" t="s">
        <v>1758</v>
      </c>
      <c r="AF82" s="69">
        <v>18150</v>
      </c>
      <c r="AG82" s="69">
        <f>86900-AF82</f>
        <v>68750</v>
      </c>
      <c r="AH82" s="69">
        <v>68750</v>
      </c>
      <c r="AI82" s="69"/>
      <c r="AJ82" s="69"/>
      <c r="AK82" s="69"/>
      <c r="AL82" s="2" t="str">
        <f t="shared" si="2"/>
        <v>No</v>
      </c>
    </row>
    <row r="83" spans="1:38" ht="60" x14ac:dyDescent="0.25">
      <c r="A83" s="70" t="s">
        <v>1367</v>
      </c>
      <c r="B83" s="5" t="s">
        <v>1908</v>
      </c>
      <c r="C83" s="5" t="s">
        <v>306</v>
      </c>
      <c r="D83" s="5">
        <v>1</v>
      </c>
      <c r="E83" s="5">
        <v>4200</v>
      </c>
      <c r="F83" s="5">
        <v>4200</v>
      </c>
      <c r="G83" s="5">
        <v>4200</v>
      </c>
      <c r="H83" s="5">
        <v>50</v>
      </c>
      <c r="J83" s="5">
        <f>703+85+5</f>
        <v>793</v>
      </c>
      <c r="K83" s="2" t="s">
        <v>1924</v>
      </c>
      <c r="P83" s="69"/>
      <c r="U83" s="69"/>
      <c r="V83" s="70" t="s">
        <v>65</v>
      </c>
      <c r="W83" s="70" t="s">
        <v>1923</v>
      </c>
      <c r="X83" s="70" t="s">
        <v>1585</v>
      </c>
      <c r="Y83" s="70" t="s">
        <v>1629</v>
      </c>
      <c r="Z83" s="70" t="s">
        <v>729</v>
      </c>
      <c r="AA83" s="70" t="s">
        <v>17</v>
      </c>
      <c r="AB83" s="69" t="s">
        <v>1926</v>
      </c>
      <c r="AC83" s="69" t="s">
        <v>1925</v>
      </c>
      <c r="AD83" s="69">
        <v>3360000</v>
      </c>
      <c r="AE83" s="69" t="s">
        <v>1927</v>
      </c>
      <c r="AF83" s="69">
        <v>152460</v>
      </c>
      <c r="AG83" s="69">
        <f>729960-AF83</f>
        <v>577500</v>
      </c>
      <c r="AH83" s="69">
        <v>577500</v>
      </c>
      <c r="AI83" s="69"/>
      <c r="AJ83" s="69"/>
      <c r="AK83" s="69"/>
      <c r="AL83" s="2" t="str">
        <f t="shared" si="2"/>
        <v>No</v>
      </c>
    </row>
    <row r="84" spans="1:38" ht="48.75" customHeight="1" x14ac:dyDescent="0.25">
      <c r="A84" s="70" t="s">
        <v>1340</v>
      </c>
      <c r="B84" s="5" t="s">
        <v>1771</v>
      </c>
      <c r="C84" s="5" t="s">
        <v>306</v>
      </c>
      <c r="D84" s="5">
        <v>1</v>
      </c>
      <c r="E84" s="5">
        <v>4300</v>
      </c>
      <c r="F84" s="5">
        <v>4300</v>
      </c>
      <c r="G84" s="5">
        <v>4300</v>
      </c>
      <c r="H84" s="5">
        <v>50</v>
      </c>
      <c r="K84" s="2" t="s">
        <v>1782</v>
      </c>
      <c r="P84" s="69"/>
      <c r="U84" s="69"/>
      <c r="V84" s="70" t="s">
        <v>65</v>
      </c>
      <c r="W84" s="70" t="s">
        <v>1783</v>
      </c>
      <c r="X84" s="70" t="s">
        <v>1585</v>
      </c>
      <c r="Y84" s="69" t="s">
        <v>12</v>
      </c>
      <c r="Z84" s="70" t="s">
        <v>729</v>
      </c>
      <c r="AA84" s="70" t="s">
        <v>17</v>
      </c>
      <c r="AB84" s="69" t="s">
        <v>1786</v>
      </c>
      <c r="AC84" s="69" t="s">
        <v>1784</v>
      </c>
      <c r="AD84" s="69">
        <v>3440000</v>
      </c>
      <c r="AE84" s="69" t="s">
        <v>1785</v>
      </c>
      <c r="AF84" s="69">
        <v>156090</v>
      </c>
      <c r="AG84" s="69">
        <f>747340-AF84</f>
        <v>591250</v>
      </c>
      <c r="AH84" s="69">
        <v>591250</v>
      </c>
      <c r="AI84" s="69"/>
      <c r="AJ84" s="69"/>
      <c r="AK84" s="69"/>
      <c r="AL84" s="2" t="str">
        <f t="shared" si="2"/>
        <v>Yes</v>
      </c>
    </row>
    <row r="85" spans="1:38" ht="102.75" x14ac:dyDescent="0.25">
      <c r="A85" s="70" t="s">
        <v>1345</v>
      </c>
      <c r="B85" s="2" t="s">
        <v>1809</v>
      </c>
      <c r="C85" s="5" t="s">
        <v>306</v>
      </c>
      <c r="D85" s="5">
        <v>2</v>
      </c>
      <c r="F85" s="69"/>
      <c r="J85" s="5">
        <v>13</v>
      </c>
      <c r="K85" s="2" t="s">
        <v>1810</v>
      </c>
      <c r="P85" s="69"/>
      <c r="U85" s="69"/>
      <c r="V85" s="70" t="s">
        <v>1891</v>
      </c>
      <c r="W85" s="70" t="s">
        <v>1811</v>
      </c>
      <c r="X85" s="70" t="s">
        <v>884</v>
      </c>
      <c r="Y85" s="69"/>
      <c r="Z85" s="70" t="s">
        <v>517</v>
      </c>
      <c r="AA85" s="70" t="s">
        <v>16</v>
      </c>
      <c r="AB85" s="69"/>
      <c r="AC85" s="69" t="s">
        <v>1812</v>
      </c>
      <c r="AD85" s="69"/>
      <c r="AE85" s="69"/>
      <c r="AF85" s="69"/>
      <c r="AG85" s="69"/>
      <c r="AH85" s="69"/>
      <c r="AI85" s="69"/>
      <c r="AJ85" s="69"/>
      <c r="AK85" s="69"/>
      <c r="AL85" s="2" t="str">
        <f t="shared" si="2"/>
        <v>Yes</v>
      </c>
    </row>
    <row r="86" spans="1:38" ht="75" x14ac:dyDescent="0.25">
      <c r="A86" s="5" t="s">
        <v>773</v>
      </c>
      <c r="B86" s="5" t="s">
        <v>826</v>
      </c>
      <c r="C86" s="2" t="s">
        <v>308</v>
      </c>
      <c r="D86" s="5">
        <v>1</v>
      </c>
      <c r="E86" s="5">
        <v>50</v>
      </c>
      <c r="F86" s="5">
        <v>50</v>
      </c>
      <c r="G86" s="5">
        <v>50</v>
      </c>
      <c r="J86" s="5">
        <v>20</v>
      </c>
      <c r="K86" s="2" t="s">
        <v>831</v>
      </c>
      <c r="P86" s="69"/>
      <c r="U86" s="69"/>
      <c r="V86" s="69"/>
      <c r="W86" s="70" t="s">
        <v>827</v>
      </c>
      <c r="X86" s="69"/>
      <c r="Y86" s="70" t="s">
        <v>12</v>
      </c>
      <c r="Z86" s="69"/>
      <c r="AA86" s="69" t="s">
        <v>17</v>
      </c>
      <c r="AB86" s="69" t="s">
        <v>829</v>
      </c>
      <c r="AC86" s="69" t="s">
        <v>828</v>
      </c>
      <c r="AD86" s="70">
        <v>70000</v>
      </c>
      <c r="AE86" s="69" t="s">
        <v>830</v>
      </c>
      <c r="AF86" s="69">
        <v>11000</v>
      </c>
      <c r="AG86" s="69">
        <v>5000</v>
      </c>
      <c r="AH86" s="69"/>
      <c r="AI86" s="69"/>
      <c r="AJ86" s="69"/>
      <c r="AK86" s="69"/>
      <c r="AL86" s="2" t="str">
        <f t="shared" si="2"/>
        <v>No</v>
      </c>
    </row>
    <row r="87" spans="1:38" s="1" customFormat="1" ht="57.75" customHeight="1" x14ac:dyDescent="0.25">
      <c r="A87" s="70" t="s">
        <v>1365</v>
      </c>
      <c r="B87" s="5" t="s">
        <v>1906</v>
      </c>
      <c r="C87" s="5" t="s">
        <v>306</v>
      </c>
      <c r="D87" s="5">
        <v>1</v>
      </c>
      <c r="E87" s="5">
        <v>4000</v>
      </c>
      <c r="F87" s="5">
        <v>4000</v>
      </c>
      <c r="G87" s="5">
        <v>4000</v>
      </c>
      <c r="H87" s="5">
        <v>50</v>
      </c>
      <c r="I87" s="5"/>
      <c r="J87" s="5">
        <f>669+90+4</f>
        <v>763</v>
      </c>
      <c r="K87" s="2" t="s">
        <v>1913</v>
      </c>
      <c r="L87" s="5"/>
      <c r="M87" s="5"/>
      <c r="N87" s="5"/>
      <c r="O87" s="5"/>
      <c r="P87" s="69"/>
      <c r="Q87" s="5"/>
      <c r="R87" s="5"/>
      <c r="S87" s="5"/>
      <c r="T87" s="5"/>
      <c r="U87" s="69"/>
      <c r="V87" s="70" t="s">
        <v>65</v>
      </c>
      <c r="W87" s="70" t="s">
        <v>1914</v>
      </c>
      <c r="X87" s="70" t="s">
        <v>1585</v>
      </c>
      <c r="Y87" s="70" t="s">
        <v>1864</v>
      </c>
      <c r="Z87" s="70" t="s">
        <v>729</v>
      </c>
      <c r="AA87" s="70" t="s">
        <v>17</v>
      </c>
      <c r="AB87" s="69" t="s">
        <v>1917</v>
      </c>
      <c r="AC87" s="69" t="s">
        <v>1916</v>
      </c>
      <c r="AD87" s="69">
        <v>3200000</v>
      </c>
      <c r="AE87" s="69" t="s">
        <v>1915</v>
      </c>
      <c r="AF87" s="69">
        <v>145200</v>
      </c>
      <c r="AG87" s="69">
        <f>695200-AF87</f>
        <v>550000</v>
      </c>
      <c r="AH87" s="69">
        <v>550000</v>
      </c>
      <c r="AI87" s="69"/>
      <c r="AJ87" s="69"/>
      <c r="AK87" s="69"/>
      <c r="AL87" s="2" t="str">
        <f t="shared" si="2"/>
        <v>No</v>
      </c>
    </row>
    <row r="88" spans="1:38" s="1" customFormat="1" ht="43.5" customHeight="1" x14ac:dyDescent="0.25">
      <c r="A88" s="5" t="s">
        <v>771</v>
      </c>
      <c r="B88" s="5" t="s">
        <v>804</v>
      </c>
      <c r="C88" s="2" t="s">
        <v>308</v>
      </c>
      <c r="D88" s="5">
        <v>1</v>
      </c>
      <c r="E88" s="5">
        <v>55</v>
      </c>
      <c r="F88" s="5">
        <v>55</v>
      </c>
      <c r="G88" s="5">
        <v>55</v>
      </c>
      <c r="H88" s="5"/>
      <c r="I88" s="5"/>
      <c r="J88" s="5">
        <v>61</v>
      </c>
      <c r="K88" s="2" t="s">
        <v>813</v>
      </c>
      <c r="L88" s="5"/>
      <c r="M88" s="5"/>
      <c r="N88" s="5"/>
      <c r="O88" s="5"/>
      <c r="P88" s="69"/>
      <c r="Q88" s="5"/>
      <c r="R88" s="5"/>
      <c r="S88" s="5"/>
      <c r="T88" s="5"/>
      <c r="U88" s="69"/>
      <c r="V88" s="69" t="s">
        <v>809</v>
      </c>
      <c r="W88" s="70" t="s">
        <v>805</v>
      </c>
      <c r="X88" s="69"/>
      <c r="Y88" s="70" t="s">
        <v>12</v>
      </c>
      <c r="Z88" s="69"/>
      <c r="AA88" s="70" t="s">
        <v>16</v>
      </c>
      <c r="AB88" s="69"/>
      <c r="AC88" s="69" t="s">
        <v>807</v>
      </c>
      <c r="AD88" s="70">
        <v>156000</v>
      </c>
      <c r="AE88" s="70" t="s">
        <v>806</v>
      </c>
      <c r="AF88" s="69">
        <v>7194</v>
      </c>
      <c r="AG88" s="69">
        <v>10908</v>
      </c>
      <c r="AH88" s="69"/>
      <c r="AI88" s="69"/>
      <c r="AJ88" s="69"/>
      <c r="AK88" s="69"/>
      <c r="AL88" s="2" t="str">
        <f t="shared" si="2"/>
        <v>No</v>
      </c>
    </row>
    <row r="89" spans="1:38" s="1" customFormat="1" ht="46.5" customHeight="1" x14ac:dyDescent="0.25">
      <c r="A89" s="2" t="s">
        <v>571</v>
      </c>
      <c r="B89" s="5" t="s">
        <v>570</v>
      </c>
      <c r="C89" s="2" t="s">
        <v>309</v>
      </c>
      <c r="D89" s="5">
        <v>1</v>
      </c>
      <c r="E89" s="5">
        <v>100</v>
      </c>
      <c r="F89" s="5">
        <v>100</v>
      </c>
      <c r="G89" s="5">
        <v>100</v>
      </c>
      <c r="H89" s="5">
        <v>100</v>
      </c>
      <c r="I89" s="5"/>
      <c r="J89" s="5">
        <v>6</v>
      </c>
      <c r="K89" s="2" t="s">
        <v>572</v>
      </c>
      <c r="L89" s="5">
        <v>0</v>
      </c>
      <c r="M89" s="5">
        <v>0</v>
      </c>
      <c r="N89" s="5">
        <v>100</v>
      </c>
      <c r="O89" s="5">
        <v>0</v>
      </c>
      <c r="P89" s="5">
        <v>0</v>
      </c>
      <c r="Q89" s="5"/>
      <c r="R89" s="5"/>
      <c r="S89" s="5"/>
      <c r="T89" s="5"/>
      <c r="U89" s="69"/>
      <c r="V89" s="69"/>
      <c r="W89" s="70" t="s">
        <v>573</v>
      </c>
      <c r="X89" s="70" t="s">
        <v>574</v>
      </c>
      <c r="Y89" s="69" t="s">
        <v>12</v>
      </c>
      <c r="Z89" s="69"/>
      <c r="AA89" s="69" t="s">
        <v>16</v>
      </c>
      <c r="AB89" s="69"/>
      <c r="AC89" s="69" t="s">
        <v>557</v>
      </c>
      <c r="AD89" s="69"/>
      <c r="AE89" s="69"/>
      <c r="AF89" s="69"/>
      <c r="AG89" s="69"/>
      <c r="AH89" s="69"/>
      <c r="AI89" s="69"/>
      <c r="AJ89" s="69"/>
      <c r="AK89" s="69"/>
      <c r="AL89" s="2" t="str">
        <f t="shared" si="2"/>
        <v>Yes</v>
      </c>
    </row>
    <row r="90" spans="1:38" s="1" customFormat="1" ht="67.5" customHeight="1" x14ac:dyDescent="0.25">
      <c r="A90" s="70" t="s">
        <v>1362</v>
      </c>
      <c r="B90" s="2" t="s">
        <v>1886</v>
      </c>
      <c r="C90" s="5" t="s">
        <v>306</v>
      </c>
      <c r="D90" s="5">
        <v>2</v>
      </c>
      <c r="E90" s="5"/>
      <c r="F90" s="69"/>
      <c r="G90" s="5"/>
      <c r="H90" s="5"/>
      <c r="I90" s="5"/>
      <c r="J90" s="5">
        <v>15</v>
      </c>
      <c r="K90" s="2" t="s">
        <v>1887</v>
      </c>
      <c r="L90" s="5"/>
      <c r="M90" s="5"/>
      <c r="N90" s="5"/>
      <c r="O90" s="5"/>
      <c r="P90" s="69"/>
      <c r="Q90" s="5"/>
      <c r="R90" s="5"/>
      <c r="S90" s="5"/>
      <c r="T90" s="5"/>
      <c r="U90" s="69"/>
      <c r="V90" s="70" t="s">
        <v>1891</v>
      </c>
      <c r="W90" s="70" t="s">
        <v>1811</v>
      </c>
      <c r="X90" s="70" t="s">
        <v>1888</v>
      </c>
      <c r="Y90" s="69"/>
      <c r="Z90" s="70" t="s">
        <v>517</v>
      </c>
      <c r="AA90" s="70" t="s">
        <v>16</v>
      </c>
      <c r="AB90" s="69"/>
      <c r="AC90" s="69" t="s">
        <v>1889</v>
      </c>
      <c r="AD90" s="69"/>
      <c r="AE90" s="69"/>
      <c r="AF90" s="69"/>
      <c r="AG90" s="69"/>
      <c r="AH90" s="69"/>
      <c r="AI90" s="69"/>
      <c r="AJ90" s="69"/>
      <c r="AK90" s="69"/>
      <c r="AL90" s="2" t="str">
        <f t="shared" si="2"/>
        <v>Yes</v>
      </c>
    </row>
    <row r="91" spans="1:38" s="1" customFormat="1" ht="66" customHeight="1" x14ac:dyDescent="0.25">
      <c r="A91" s="70" t="s">
        <v>1376</v>
      </c>
      <c r="B91" s="2" t="s">
        <v>1969</v>
      </c>
      <c r="C91" s="5" t="s">
        <v>306</v>
      </c>
      <c r="D91" s="5">
        <v>2</v>
      </c>
      <c r="E91" s="5"/>
      <c r="F91" s="69"/>
      <c r="G91" s="5"/>
      <c r="H91" s="5"/>
      <c r="I91" s="5"/>
      <c r="J91" s="5">
        <v>14</v>
      </c>
      <c r="K91" s="2" t="s">
        <v>1967</v>
      </c>
      <c r="L91" s="5"/>
      <c r="M91" s="5"/>
      <c r="N91" s="5"/>
      <c r="O91" s="5"/>
      <c r="P91" s="69"/>
      <c r="Q91" s="5"/>
      <c r="R91" s="5"/>
      <c r="S91" s="5"/>
      <c r="T91" s="5"/>
      <c r="U91" s="69"/>
      <c r="V91" s="70" t="s">
        <v>1891</v>
      </c>
      <c r="W91" s="70" t="s">
        <v>1723</v>
      </c>
      <c r="X91" s="70" t="s">
        <v>1888</v>
      </c>
      <c r="Y91" s="69"/>
      <c r="Z91" s="70" t="s">
        <v>517</v>
      </c>
      <c r="AA91" s="70" t="s">
        <v>16</v>
      </c>
      <c r="AB91" s="69"/>
      <c r="AC91" s="73" t="s">
        <v>1968</v>
      </c>
      <c r="AD91" s="69"/>
      <c r="AE91" s="69"/>
      <c r="AF91" s="69"/>
      <c r="AG91" s="69"/>
      <c r="AH91" s="69"/>
      <c r="AI91" s="69"/>
      <c r="AJ91" s="69"/>
      <c r="AK91" s="69"/>
      <c r="AL91" s="2" t="str">
        <f t="shared" si="2"/>
        <v>Yes</v>
      </c>
    </row>
    <row r="92" spans="1:38" ht="55.5" customHeight="1" x14ac:dyDescent="0.25">
      <c r="A92" s="70" t="s">
        <v>1743</v>
      </c>
      <c r="B92" s="2" t="s">
        <v>1741</v>
      </c>
      <c r="C92" s="5" t="s">
        <v>306</v>
      </c>
      <c r="F92" s="69"/>
      <c r="J92" s="5">
        <v>9</v>
      </c>
      <c r="K92" s="2" t="s">
        <v>1742</v>
      </c>
      <c r="P92" s="69"/>
      <c r="U92" s="69"/>
      <c r="V92" s="70" t="s">
        <v>1748</v>
      </c>
      <c r="W92" s="70" t="s">
        <v>1718</v>
      </c>
      <c r="X92" s="70" t="s">
        <v>1738</v>
      </c>
      <c r="Y92" s="69"/>
      <c r="Z92" s="70" t="s">
        <v>1197</v>
      </c>
      <c r="AA92" s="70" t="s">
        <v>16</v>
      </c>
      <c r="AB92" s="69"/>
      <c r="AC92" s="79" t="s">
        <v>1747</v>
      </c>
      <c r="AD92" s="69"/>
      <c r="AE92" s="69"/>
      <c r="AF92" s="69"/>
      <c r="AG92" s="69"/>
      <c r="AH92" s="69"/>
      <c r="AI92" s="69"/>
      <c r="AJ92" s="69"/>
      <c r="AK92" s="69"/>
      <c r="AL92" s="2" t="str">
        <f t="shared" si="2"/>
        <v>Yes</v>
      </c>
    </row>
    <row r="93" spans="1:38" ht="45.75" customHeight="1" x14ac:dyDescent="0.25">
      <c r="A93" s="70" t="s">
        <v>1336</v>
      </c>
      <c r="B93" s="2" t="s">
        <v>1766</v>
      </c>
      <c r="C93" s="5" t="s">
        <v>306</v>
      </c>
      <c r="D93" s="5">
        <v>4</v>
      </c>
      <c r="F93" s="69"/>
      <c r="J93" s="5">
        <v>6</v>
      </c>
      <c r="K93" s="2" t="s">
        <v>1768</v>
      </c>
      <c r="P93" s="69"/>
      <c r="U93" s="69"/>
      <c r="V93" s="70" t="s">
        <v>65</v>
      </c>
      <c r="W93" s="69"/>
      <c r="X93" s="70" t="s">
        <v>1767</v>
      </c>
      <c r="Y93" s="70" t="s">
        <v>1769</v>
      </c>
      <c r="Z93" s="70" t="s">
        <v>1197</v>
      </c>
      <c r="AA93" s="70" t="s">
        <v>16</v>
      </c>
      <c r="AB93" s="69"/>
      <c r="AC93" s="69" t="s">
        <v>1770</v>
      </c>
      <c r="AD93" s="69"/>
      <c r="AE93" s="69"/>
      <c r="AF93" s="69"/>
      <c r="AG93" s="69"/>
      <c r="AH93" s="69"/>
      <c r="AI93" s="69"/>
      <c r="AJ93" s="69"/>
      <c r="AK93" s="69"/>
      <c r="AL93" s="2" t="str">
        <f t="shared" si="2"/>
        <v>No</v>
      </c>
    </row>
    <row r="94" spans="1:38" ht="115.5" x14ac:dyDescent="0.25">
      <c r="A94" s="5" t="s">
        <v>475</v>
      </c>
      <c r="B94" s="2" t="s">
        <v>2006</v>
      </c>
      <c r="C94" s="2" t="s">
        <v>309</v>
      </c>
      <c r="D94" s="5">
        <v>2</v>
      </c>
      <c r="E94" s="5">
        <v>5799</v>
      </c>
      <c r="F94" s="69">
        <f>E94-360</f>
        <v>5439</v>
      </c>
      <c r="G94" s="5">
        <f>E94/D94</f>
        <v>2899.5</v>
      </c>
      <c r="J94" s="5">
        <f>300+6</f>
        <v>306</v>
      </c>
      <c r="K94" s="2" t="s">
        <v>2007</v>
      </c>
      <c r="L94" s="5">
        <v>90</v>
      </c>
      <c r="M94" s="5">
        <v>10</v>
      </c>
      <c r="N94" s="5">
        <v>0</v>
      </c>
      <c r="O94" s="5">
        <v>0</v>
      </c>
      <c r="P94" s="5">
        <v>0</v>
      </c>
      <c r="Q94" s="18">
        <f>29/2</f>
        <v>14.5</v>
      </c>
      <c r="R94" s="18">
        <f>124/2</f>
        <v>62</v>
      </c>
      <c r="S94" s="18"/>
      <c r="U94" s="69"/>
      <c r="V94" s="2" t="s">
        <v>479</v>
      </c>
      <c r="W94" s="2" t="s">
        <v>476</v>
      </c>
      <c r="X94" s="2" t="s">
        <v>478</v>
      </c>
      <c r="Y94" s="2" t="s">
        <v>482</v>
      </c>
      <c r="Z94" s="69"/>
      <c r="AA94" s="5" t="s">
        <v>17</v>
      </c>
      <c r="AB94" s="69"/>
      <c r="AC94" s="69" t="s">
        <v>481</v>
      </c>
      <c r="AD94" s="69">
        <v>19000000</v>
      </c>
      <c r="AE94" s="69"/>
      <c r="AF94" s="69"/>
      <c r="AG94" s="69"/>
      <c r="AH94" s="69"/>
      <c r="AI94" s="69"/>
      <c r="AJ94" s="69"/>
      <c r="AK94" s="69"/>
      <c r="AL94" s="2" t="str">
        <f t="shared" si="2"/>
        <v>No</v>
      </c>
    </row>
    <row r="95" spans="1:38" ht="90" x14ac:dyDescent="0.25">
      <c r="A95" s="5" t="s">
        <v>1102</v>
      </c>
      <c r="B95" s="5" t="s">
        <v>1103</v>
      </c>
      <c r="C95" s="5" t="s">
        <v>306</v>
      </c>
      <c r="D95" s="5">
        <v>2</v>
      </c>
      <c r="E95" s="5">
        <v>128</v>
      </c>
      <c r="F95" s="5">
        <v>128</v>
      </c>
      <c r="G95" s="5">
        <f>E95/D95</f>
        <v>64</v>
      </c>
      <c r="J95" s="5">
        <v>12</v>
      </c>
      <c r="K95" s="2" t="s">
        <v>1227</v>
      </c>
      <c r="L95" s="5">
        <v>0</v>
      </c>
      <c r="M95" s="5">
        <v>0</v>
      </c>
      <c r="N95" s="5">
        <v>0</v>
      </c>
      <c r="O95" s="5">
        <v>60.9</v>
      </c>
      <c r="P95" s="5">
        <v>39.1</v>
      </c>
      <c r="T95" s="5">
        <v>1</v>
      </c>
      <c r="U95" s="5">
        <v>1</v>
      </c>
      <c r="V95" s="70" t="s">
        <v>1087</v>
      </c>
      <c r="W95" s="70" t="s">
        <v>1228</v>
      </c>
      <c r="X95" s="69"/>
      <c r="Y95" s="70" t="s">
        <v>12</v>
      </c>
      <c r="Z95" s="70" t="s">
        <v>607</v>
      </c>
      <c r="AA95" s="70" t="s">
        <v>16</v>
      </c>
      <c r="AB95" s="69"/>
      <c r="AC95" s="73" t="s">
        <v>2035</v>
      </c>
      <c r="AD95" s="69"/>
      <c r="AE95" s="69" t="s">
        <v>1104</v>
      </c>
      <c r="AF95" s="69"/>
      <c r="AG95" s="69"/>
      <c r="AH95" s="69"/>
      <c r="AI95" s="69"/>
      <c r="AJ95" s="69"/>
      <c r="AK95" s="69"/>
      <c r="AL95" s="2" t="str">
        <f t="shared" si="2"/>
        <v>Yes</v>
      </c>
    </row>
    <row r="96" spans="1:38" ht="45" customHeight="1" x14ac:dyDescent="0.25">
      <c r="A96" s="2" t="s">
        <v>109</v>
      </c>
      <c r="B96" s="2" t="s">
        <v>110</v>
      </c>
      <c r="C96" s="70" t="s">
        <v>310</v>
      </c>
      <c r="D96" s="70"/>
      <c r="E96" s="2"/>
      <c r="F96" s="70"/>
      <c r="G96" s="2"/>
      <c r="H96" s="2"/>
      <c r="I96" s="2"/>
      <c r="J96" s="2"/>
      <c r="K96" s="2" t="s">
        <v>394</v>
      </c>
      <c r="L96" s="70">
        <v>50</v>
      </c>
      <c r="M96" s="70">
        <v>0</v>
      </c>
      <c r="N96" s="70">
        <v>50</v>
      </c>
      <c r="O96" s="70">
        <v>0</v>
      </c>
      <c r="P96" s="70">
        <v>0</v>
      </c>
      <c r="Q96" s="70"/>
      <c r="R96" s="70"/>
      <c r="S96" s="70"/>
      <c r="T96" s="70"/>
      <c r="U96" s="70"/>
      <c r="V96" s="2" t="s">
        <v>393</v>
      </c>
      <c r="W96" s="2" t="s">
        <v>112</v>
      </c>
      <c r="X96" s="2" t="s">
        <v>111</v>
      </c>
      <c r="Y96" s="2" t="s">
        <v>12</v>
      </c>
      <c r="Z96" s="2"/>
      <c r="AA96" s="2" t="s">
        <v>17</v>
      </c>
      <c r="AB96" s="2"/>
      <c r="AC96" s="5" t="s">
        <v>395</v>
      </c>
      <c r="AD96" s="2"/>
      <c r="AE96" s="70"/>
      <c r="AF96" s="70"/>
      <c r="AG96" s="70"/>
      <c r="AH96" s="70"/>
      <c r="AI96" s="70"/>
      <c r="AJ96" s="70"/>
      <c r="AK96" s="70"/>
      <c r="AL96" s="2" t="str">
        <f t="shared" si="2"/>
        <v>No</v>
      </c>
    </row>
    <row r="97" spans="1:38" ht="89.25" customHeight="1" x14ac:dyDescent="0.25">
      <c r="A97" s="70" t="s">
        <v>1351</v>
      </c>
      <c r="B97" s="5" t="s">
        <v>1824</v>
      </c>
      <c r="C97" s="5" t="s">
        <v>306</v>
      </c>
      <c r="D97" s="5">
        <v>1</v>
      </c>
      <c r="E97" s="5">
        <v>3500</v>
      </c>
      <c r="F97" s="5">
        <v>3500</v>
      </c>
      <c r="G97" s="5">
        <v>3500</v>
      </c>
      <c r="H97" s="5">
        <v>50</v>
      </c>
      <c r="J97" s="5">
        <f>580+60+4</f>
        <v>644</v>
      </c>
      <c r="K97" s="2" t="s">
        <v>1845</v>
      </c>
      <c r="P97" s="69"/>
      <c r="U97" s="69"/>
      <c r="V97" s="70" t="s">
        <v>65</v>
      </c>
      <c r="W97" s="70" t="s">
        <v>1840</v>
      </c>
      <c r="X97" s="70" t="s">
        <v>1585</v>
      </c>
      <c r="Y97" s="70" t="s">
        <v>1629</v>
      </c>
      <c r="Z97" s="70" t="s">
        <v>729</v>
      </c>
      <c r="AA97" s="70" t="s">
        <v>17</v>
      </c>
      <c r="AB97" s="69" t="s">
        <v>1848</v>
      </c>
      <c r="AC97" s="69" t="s">
        <v>1846</v>
      </c>
      <c r="AD97" s="69">
        <v>2800000</v>
      </c>
      <c r="AE97" s="69" t="s">
        <v>1847</v>
      </c>
      <c r="AF97" s="69">
        <v>127050</v>
      </c>
      <c r="AG97" s="69">
        <f>608300-AF97</f>
        <v>481250</v>
      </c>
      <c r="AH97" s="69">
        <v>481250</v>
      </c>
      <c r="AI97" s="69"/>
      <c r="AJ97" s="69"/>
      <c r="AK97" s="69"/>
      <c r="AL97" s="2" t="str">
        <f t="shared" si="2"/>
        <v>No</v>
      </c>
    </row>
    <row r="98" spans="1:38" ht="41.25" customHeight="1" x14ac:dyDescent="0.25">
      <c r="A98" s="5" t="s">
        <v>484</v>
      </c>
      <c r="B98" s="2" t="s">
        <v>485</v>
      </c>
      <c r="C98" s="2" t="s">
        <v>308</v>
      </c>
      <c r="D98" s="5">
        <v>1</v>
      </c>
      <c r="E98" s="5">
        <v>120</v>
      </c>
      <c r="F98" s="5">
        <v>120</v>
      </c>
      <c r="G98" s="5">
        <f>E98/D98</f>
        <v>120</v>
      </c>
      <c r="I98" s="5" t="s">
        <v>63</v>
      </c>
      <c r="J98" s="5">
        <v>58</v>
      </c>
      <c r="K98" s="2" t="s">
        <v>486</v>
      </c>
      <c r="L98" s="5">
        <v>0</v>
      </c>
      <c r="M98" s="5">
        <v>100</v>
      </c>
      <c r="N98" s="5">
        <v>0</v>
      </c>
      <c r="O98" s="5">
        <v>0</v>
      </c>
      <c r="P98" s="5">
        <v>0</v>
      </c>
      <c r="Q98" s="70"/>
      <c r="R98" s="70">
        <v>57</v>
      </c>
      <c r="S98" s="70"/>
      <c r="T98" s="70"/>
      <c r="U98" s="70"/>
      <c r="V98" s="2" t="s">
        <v>480</v>
      </c>
      <c r="W98" s="5"/>
      <c r="X98" s="5"/>
      <c r="Y98" s="5" t="s">
        <v>153</v>
      </c>
      <c r="Z98" s="69"/>
      <c r="AA98" s="5" t="s">
        <v>17</v>
      </c>
      <c r="AB98" s="69"/>
      <c r="AC98" s="69" t="s">
        <v>487</v>
      </c>
      <c r="AD98" s="69"/>
      <c r="AE98" s="70"/>
      <c r="AF98" s="70"/>
      <c r="AG98" s="70"/>
      <c r="AH98" s="70"/>
      <c r="AI98" s="70"/>
      <c r="AJ98" s="70"/>
      <c r="AK98" s="70"/>
      <c r="AL98" s="2" t="str">
        <f t="shared" si="2"/>
        <v>No</v>
      </c>
    </row>
    <row r="99" spans="1:38" ht="56.25" customHeight="1" x14ac:dyDescent="0.25">
      <c r="A99" s="70" t="s">
        <v>1323</v>
      </c>
      <c r="B99" s="5" t="s">
        <v>1673</v>
      </c>
      <c r="C99" s="5" t="s">
        <v>306</v>
      </c>
      <c r="D99" s="5">
        <v>1</v>
      </c>
      <c r="E99" s="5">
        <v>3000</v>
      </c>
      <c r="F99" s="5">
        <v>3000</v>
      </c>
      <c r="G99" s="5">
        <v>3000</v>
      </c>
      <c r="H99" s="5">
        <v>50</v>
      </c>
      <c r="J99" s="5">
        <v>605</v>
      </c>
      <c r="K99" s="2" t="s">
        <v>1687</v>
      </c>
      <c r="P99" s="69"/>
      <c r="U99" s="69"/>
      <c r="V99" s="70" t="s">
        <v>65</v>
      </c>
      <c r="W99" s="70" t="s">
        <v>1661</v>
      </c>
      <c r="X99" s="70" t="s">
        <v>1585</v>
      </c>
      <c r="Y99" s="70" t="s">
        <v>1685</v>
      </c>
      <c r="Z99" s="70" t="s">
        <v>729</v>
      </c>
      <c r="AA99" s="70" t="s">
        <v>17</v>
      </c>
      <c r="AB99" s="70" t="s">
        <v>1690</v>
      </c>
      <c r="AC99" s="79" t="s">
        <v>1688</v>
      </c>
      <c r="AD99" s="69">
        <v>2400000</v>
      </c>
      <c r="AE99" s="69" t="s">
        <v>1689</v>
      </c>
      <c r="AF99" s="69">
        <v>108900</v>
      </c>
      <c r="AG99" s="69">
        <f>521400-AF99</f>
        <v>412500</v>
      </c>
      <c r="AH99" s="69">
        <v>412500</v>
      </c>
      <c r="AI99" s="69"/>
      <c r="AJ99" s="69"/>
      <c r="AK99" s="69"/>
      <c r="AL99" s="2" t="str">
        <f t="shared" si="2"/>
        <v>No</v>
      </c>
    </row>
    <row r="100" spans="1:38" ht="103.5" customHeight="1" x14ac:dyDescent="0.25">
      <c r="A100" s="70" t="s">
        <v>1311</v>
      </c>
      <c r="B100" s="5" t="s">
        <v>1620</v>
      </c>
      <c r="C100" s="5" t="s">
        <v>306</v>
      </c>
      <c r="D100" s="5">
        <v>1</v>
      </c>
      <c r="E100" s="5">
        <v>3000</v>
      </c>
      <c r="F100" s="5">
        <v>3000</v>
      </c>
      <c r="G100" s="5">
        <v>3000</v>
      </c>
      <c r="H100" s="5">
        <v>50</v>
      </c>
      <c r="J100" s="5">
        <f>505+42+3</f>
        <v>550</v>
      </c>
      <c r="K100" s="2" t="s">
        <v>1628</v>
      </c>
      <c r="P100" s="69"/>
      <c r="U100" s="69"/>
      <c r="V100" s="70" t="s">
        <v>65</v>
      </c>
      <c r="W100" s="70" t="s">
        <v>1626</v>
      </c>
      <c r="X100" s="70" t="s">
        <v>1585</v>
      </c>
      <c r="Y100" s="70" t="s">
        <v>12</v>
      </c>
      <c r="Z100" s="70" t="s">
        <v>729</v>
      </c>
      <c r="AA100" s="70" t="s">
        <v>17</v>
      </c>
      <c r="AB100" s="69" t="s">
        <v>1625</v>
      </c>
      <c r="AC100" s="69"/>
      <c r="AD100" s="69">
        <v>2400000</v>
      </c>
      <c r="AE100" s="69" t="s">
        <v>1624</v>
      </c>
      <c r="AF100" s="69">
        <v>108900</v>
      </c>
      <c r="AG100" s="69">
        <f>521400-AF100</f>
        <v>412500</v>
      </c>
      <c r="AH100" s="69">
        <v>412500</v>
      </c>
      <c r="AI100" s="69"/>
      <c r="AJ100" s="69"/>
      <c r="AK100" s="69"/>
      <c r="AL100" s="2" t="str">
        <f t="shared" si="2"/>
        <v>No</v>
      </c>
    </row>
    <row r="101" spans="1:38" ht="32.25" customHeight="1" x14ac:dyDescent="0.25">
      <c r="A101" s="5" t="s">
        <v>787</v>
      </c>
      <c r="B101" s="5" t="s">
        <v>588</v>
      </c>
      <c r="C101" s="2" t="s">
        <v>308</v>
      </c>
      <c r="D101" s="5">
        <v>1</v>
      </c>
      <c r="E101" s="5">
        <v>20</v>
      </c>
      <c r="F101" s="5">
        <v>20</v>
      </c>
      <c r="G101" s="5">
        <v>20</v>
      </c>
      <c r="J101" s="5">
        <v>50</v>
      </c>
      <c r="K101" s="2" t="s">
        <v>936</v>
      </c>
      <c r="P101" s="69"/>
      <c r="U101" s="69"/>
      <c r="V101" s="69"/>
      <c r="W101" s="70" t="s">
        <v>666</v>
      </c>
      <c r="X101" s="69"/>
      <c r="Y101" s="69" t="s">
        <v>12</v>
      </c>
      <c r="Z101" s="69"/>
      <c r="AA101" s="70" t="s">
        <v>16</v>
      </c>
      <c r="AB101" s="70" t="s">
        <v>910</v>
      </c>
      <c r="AC101" s="69"/>
      <c r="AD101" s="69">
        <v>35000</v>
      </c>
      <c r="AE101" s="69" t="s">
        <v>935</v>
      </c>
      <c r="AF101" s="69">
        <v>2100</v>
      </c>
      <c r="AG101" s="69">
        <v>1900</v>
      </c>
      <c r="AH101" s="69"/>
      <c r="AI101" s="69"/>
      <c r="AJ101" s="69"/>
      <c r="AK101" s="69"/>
      <c r="AL101" s="2" t="str">
        <f t="shared" si="2"/>
        <v>No</v>
      </c>
    </row>
    <row r="102" spans="1:38" ht="92.25" customHeight="1" thickBot="1" x14ac:dyDescent="0.3">
      <c r="A102" s="2" t="s">
        <v>96</v>
      </c>
      <c r="B102" s="2" t="s">
        <v>2030</v>
      </c>
      <c r="C102" s="2" t="s">
        <v>306</v>
      </c>
      <c r="D102" s="2">
        <v>2</v>
      </c>
      <c r="E102" s="2">
        <f>4000+200+50+200+200+200+100</f>
        <v>4950</v>
      </c>
      <c r="F102" s="70">
        <f>E102-50</f>
        <v>4900</v>
      </c>
      <c r="G102" s="2">
        <f>E102/D102</f>
        <v>2475</v>
      </c>
      <c r="H102" s="2"/>
      <c r="I102" s="2" t="s">
        <v>63</v>
      </c>
      <c r="J102" s="2"/>
      <c r="K102" s="2" t="s">
        <v>2026</v>
      </c>
      <c r="L102" s="2">
        <v>0</v>
      </c>
      <c r="M102" s="2">
        <v>2</v>
      </c>
      <c r="N102" s="2">
        <v>16.399999999999999</v>
      </c>
      <c r="O102" s="2">
        <v>0</v>
      </c>
      <c r="P102" s="2">
        <v>81.599999999999994</v>
      </c>
      <c r="Q102" s="70"/>
      <c r="R102" s="70">
        <v>3</v>
      </c>
      <c r="S102" s="70">
        <v>4</v>
      </c>
      <c r="T102" s="70"/>
      <c r="U102" s="70">
        <v>1</v>
      </c>
      <c r="V102" s="2" t="s">
        <v>373</v>
      </c>
      <c r="W102" s="2" t="s">
        <v>372</v>
      </c>
      <c r="X102" s="2" t="s">
        <v>97</v>
      </c>
      <c r="Y102" s="2" t="s">
        <v>1573</v>
      </c>
      <c r="Z102" s="2"/>
      <c r="AA102" s="2" t="s">
        <v>17</v>
      </c>
      <c r="AB102" s="2"/>
      <c r="AC102" s="5" t="s">
        <v>506</v>
      </c>
      <c r="AD102" s="2"/>
      <c r="AE102" s="70"/>
      <c r="AF102" s="70"/>
      <c r="AG102" s="70"/>
      <c r="AH102" s="70"/>
      <c r="AI102" s="70"/>
      <c r="AJ102" s="70"/>
      <c r="AK102" s="70"/>
      <c r="AL102" s="2" t="str">
        <f t="shared" si="2"/>
        <v>Yes</v>
      </c>
    </row>
    <row r="103" spans="1:38" ht="84.75" customHeight="1" thickBot="1" x14ac:dyDescent="0.3">
      <c r="A103" s="20" t="s">
        <v>956</v>
      </c>
      <c r="B103" s="5" t="s">
        <v>957</v>
      </c>
      <c r="C103" s="5" t="s">
        <v>306</v>
      </c>
      <c r="D103" s="5">
        <v>1</v>
      </c>
      <c r="E103" s="5">
        <f>185+45</f>
        <v>230</v>
      </c>
      <c r="F103" s="5">
        <f>185+45</f>
        <v>230</v>
      </c>
      <c r="G103" s="5">
        <v>230</v>
      </c>
      <c r="J103" s="5">
        <v>35</v>
      </c>
      <c r="K103" s="2" t="s">
        <v>2045</v>
      </c>
      <c r="L103" s="5">
        <v>0</v>
      </c>
      <c r="M103" s="5">
        <v>19.600000000000001</v>
      </c>
      <c r="N103" s="5">
        <v>80.400000000000006</v>
      </c>
      <c r="O103" s="5">
        <v>0</v>
      </c>
      <c r="P103" s="5">
        <v>0</v>
      </c>
      <c r="R103" s="5">
        <v>18</v>
      </c>
      <c r="S103" s="5">
        <v>3</v>
      </c>
      <c r="U103" s="69"/>
      <c r="V103" s="70" t="s">
        <v>65</v>
      </c>
      <c r="W103" s="70" t="s">
        <v>966</v>
      </c>
      <c r="X103" s="70" t="s">
        <v>961</v>
      </c>
      <c r="Y103" s="69" t="s">
        <v>12</v>
      </c>
      <c r="Z103" s="70" t="s">
        <v>578</v>
      </c>
      <c r="AA103" s="70" t="s">
        <v>17</v>
      </c>
      <c r="AB103" s="69" t="s">
        <v>958</v>
      </c>
      <c r="AC103" s="69" t="s">
        <v>959</v>
      </c>
      <c r="AD103" s="69"/>
      <c r="AE103" s="69" t="s">
        <v>960</v>
      </c>
      <c r="AF103" s="69"/>
      <c r="AG103" s="69"/>
      <c r="AH103" s="69"/>
      <c r="AI103" s="69"/>
      <c r="AJ103" s="69"/>
      <c r="AK103" s="69"/>
      <c r="AL103" s="2" t="str">
        <f t="shared" si="2"/>
        <v>Yes</v>
      </c>
    </row>
    <row r="104" spans="1:38" ht="67.5" customHeight="1" x14ac:dyDescent="0.25">
      <c r="A104" s="70" t="s">
        <v>1327</v>
      </c>
      <c r="B104" s="2" t="s">
        <v>1710</v>
      </c>
      <c r="C104" s="5" t="s">
        <v>306</v>
      </c>
      <c r="F104" s="69"/>
      <c r="J104" s="5">
        <v>7</v>
      </c>
      <c r="K104" s="2" t="s">
        <v>1711</v>
      </c>
      <c r="P104" s="69"/>
      <c r="U104" s="69"/>
      <c r="V104" s="70" t="s">
        <v>1715</v>
      </c>
      <c r="W104" s="70" t="s">
        <v>1714</v>
      </c>
      <c r="X104" s="69" t="s">
        <v>1713</v>
      </c>
      <c r="Y104" s="69"/>
      <c r="Z104" s="70" t="s">
        <v>1197</v>
      </c>
      <c r="AA104" s="70" t="s">
        <v>16</v>
      </c>
      <c r="AB104" s="69" t="s">
        <v>1721</v>
      </c>
      <c r="AC104" s="72" t="s">
        <v>1712</v>
      </c>
      <c r="AD104" s="69"/>
      <c r="AE104" s="69"/>
      <c r="AF104" s="69"/>
      <c r="AG104" s="69"/>
      <c r="AH104" s="69"/>
      <c r="AI104" s="69"/>
      <c r="AJ104" s="69"/>
      <c r="AK104" s="69"/>
      <c r="AL104" s="2" t="str">
        <f t="shared" si="2"/>
        <v>Yes</v>
      </c>
    </row>
    <row r="105" spans="1:38" ht="90" x14ac:dyDescent="0.25">
      <c r="A105" s="70" t="s">
        <v>1329</v>
      </c>
      <c r="B105" s="5" t="s">
        <v>1727</v>
      </c>
      <c r="C105" s="5" t="s">
        <v>306</v>
      </c>
      <c r="D105" s="5">
        <v>1</v>
      </c>
      <c r="E105" s="5">
        <v>186.25</v>
      </c>
      <c r="F105" s="5">
        <v>186.25</v>
      </c>
      <c r="G105" s="5">
        <v>186.25</v>
      </c>
      <c r="K105" s="2" t="s">
        <v>1728</v>
      </c>
      <c r="L105" s="5">
        <v>83.4</v>
      </c>
      <c r="M105" s="5">
        <v>16.600000000000001</v>
      </c>
      <c r="N105" s="5">
        <v>0</v>
      </c>
      <c r="O105" s="5">
        <v>0</v>
      </c>
      <c r="P105" s="5">
        <v>0</v>
      </c>
      <c r="Q105" s="5">
        <v>5</v>
      </c>
      <c r="R105" s="5">
        <v>1</v>
      </c>
      <c r="U105" s="69"/>
      <c r="V105" s="70" t="s">
        <v>1748</v>
      </c>
      <c r="W105" s="70" t="s">
        <v>1330</v>
      </c>
      <c r="X105" s="70" t="s">
        <v>362</v>
      </c>
      <c r="Y105" s="70" t="s">
        <v>12</v>
      </c>
      <c r="Z105" s="70" t="s">
        <v>729</v>
      </c>
      <c r="AA105" s="70" t="s">
        <v>16</v>
      </c>
      <c r="AB105" s="69"/>
      <c r="AC105" s="72" t="s">
        <v>1729</v>
      </c>
      <c r="AD105" s="69"/>
      <c r="AE105" s="69"/>
      <c r="AF105" s="69"/>
      <c r="AG105" s="69"/>
      <c r="AH105" s="69"/>
      <c r="AI105" s="69"/>
      <c r="AJ105" s="69"/>
      <c r="AK105" s="69"/>
      <c r="AL105" s="2" t="str">
        <f t="shared" si="2"/>
        <v>Yes</v>
      </c>
    </row>
    <row r="106" spans="1:38" ht="52.5" customHeight="1" x14ac:dyDescent="0.25">
      <c r="A106" s="5" t="s">
        <v>781</v>
      </c>
      <c r="B106" s="2" t="s">
        <v>882</v>
      </c>
      <c r="C106" s="5" t="s">
        <v>306</v>
      </c>
      <c r="D106" s="5">
        <v>2</v>
      </c>
      <c r="F106" s="69"/>
      <c r="J106" s="5">
        <v>28</v>
      </c>
      <c r="K106" s="2" t="s">
        <v>2037</v>
      </c>
      <c r="P106" s="69"/>
      <c r="Q106" s="5">
        <v>2</v>
      </c>
      <c r="S106" s="5">
        <v>1</v>
      </c>
      <c r="T106" s="5">
        <v>9</v>
      </c>
      <c r="U106" s="69"/>
      <c r="V106" s="70" t="s">
        <v>885</v>
      </c>
      <c r="W106" s="70" t="s">
        <v>879</v>
      </c>
      <c r="X106" s="70" t="s">
        <v>884</v>
      </c>
      <c r="Y106" s="70" t="s">
        <v>12</v>
      </c>
      <c r="Z106" s="70" t="s">
        <v>880</v>
      </c>
      <c r="AA106" s="70" t="s">
        <v>17</v>
      </c>
      <c r="AB106" s="69" t="s">
        <v>881</v>
      </c>
      <c r="AC106" s="69" t="s">
        <v>883</v>
      </c>
      <c r="AD106" s="69"/>
      <c r="AE106" s="69"/>
      <c r="AF106" s="69"/>
      <c r="AG106" s="69"/>
      <c r="AH106" s="69"/>
      <c r="AI106" s="69"/>
      <c r="AJ106" s="69"/>
      <c r="AK106" s="69"/>
      <c r="AL106" s="2" t="str">
        <f t="shared" si="2"/>
        <v>Yes</v>
      </c>
    </row>
    <row r="107" spans="1:38" ht="63" customHeight="1" x14ac:dyDescent="0.25">
      <c r="A107" s="5" t="s">
        <v>558</v>
      </c>
      <c r="B107" s="2" t="s">
        <v>559</v>
      </c>
      <c r="C107" s="5" t="s">
        <v>306</v>
      </c>
      <c r="D107" s="5">
        <v>2</v>
      </c>
      <c r="E107" s="5">
        <v>2000</v>
      </c>
      <c r="F107" s="5">
        <v>2000</v>
      </c>
      <c r="G107" s="5">
        <v>1000</v>
      </c>
      <c r="H107" s="5">
        <v>53</v>
      </c>
      <c r="J107" s="5">
        <v>5</v>
      </c>
      <c r="K107" s="2" t="s">
        <v>560</v>
      </c>
      <c r="L107" s="5">
        <v>100</v>
      </c>
      <c r="M107" s="5">
        <v>0</v>
      </c>
      <c r="N107" s="5">
        <v>0</v>
      </c>
      <c r="O107" s="5">
        <v>0</v>
      </c>
      <c r="P107" s="5">
        <v>0</v>
      </c>
      <c r="U107" s="69"/>
      <c r="V107" s="69"/>
      <c r="W107" s="70" t="s">
        <v>562</v>
      </c>
      <c r="X107" s="70" t="s">
        <v>561</v>
      </c>
      <c r="Y107" s="69" t="s">
        <v>12</v>
      </c>
      <c r="Z107" s="69"/>
      <c r="AA107" s="5" t="s">
        <v>17</v>
      </c>
      <c r="AB107" s="69"/>
      <c r="AC107" s="69" t="s">
        <v>557</v>
      </c>
      <c r="AD107" s="69"/>
      <c r="AE107" s="69"/>
      <c r="AF107" s="69"/>
      <c r="AG107" s="69"/>
      <c r="AH107" s="69"/>
      <c r="AI107" s="69"/>
      <c r="AJ107" s="69"/>
      <c r="AK107" s="69"/>
      <c r="AL107" s="2" t="str">
        <f t="shared" si="2"/>
        <v>No</v>
      </c>
    </row>
    <row r="108" spans="1:38" ht="81.75" customHeight="1" x14ac:dyDescent="0.25">
      <c r="A108" s="5" t="s">
        <v>554</v>
      </c>
      <c r="B108" s="2" t="s">
        <v>590</v>
      </c>
      <c r="C108" s="5" t="s">
        <v>306</v>
      </c>
      <c r="D108" s="5">
        <v>1</v>
      </c>
      <c r="E108" s="5">
        <v>490</v>
      </c>
      <c r="F108" s="5">
        <v>490</v>
      </c>
      <c r="G108" s="5">
        <v>490</v>
      </c>
      <c r="H108" s="5">
        <v>51</v>
      </c>
      <c r="J108" s="5">
        <v>4</v>
      </c>
      <c r="K108" s="2" t="s">
        <v>716</v>
      </c>
      <c r="L108" s="5">
        <v>100</v>
      </c>
      <c r="M108" s="5">
        <v>0</v>
      </c>
      <c r="N108" s="5">
        <v>0</v>
      </c>
      <c r="O108" s="5">
        <v>0</v>
      </c>
      <c r="P108" s="5">
        <v>0</v>
      </c>
      <c r="U108" s="69"/>
      <c r="V108" s="69"/>
      <c r="W108" s="80" t="s">
        <v>717</v>
      </c>
      <c r="X108" s="70" t="s">
        <v>556</v>
      </c>
      <c r="Y108" s="69" t="s">
        <v>12</v>
      </c>
      <c r="Z108" s="70" t="s">
        <v>555</v>
      </c>
      <c r="AA108" s="70" t="s">
        <v>16</v>
      </c>
      <c r="AB108" s="69" t="s">
        <v>1281</v>
      </c>
      <c r="AC108" s="69" t="s">
        <v>718</v>
      </c>
      <c r="AD108" s="69">
        <v>736000</v>
      </c>
      <c r="AE108" s="70" t="s">
        <v>2058</v>
      </c>
      <c r="AF108" s="69">
        <v>34365</v>
      </c>
      <c r="AG108" s="69">
        <v>25026</v>
      </c>
      <c r="AH108" s="69"/>
      <c r="AI108" s="69"/>
      <c r="AJ108" s="69"/>
      <c r="AK108" s="69"/>
      <c r="AL108" s="2" t="str">
        <f t="shared" si="2"/>
        <v>No</v>
      </c>
    </row>
    <row r="109" spans="1:38" ht="390" x14ac:dyDescent="0.25">
      <c r="A109" s="5" t="s">
        <v>788</v>
      </c>
      <c r="B109" s="5" t="s">
        <v>983</v>
      </c>
      <c r="C109" s="5" t="s">
        <v>310</v>
      </c>
      <c r="D109" s="5">
        <v>1</v>
      </c>
      <c r="E109" s="5">
        <v>52</v>
      </c>
      <c r="F109" s="5">
        <v>52</v>
      </c>
      <c r="G109" s="5">
        <v>52</v>
      </c>
      <c r="J109" s="5">
        <v>45</v>
      </c>
      <c r="K109" s="2" t="s">
        <v>989</v>
      </c>
      <c r="L109" s="5">
        <v>0</v>
      </c>
      <c r="M109" s="5">
        <v>0</v>
      </c>
      <c r="N109" s="5">
        <v>0</v>
      </c>
      <c r="O109" s="5">
        <v>100</v>
      </c>
      <c r="P109" s="5">
        <v>0</v>
      </c>
      <c r="T109" s="5">
        <v>1</v>
      </c>
      <c r="U109" s="69"/>
      <c r="V109" s="70" t="s">
        <v>984</v>
      </c>
      <c r="W109" s="70" t="s">
        <v>985</v>
      </c>
      <c r="X109" s="70" t="s">
        <v>988</v>
      </c>
      <c r="Y109" s="70" t="s">
        <v>12</v>
      </c>
      <c r="Z109" s="70" t="s">
        <v>986</v>
      </c>
      <c r="AA109" s="70" t="s">
        <v>17</v>
      </c>
      <c r="AB109" s="70" t="s">
        <v>987</v>
      </c>
      <c r="AC109" s="69" t="s">
        <v>982</v>
      </c>
      <c r="AD109" s="69">
        <v>300000</v>
      </c>
      <c r="AE109" s="69"/>
      <c r="AF109" s="69">
        <v>7000</v>
      </c>
      <c r="AG109" s="69">
        <v>7000</v>
      </c>
      <c r="AH109" s="69"/>
      <c r="AI109" s="69"/>
      <c r="AJ109" s="69"/>
      <c r="AK109" s="69"/>
      <c r="AL109" s="2" t="str">
        <f t="shared" si="2"/>
        <v>Yes</v>
      </c>
    </row>
    <row r="110" spans="1:38" ht="51.75" customHeight="1" x14ac:dyDescent="0.25">
      <c r="A110" s="2" t="s">
        <v>931</v>
      </c>
      <c r="B110" s="5" t="s">
        <v>926</v>
      </c>
      <c r="C110" s="2" t="s">
        <v>308</v>
      </c>
      <c r="D110" s="5">
        <v>1</v>
      </c>
      <c r="E110" s="5">
        <v>110</v>
      </c>
      <c r="F110" s="5">
        <v>110</v>
      </c>
      <c r="G110" s="5">
        <v>110</v>
      </c>
      <c r="H110" s="5">
        <v>35</v>
      </c>
      <c r="J110" s="5">
        <v>31</v>
      </c>
      <c r="K110" s="2" t="s">
        <v>933</v>
      </c>
      <c r="L110" s="5">
        <v>60</v>
      </c>
      <c r="M110" s="5">
        <v>0</v>
      </c>
      <c r="N110" s="5">
        <v>0</v>
      </c>
      <c r="O110" s="5">
        <v>40</v>
      </c>
      <c r="P110" s="5">
        <v>0</v>
      </c>
      <c r="Q110" s="5">
        <v>1</v>
      </c>
      <c r="T110" s="5">
        <v>1</v>
      </c>
      <c r="U110" s="69"/>
      <c r="V110" s="70" t="s">
        <v>809</v>
      </c>
      <c r="W110" s="70" t="s">
        <v>929</v>
      </c>
      <c r="X110" s="70" t="s">
        <v>928</v>
      </c>
      <c r="Y110" s="69" t="s">
        <v>12</v>
      </c>
      <c r="Z110" s="70" t="s">
        <v>932</v>
      </c>
      <c r="AA110" s="70" t="s">
        <v>16</v>
      </c>
      <c r="AB110" s="70" t="s">
        <v>910</v>
      </c>
      <c r="AC110" s="72" t="s">
        <v>930</v>
      </c>
      <c r="AD110" s="69">
        <v>150000</v>
      </c>
      <c r="AE110" s="69" t="s">
        <v>927</v>
      </c>
      <c r="AF110" s="69">
        <v>8000</v>
      </c>
      <c r="AG110" s="69"/>
      <c r="AH110" s="69"/>
      <c r="AI110" s="69"/>
      <c r="AJ110" s="69"/>
      <c r="AK110" s="69"/>
      <c r="AL110" s="2" t="str">
        <f t="shared" si="2"/>
        <v>Yes</v>
      </c>
    </row>
    <row r="111" spans="1:38" ht="61.5" customHeight="1" x14ac:dyDescent="0.25">
      <c r="A111" s="2" t="s">
        <v>791</v>
      </c>
      <c r="B111" s="5" t="s">
        <v>1011</v>
      </c>
      <c r="C111" s="5" t="s">
        <v>306</v>
      </c>
      <c r="D111" s="5">
        <v>1</v>
      </c>
      <c r="E111" s="5">
        <v>300</v>
      </c>
      <c r="F111" s="5">
        <v>300</v>
      </c>
      <c r="G111" s="5">
        <v>300</v>
      </c>
      <c r="H111" s="5">
        <v>40</v>
      </c>
      <c r="J111" s="5">
        <v>8</v>
      </c>
      <c r="K111" s="2" t="s">
        <v>1266</v>
      </c>
      <c r="L111" s="5">
        <v>0</v>
      </c>
      <c r="M111" s="5">
        <v>0</v>
      </c>
      <c r="N111" s="5">
        <v>0</v>
      </c>
      <c r="O111" s="5">
        <v>66.650000000000006</v>
      </c>
      <c r="P111" s="5">
        <v>33.35</v>
      </c>
      <c r="S111" s="5">
        <v>1</v>
      </c>
      <c r="T111" s="5">
        <v>1</v>
      </c>
      <c r="U111" s="5">
        <v>1</v>
      </c>
      <c r="V111" s="70" t="s">
        <v>1013</v>
      </c>
      <c r="W111" s="70" t="s">
        <v>1018</v>
      </c>
      <c r="X111" s="70" t="s">
        <v>1014</v>
      </c>
      <c r="Y111" s="70" t="s">
        <v>1012</v>
      </c>
      <c r="Z111" s="70" t="s">
        <v>1017</v>
      </c>
      <c r="AA111" s="70" t="s">
        <v>16</v>
      </c>
      <c r="AB111" s="70" t="s">
        <v>1015</v>
      </c>
      <c r="AC111" s="69" t="s">
        <v>1016</v>
      </c>
      <c r="AD111" s="69">
        <v>350000</v>
      </c>
      <c r="AE111" s="70" t="s">
        <v>1177</v>
      </c>
      <c r="AF111" s="69">
        <v>29000</v>
      </c>
      <c r="AG111" s="69">
        <v>24000</v>
      </c>
      <c r="AH111" s="69"/>
      <c r="AI111" s="69"/>
      <c r="AJ111" s="69"/>
      <c r="AK111" s="69"/>
      <c r="AL111" s="2" t="str">
        <f t="shared" si="2"/>
        <v>Yes</v>
      </c>
    </row>
    <row r="112" spans="1:38" ht="34.5" customHeight="1" x14ac:dyDescent="0.25">
      <c r="A112" s="70" t="s">
        <v>1676</v>
      </c>
      <c r="B112" s="5" t="s">
        <v>1672</v>
      </c>
      <c r="C112" s="5" t="s">
        <v>306</v>
      </c>
      <c r="D112" s="5">
        <v>1</v>
      </c>
      <c r="E112" s="5">
        <v>9</v>
      </c>
      <c r="F112" s="5">
        <v>9</v>
      </c>
      <c r="G112" s="5">
        <v>9</v>
      </c>
      <c r="J112" s="5">
        <v>6</v>
      </c>
      <c r="K112" s="2" t="s">
        <v>1679</v>
      </c>
      <c r="L112" s="5">
        <v>0</v>
      </c>
      <c r="M112" s="5">
        <v>0</v>
      </c>
      <c r="N112" s="5">
        <v>0</v>
      </c>
      <c r="O112" s="5">
        <v>100</v>
      </c>
      <c r="P112" s="5">
        <v>0</v>
      </c>
      <c r="T112" s="5">
        <v>1</v>
      </c>
      <c r="U112" s="69"/>
      <c r="V112" s="70" t="s">
        <v>1677</v>
      </c>
      <c r="W112" s="70" t="s">
        <v>234</v>
      </c>
      <c r="X112" s="70" t="s">
        <v>1675</v>
      </c>
      <c r="Y112" s="70" t="s">
        <v>12</v>
      </c>
      <c r="Z112" s="70" t="s">
        <v>729</v>
      </c>
      <c r="AA112" s="70" t="s">
        <v>16</v>
      </c>
      <c r="AB112" s="69"/>
      <c r="AC112" s="72" t="s">
        <v>1678</v>
      </c>
      <c r="AD112" s="69"/>
      <c r="AE112" s="69"/>
      <c r="AF112" s="69"/>
      <c r="AG112" s="70" t="s">
        <v>1674</v>
      </c>
      <c r="AH112" s="69"/>
      <c r="AI112" s="69"/>
      <c r="AJ112" s="69"/>
      <c r="AK112" s="69"/>
      <c r="AL112" s="2" t="str">
        <f t="shared" si="2"/>
        <v>Yes</v>
      </c>
    </row>
    <row r="113" spans="1:38" ht="58.5" customHeight="1" x14ac:dyDescent="0.25">
      <c r="A113" s="5" t="s">
        <v>777</v>
      </c>
      <c r="B113" s="5" t="s">
        <v>848</v>
      </c>
      <c r="C113" s="2" t="s">
        <v>308</v>
      </c>
      <c r="D113" s="5">
        <v>1</v>
      </c>
      <c r="E113" s="5">
        <v>21</v>
      </c>
      <c r="F113" s="5">
        <v>21</v>
      </c>
      <c r="G113" s="5">
        <v>21</v>
      </c>
      <c r="J113" s="5">
        <v>20</v>
      </c>
      <c r="K113" s="2" t="s">
        <v>852</v>
      </c>
      <c r="L113" s="5">
        <v>0</v>
      </c>
      <c r="M113" s="5">
        <v>0</v>
      </c>
      <c r="N113" s="5">
        <v>0</v>
      </c>
      <c r="O113" s="5">
        <v>100</v>
      </c>
      <c r="P113" s="5">
        <v>0</v>
      </c>
      <c r="U113" s="69"/>
      <c r="V113" s="69"/>
      <c r="W113" s="70" t="s">
        <v>534</v>
      </c>
      <c r="X113" s="69"/>
      <c r="Y113" s="69" t="s">
        <v>12</v>
      </c>
      <c r="Z113" s="69"/>
      <c r="AA113" s="70" t="s">
        <v>16</v>
      </c>
      <c r="AB113" s="70" t="s">
        <v>849</v>
      </c>
      <c r="AC113" s="73" t="s">
        <v>851</v>
      </c>
      <c r="AD113" s="70">
        <v>36000</v>
      </c>
      <c r="AE113" s="69" t="s">
        <v>850</v>
      </c>
      <c r="AF113" s="69">
        <v>3000</v>
      </c>
      <c r="AG113" s="69">
        <v>1800</v>
      </c>
      <c r="AH113" s="69"/>
      <c r="AI113" s="69"/>
      <c r="AJ113" s="69"/>
      <c r="AK113" s="69"/>
      <c r="AL113" s="2" t="str">
        <f t="shared" si="2"/>
        <v>Yes</v>
      </c>
    </row>
    <row r="114" spans="1:38" ht="48.75" customHeight="1" x14ac:dyDescent="0.25">
      <c r="A114" s="2" t="s">
        <v>584</v>
      </c>
      <c r="B114" s="2" t="s">
        <v>552</v>
      </c>
      <c r="C114" s="2" t="s">
        <v>309</v>
      </c>
      <c r="D114" s="5">
        <v>1</v>
      </c>
      <c r="E114" s="5">
        <v>98</v>
      </c>
      <c r="F114" s="5">
        <v>98</v>
      </c>
      <c r="G114" s="5">
        <v>98</v>
      </c>
      <c r="H114" s="5">
        <v>27</v>
      </c>
      <c r="J114" s="5">
        <v>5</v>
      </c>
      <c r="K114" s="2" t="s">
        <v>551</v>
      </c>
      <c r="P114" s="69"/>
      <c r="U114" s="69"/>
      <c r="V114" s="70" t="s">
        <v>550</v>
      </c>
      <c r="W114" s="70" t="s">
        <v>582</v>
      </c>
      <c r="X114" s="70" t="s">
        <v>583</v>
      </c>
      <c r="Y114" s="70" t="s">
        <v>12</v>
      </c>
      <c r="Z114" s="70" t="s">
        <v>521</v>
      </c>
      <c r="AA114" s="5" t="s">
        <v>17</v>
      </c>
      <c r="AB114" s="69" t="s">
        <v>1283</v>
      </c>
      <c r="AC114" s="72" t="s">
        <v>553</v>
      </c>
      <c r="AD114" s="69">
        <v>129000</v>
      </c>
      <c r="AE114" s="70" t="s">
        <v>2056</v>
      </c>
      <c r="AF114" s="69">
        <v>15000</v>
      </c>
      <c r="AG114" s="69">
        <v>7908</v>
      </c>
      <c r="AH114" s="69"/>
      <c r="AI114" s="69"/>
      <c r="AJ114" s="69"/>
      <c r="AK114" s="69"/>
      <c r="AL114" s="2" t="str">
        <f t="shared" si="2"/>
        <v>No</v>
      </c>
    </row>
    <row r="115" spans="1:38" ht="34.5" customHeight="1" x14ac:dyDescent="0.25">
      <c r="A115" s="5" t="s">
        <v>858</v>
      </c>
      <c r="B115" s="2" t="s">
        <v>857</v>
      </c>
      <c r="C115" s="5" t="s">
        <v>306</v>
      </c>
      <c r="F115" s="69"/>
      <c r="K115" s="2" t="s">
        <v>861</v>
      </c>
      <c r="P115" s="69"/>
      <c r="U115" s="69"/>
      <c r="V115" s="69"/>
      <c r="W115" s="70" t="s">
        <v>859</v>
      </c>
      <c r="X115" s="69"/>
      <c r="Y115" s="69" t="s">
        <v>12</v>
      </c>
      <c r="Z115" s="70" t="s">
        <v>45</v>
      </c>
      <c r="AA115" s="70" t="s">
        <v>17</v>
      </c>
      <c r="AB115" s="69"/>
      <c r="AC115" s="72" t="s">
        <v>856</v>
      </c>
      <c r="AD115" s="69"/>
      <c r="AE115" s="69"/>
      <c r="AF115" s="69"/>
      <c r="AG115" s="69"/>
      <c r="AH115" s="69"/>
      <c r="AI115" s="69"/>
      <c r="AJ115" s="69"/>
      <c r="AK115" s="69"/>
      <c r="AL115" s="2" t="str">
        <f t="shared" si="2"/>
        <v>No</v>
      </c>
    </row>
    <row r="116" spans="1:38" ht="90" x14ac:dyDescent="0.25">
      <c r="A116" s="2" t="s">
        <v>220</v>
      </c>
      <c r="B116" s="2" t="s">
        <v>222</v>
      </c>
      <c r="C116" s="70" t="s">
        <v>306</v>
      </c>
      <c r="D116" s="70">
        <v>41</v>
      </c>
      <c r="E116" s="2">
        <v>19575</v>
      </c>
      <c r="F116" s="70">
        <f>E116*0.8</f>
        <v>15660</v>
      </c>
      <c r="G116" s="2">
        <f>E116/D116</f>
        <v>477.4390243902439</v>
      </c>
      <c r="H116" s="2">
        <v>52</v>
      </c>
      <c r="I116" s="2"/>
      <c r="J116" s="2"/>
      <c r="K116" s="2" t="s">
        <v>503</v>
      </c>
      <c r="L116" s="70"/>
      <c r="M116" s="70"/>
      <c r="N116" s="70"/>
      <c r="O116" s="70"/>
      <c r="P116" s="70"/>
      <c r="Q116" s="70"/>
      <c r="R116" s="70"/>
      <c r="S116" s="70"/>
      <c r="T116" s="70"/>
      <c r="U116" s="70"/>
      <c r="V116" s="2"/>
      <c r="W116" s="2" t="s">
        <v>221</v>
      </c>
      <c r="X116" s="2" t="s">
        <v>502</v>
      </c>
      <c r="Y116" s="2" t="s">
        <v>279</v>
      </c>
      <c r="Z116" s="2"/>
      <c r="AA116" s="2" t="s">
        <v>17</v>
      </c>
      <c r="AB116" s="2" t="s">
        <v>223</v>
      </c>
      <c r="AC116" s="5" t="s">
        <v>501</v>
      </c>
      <c r="AD116" s="2"/>
      <c r="AE116" s="70"/>
      <c r="AF116" s="70"/>
      <c r="AG116" s="70"/>
      <c r="AH116" s="70"/>
      <c r="AI116" s="70"/>
      <c r="AJ116" s="70"/>
      <c r="AK116" s="70"/>
      <c r="AL116" s="2" t="str">
        <f t="shared" si="2"/>
        <v>Yes</v>
      </c>
    </row>
    <row r="117" spans="1:38" ht="270" x14ac:dyDescent="0.25">
      <c r="A117" s="2" t="s">
        <v>171</v>
      </c>
      <c r="B117" s="2" t="s">
        <v>167</v>
      </c>
      <c r="C117" s="5" t="s">
        <v>308</v>
      </c>
      <c r="D117" s="2">
        <v>1</v>
      </c>
      <c r="E117" s="2">
        <v>39</v>
      </c>
      <c r="F117" s="2">
        <v>39</v>
      </c>
      <c r="G117" s="2">
        <v>39</v>
      </c>
      <c r="H117" s="2"/>
      <c r="I117" s="2"/>
      <c r="J117" s="2">
        <v>46</v>
      </c>
      <c r="K117" s="2" t="s">
        <v>173</v>
      </c>
      <c r="L117" s="70"/>
      <c r="M117" s="70"/>
      <c r="N117" s="70"/>
      <c r="O117" s="70"/>
      <c r="P117" s="70"/>
      <c r="Q117" s="70"/>
      <c r="R117" s="70"/>
      <c r="S117" s="70"/>
      <c r="T117" s="70"/>
      <c r="U117" s="70"/>
      <c r="V117" s="2" t="s">
        <v>810</v>
      </c>
      <c r="W117" s="2" t="s">
        <v>938</v>
      </c>
      <c r="X117" s="2" t="s">
        <v>172</v>
      </c>
      <c r="Y117" s="2" t="s">
        <v>12</v>
      </c>
      <c r="Z117" s="2" t="s">
        <v>880</v>
      </c>
      <c r="AA117" s="70" t="s">
        <v>16</v>
      </c>
      <c r="AB117" s="2"/>
      <c r="AC117" s="5" t="s">
        <v>939</v>
      </c>
      <c r="AD117" s="2">
        <v>79000</v>
      </c>
      <c r="AE117" s="70" t="s">
        <v>937</v>
      </c>
      <c r="AF117" s="70">
        <v>4220</v>
      </c>
      <c r="AG117" s="70">
        <v>6695</v>
      </c>
      <c r="AH117" s="70"/>
      <c r="AI117" s="70"/>
      <c r="AJ117" s="70"/>
      <c r="AK117" s="70"/>
      <c r="AL117" s="2" t="str">
        <f t="shared" si="2"/>
        <v>Yes</v>
      </c>
    </row>
    <row r="118" spans="1:38" ht="33" customHeight="1" x14ac:dyDescent="0.25">
      <c r="A118" s="69" t="s">
        <v>1484</v>
      </c>
      <c r="B118" s="70" t="s">
        <v>1412</v>
      </c>
      <c r="C118" s="5" t="s">
        <v>306</v>
      </c>
      <c r="D118" s="69">
        <v>1</v>
      </c>
      <c r="E118" s="69">
        <v>304.60000000000002</v>
      </c>
      <c r="F118" s="69">
        <v>304.60000000000002</v>
      </c>
      <c r="G118" s="69">
        <v>304.60000000000002</v>
      </c>
      <c r="J118" s="69">
        <v>5</v>
      </c>
      <c r="K118" s="75" t="s">
        <v>1485</v>
      </c>
      <c r="L118" s="75"/>
      <c r="P118" s="69"/>
      <c r="U118" s="69"/>
      <c r="V118" s="69"/>
      <c r="W118" s="69"/>
      <c r="X118" s="69"/>
      <c r="Y118" s="69" t="s">
        <v>12</v>
      </c>
      <c r="Z118" s="70" t="s">
        <v>578</v>
      </c>
      <c r="AA118" s="70" t="s">
        <v>16</v>
      </c>
      <c r="AB118" s="69"/>
      <c r="AC118" s="69" t="s">
        <v>1486</v>
      </c>
      <c r="AD118" s="69"/>
      <c r="AE118" s="69"/>
      <c r="AF118" s="69"/>
      <c r="AG118" s="69"/>
      <c r="AH118" s="69"/>
      <c r="AI118" s="69">
        <v>304.60000000000002</v>
      </c>
      <c r="AJ118" s="69">
        <v>4</v>
      </c>
      <c r="AK118" s="69">
        <v>5</v>
      </c>
      <c r="AL118" s="2" t="str">
        <f t="shared" si="2"/>
        <v>Yes</v>
      </c>
    </row>
    <row r="119" spans="1:38" ht="45" customHeight="1" x14ac:dyDescent="0.25">
      <c r="A119" s="2" t="s">
        <v>633</v>
      </c>
      <c r="B119" s="2" t="s">
        <v>634</v>
      </c>
      <c r="C119" s="5" t="s">
        <v>306</v>
      </c>
      <c r="D119" s="5">
        <v>1</v>
      </c>
      <c r="E119" s="5">
        <v>1000</v>
      </c>
      <c r="F119" s="5">
        <v>1000</v>
      </c>
      <c r="G119" s="5">
        <v>1000</v>
      </c>
      <c r="J119" s="5">
        <v>4</v>
      </c>
      <c r="K119" s="2" t="s">
        <v>637</v>
      </c>
      <c r="L119" s="5">
        <v>0</v>
      </c>
      <c r="M119" s="5">
        <v>0</v>
      </c>
      <c r="N119" s="5">
        <v>100</v>
      </c>
      <c r="O119" s="5">
        <v>0</v>
      </c>
      <c r="P119" s="5">
        <v>0</v>
      </c>
      <c r="S119" s="5">
        <v>2</v>
      </c>
      <c r="U119" s="69"/>
      <c r="V119" s="70" t="s">
        <v>688</v>
      </c>
      <c r="W119" s="70" t="s">
        <v>635</v>
      </c>
      <c r="X119" s="70" t="s">
        <v>636</v>
      </c>
      <c r="Y119" s="69" t="s">
        <v>12</v>
      </c>
      <c r="Z119" s="69"/>
      <c r="AA119" s="69" t="s">
        <v>16</v>
      </c>
      <c r="AB119" s="69" t="s">
        <v>638</v>
      </c>
      <c r="AC119" s="69" t="s">
        <v>639</v>
      </c>
      <c r="AD119" s="69"/>
      <c r="AE119" s="69"/>
      <c r="AF119" s="69"/>
      <c r="AG119" s="69"/>
      <c r="AH119" s="69"/>
      <c r="AI119" s="69"/>
      <c r="AJ119" s="69"/>
      <c r="AK119" s="69"/>
      <c r="AL119" s="2" t="str">
        <f t="shared" si="2"/>
        <v>No</v>
      </c>
    </row>
    <row r="120" spans="1:38" ht="70.5" customHeight="1" x14ac:dyDescent="0.25">
      <c r="A120" s="2" t="s">
        <v>543</v>
      </c>
      <c r="B120" s="5" t="s">
        <v>544</v>
      </c>
      <c r="C120" s="5" t="s">
        <v>306</v>
      </c>
      <c r="D120" s="5">
        <v>1</v>
      </c>
      <c r="E120" s="5">
        <v>1000</v>
      </c>
      <c r="F120" s="5">
        <v>1000</v>
      </c>
      <c r="G120" s="5">
        <v>1000</v>
      </c>
      <c r="J120" s="5">
        <v>6</v>
      </c>
      <c r="K120" s="2" t="s">
        <v>547</v>
      </c>
      <c r="L120" s="5">
        <v>0</v>
      </c>
      <c r="M120" s="5">
        <v>0</v>
      </c>
      <c r="N120" s="5">
        <v>0</v>
      </c>
      <c r="O120" s="5">
        <v>0</v>
      </c>
      <c r="P120" s="5">
        <v>100</v>
      </c>
      <c r="U120" s="69">
        <v>2</v>
      </c>
      <c r="V120" s="70" t="s">
        <v>545</v>
      </c>
      <c r="W120" s="81" t="s">
        <v>548</v>
      </c>
      <c r="X120" s="70" t="s">
        <v>549</v>
      </c>
      <c r="Y120" s="69" t="s">
        <v>12</v>
      </c>
      <c r="Z120" s="69"/>
      <c r="AA120" s="5" t="s">
        <v>16</v>
      </c>
      <c r="AB120" s="69"/>
      <c r="AC120" s="69" t="s">
        <v>546</v>
      </c>
      <c r="AD120" s="69"/>
      <c r="AE120" s="69"/>
      <c r="AF120" s="69"/>
      <c r="AG120" s="69"/>
      <c r="AH120" s="69"/>
      <c r="AI120" s="69"/>
      <c r="AJ120" s="69"/>
      <c r="AK120" s="69"/>
      <c r="AL120" s="2" t="str">
        <f t="shared" si="2"/>
        <v>No</v>
      </c>
    </row>
    <row r="121" spans="1:38" ht="63.75" customHeight="1" x14ac:dyDescent="0.25">
      <c r="A121" s="5" t="s">
        <v>1136</v>
      </c>
      <c r="B121" s="2" t="s">
        <v>1137</v>
      </c>
      <c r="C121" s="5" t="s">
        <v>306</v>
      </c>
      <c r="D121" s="5">
        <v>1</v>
      </c>
      <c r="E121" s="5">
        <v>220</v>
      </c>
      <c r="F121" s="5">
        <v>220</v>
      </c>
      <c r="G121" s="5">
        <v>220</v>
      </c>
      <c r="J121" s="5">
        <v>4</v>
      </c>
      <c r="K121" s="2" t="s">
        <v>1244</v>
      </c>
      <c r="L121" s="5">
        <v>100</v>
      </c>
      <c r="M121" s="5">
        <v>0</v>
      </c>
      <c r="N121" s="5">
        <v>0</v>
      </c>
      <c r="O121" s="5">
        <v>0</v>
      </c>
      <c r="P121" s="5">
        <v>0</v>
      </c>
      <c r="Q121" s="5">
        <v>1</v>
      </c>
      <c r="U121" s="69"/>
      <c r="V121" s="70" t="s">
        <v>1087</v>
      </c>
      <c r="W121" s="70" t="s">
        <v>1211</v>
      </c>
      <c r="X121" s="69"/>
      <c r="Y121" s="70" t="s">
        <v>12</v>
      </c>
      <c r="Z121" s="70" t="s">
        <v>729</v>
      </c>
      <c r="AA121" s="70" t="s">
        <v>17</v>
      </c>
      <c r="AB121" s="69"/>
      <c r="AC121" s="69" t="s">
        <v>1089</v>
      </c>
      <c r="AD121" s="69"/>
      <c r="AE121" s="69" t="s">
        <v>1138</v>
      </c>
      <c r="AF121" s="69"/>
      <c r="AG121" s="69"/>
      <c r="AH121" s="69"/>
      <c r="AI121" s="69"/>
      <c r="AJ121" s="69"/>
      <c r="AK121" s="69"/>
      <c r="AL121" s="2" t="str">
        <f t="shared" si="2"/>
        <v>Yes</v>
      </c>
    </row>
    <row r="122" spans="1:38" ht="69" customHeight="1" x14ac:dyDescent="0.25">
      <c r="A122" s="2" t="s">
        <v>1185</v>
      </c>
      <c r="B122" s="5" t="s">
        <v>1186</v>
      </c>
      <c r="C122" s="5" t="s">
        <v>306</v>
      </c>
      <c r="D122" s="5">
        <v>1</v>
      </c>
      <c r="E122" s="5">
        <v>182</v>
      </c>
      <c r="F122" s="5">
        <v>182</v>
      </c>
      <c r="G122" s="5">
        <v>182</v>
      </c>
      <c r="J122" s="5">
        <v>10</v>
      </c>
      <c r="K122" s="2" t="s">
        <v>1270</v>
      </c>
      <c r="L122" s="5">
        <v>45.1</v>
      </c>
      <c r="M122" s="5">
        <v>0</v>
      </c>
      <c r="N122" s="5">
        <v>54.9</v>
      </c>
      <c r="O122" s="5">
        <v>0</v>
      </c>
      <c r="P122" s="5">
        <v>0</v>
      </c>
      <c r="Q122" s="5">
        <v>1</v>
      </c>
      <c r="S122" s="5">
        <v>1</v>
      </c>
      <c r="U122" s="69"/>
      <c r="V122" s="70" t="s">
        <v>1087</v>
      </c>
      <c r="W122" s="70" t="s">
        <v>1213</v>
      </c>
      <c r="X122" s="69"/>
      <c r="Y122" s="70" t="s">
        <v>12</v>
      </c>
      <c r="Z122" s="70" t="s">
        <v>681</v>
      </c>
      <c r="AA122" s="70" t="s">
        <v>17</v>
      </c>
      <c r="AB122" s="69"/>
      <c r="AC122" s="69" t="s">
        <v>1089</v>
      </c>
      <c r="AD122" s="69"/>
      <c r="AE122" s="69" t="s">
        <v>1187</v>
      </c>
      <c r="AF122" s="69"/>
      <c r="AG122" s="69"/>
      <c r="AH122" s="69"/>
      <c r="AI122" s="69"/>
      <c r="AJ122" s="69"/>
      <c r="AK122" s="69"/>
      <c r="AL122" s="2" t="str">
        <f t="shared" si="2"/>
        <v>Yes</v>
      </c>
    </row>
    <row r="123" spans="1:38" ht="50.25" customHeight="1" x14ac:dyDescent="0.25">
      <c r="A123" s="5" t="s">
        <v>1119</v>
      </c>
      <c r="B123" s="5" t="s">
        <v>1119</v>
      </c>
      <c r="C123" s="5" t="s">
        <v>306</v>
      </c>
      <c r="D123" s="5">
        <v>1</v>
      </c>
      <c r="E123" s="5">
        <v>250</v>
      </c>
      <c r="F123" s="5">
        <v>250</v>
      </c>
      <c r="G123" s="5">
        <v>250</v>
      </c>
      <c r="J123" s="5">
        <v>7</v>
      </c>
      <c r="K123" s="2" t="s">
        <v>1237</v>
      </c>
      <c r="L123" s="5">
        <v>100</v>
      </c>
      <c r="M123" s="5">
        <v>0</v>
      </c>
      <c r="N123" s="5">
        <v>0</v>
      </c>
      <c r="O123" s="5">
        <v>0</v>
      </c>
      <c r="P123" s="5">
        <v>0</v>
      </c>
      <c r="Q123" s="5">
        <v>2</v>
      </c>
      <c r="U123" s="69"/>
      <c r="V123" s="70" t="s">
        <v>1087</v>
      </c>
      <c r="W123" s="70" t="s">
        <v>1212</v>
      </c>
      <c r="X123" s="69"/>
      <c r="Y123" s="70" t="s">
        <v>12</v>
      </c>
      <c r="Z123" s="69"/>
      <c r="AA123" s="70" t="s">
        <v>17</v>
      </c>
      <c r="AB123" s="69"/>
      <c r="AC123" s="69" t="s">
        <v>1089</v>
      </c>
      <c r="AD123" s="69"/>
      <c r="AE123" s="69" t="s">
        <v>1120</v>
      </c>
      <c r="AF123" s="69"/>
      <c r="AG123" s="69"/>
      <c r="AH123" s="69"/>
      <c r="AI123" s="69"/>
      <c r="AJ123" s="69"/>
      <c r="AK123" s="69"/>
      <c r="AL123" s="2" t="str">
        <f t="shared" si="2"/>
        <v>Yes</v>
      </c>
    </row>
    <row r="124" spans="1:38" ht="78" customHeight="1" x14ac:dyDescent="0.25">
      <c r="A124" s="70" t="s">
        <v>1545</v>
      </c>
      <c r="B124" s="70" t="s">
        <v>1438</v>
      </c>
      <c r="C124" s="75" t="s">
        <v>1297</v>
      </c>
      <c r="D124" s="69">
        <v>1</v>
      </c>
      <c r="E124" s="69">
        <v>66.8</v>
      </c>
      <c r="F124" s="69">
        <v>66.8</v>
      </c>
      <c r="G124" s="69">
        <v>66.8</v>
      </c>
      <c r="I124" s="5">
        <v>36</v>
      </c>
      <c r="J124" s="69">
        <v>34</v>
      </c>
      <c r="K124" s="75" t="s">
        <v>1543</v>
      </c>
      <c r="L124" s="75">
        <v>100</v>
      </c>
      <c r="M124" s="5">
        <v>0</v>
      </c>
      <c r="N124" s="5">
        <v>0</v>
      </c>
      <c r="O124" s="5">
        <v>0</v>
      </c>
      <c r="P124" s="5">
        <v>0</v>
      </c>
      <c r="Q124" s="5">
        <v>1</v>
      </c>
      <c r="U124" s="69"/>
      <c r="V124" s="70" t="s">
        <v>1540</v>
      </c>
      <c r="W124" s="70" t="s">
        <v>1539</v>
      </c>
      <c r="X124" s="70" t="s">
        <v>1541</v>
      </c>
      <c r="Y124" s="69" t="s">
        <v>153</v>
      </c>
      <c r="Z124" s="69"/>
      <c r="AA124" s="70" t="s">
        <v>16</v>
      </c>
      <c r="AB124" s="69" t="s">
        <v>1542</v>
      </c>
      <c r="AC124" s="69" t="s">
        <v>1544</v>
      </c>
      <c r="AD124" s="69">
        <v>145000</v>
      </c>
      <c r="AE124" s="69"/>
      <c r="AF124" s="69"/>
      <c r="AG124" s="69"/>
      <c r="AH124" s="69"/>
      <c r="AI124" s="69">
        <v>66.8</v>
      </c>
      <c r="AJ124" s="69">
        <v>1</v>
      </c>
      <c r="AK124" s="69">
        <v>30</v>
      </c>
      <c r="AL124" s="2" t="str">
        <f t="shared" si="2"/>
        <v>Yes</v>
      </c>
    </row>
    <row r="125" spans="1:38" ht="69" customHeight="1" x14ac:dyDescent="0.25">
      <c r="A125" s="70" t="s">
        <v>1381</v>
      </c>
      <c r="B125" s="5" t="s">
        <v>1985</v>
      </c>
      <c r="C125" s="5" t="s">
        <v>306</v>
      </c>
      <c r="F125" s="69"/>
      <c r="K125" s="2" t="s">
        <v>1987</v>
      </c>
      <c r="L125" s="5">
        <v>100</v>
      </c>
      <c r="M125" s="5">
        <v>0</v>
      </c>
      <c r="N125" s="5">
        <v>0</v>
      </c>
      <c r="O125" s="5">
        <v>0</v>
      </c>
      <c r="P125" s="5">
        <v>0</v>
      </c>
      <c r="Q125" s="5">
        <v>4</v>
      </c>
      <c r="U125" s="69"/>
      <c r="V125" s="70" t="s">
        <v>550</v>
      </c>
      <c r="W125" s="70" t="s">
        <v>1382</v>
      </c>
      <c r="X125" s="70" t="s">
        <v>362</v>
      </c>
      <c r="Y125" s="69"/>
      <c r="Z125" s="70" t="s">
        <v>729</v>
      </c>
      <c r="AA125" s="70" t="s">
        <v>16</v>
      </c>
      <c r="AB125" s="69"/>
      <c r="AC125" s="69" t="s">
        <v>1986</v>
      </c>
      <c r="AD125" s="69"/>
      <c r="AE125" s="69"/>
      <c r="AF125" s="69"/>
      <c r="AG125" s="69"/>
      <c r="AH125" s="69"/>
      <c r="AI125" s="69"/>
      <c r="AJ125" s="69"/>
      <c r="AK125" s="69"/>
      <c r="AL125" s="2" t="str">
        <f t="shared" si="2"/>
        <v>Yes</v>
      </c>
    </row>
    <row r="126" spans="1:38" ht="33.75" customHeight="1" x14ac:dyDescent="0.25">
      <c r="A126" s="70" t="s">
        <v>1379</v>
      </c>
      <c r="B126" s="2" t="s">
        <v>1980</v>
      </c>
      <c r="C126" s="5" t="s">
        <v>306</v>
      </c>
      <c r="D126" s="5">
        <v>3</v>
      </c>
      <c r="F126" s="69"/>
      <c r="J126" s="5">
        <v>16</v>
      </c>
      <c r="K126" s="2" t="s">
        <v>1981</v>
      </c>
      <c r="P126" s="69"/>
      <c r="U126" s="69"/>
      <c r="V126" s="70" t="s">
        <v>1891</v>
      </c>
      <c r="W126" s="70" t="s">
        <v>1723</v>
      </c>
      <c r="X126" s="70" t="s">
        <v>1888</v>
      </c>
      <c r="Y126" s="69"/>
      <c r="Z126" s="70" t="s">
        <v>517</v>
      </c>
      <c r="AA126" s="70" t="s">
        <v>16</v>
      </c>
      <c r="AB126" s="69"/>
      <c r="AC126" s="69" t="s">
        <v>1979</v>
      </c>
      <c r="AD126" s="69"/>
      <c r="AE126" s="69"/>
      <c r="AF126" s="69"/>
      <c r="AG126" s="69"/>
      <c r="AH126" s="69"/>
      <c r="AI126" s="69"/>
      <c r="AJ126" s="69"/>
      <c r="AK126" s="69"/>
      <c r="AL126" s="2" t="str">
        <f t="shared" si="2"/>
        <v>Yes</v>
      </c>
    </row>
    <row r="127" spans="1:38" ht="73.5" customHeight="1" x14ac:dyDescent="0.25">
      <c r="A127" s="70" t="s">
        <v>1332</v>
      </c>
      <c r="B127" s="2" t="s">
        <v>1749</v>
      </c>
      <c r="C127" s="5" t="s">
        <v>306</v>
      </c>
      <c r="F127" s="69"/>
      <c r="J127" s="5">
        <v>4</v>
      </c>
      <c r="K127" s="2" t="s">
        <v>1752</v>
      </c>
      <c r="P127" s="69"/>
      <c r="U127" s="69"/>
      <c r="V127" s="70" t="s">
        <v>1748</v>
      </c>
      <c r="W127" s="70" t="s">
        <v>1714</v>
      </c>
      <c r="X127" s="70" t="s">
        <v>1750</v>
      </c>
      <c r="Y127" s="69"/>
      <c r="Z127" s="70" t="s">
        <v>1197</v>
      </c>
      <c r="AA127" s="70" t="s">
        <v>16</v>
      </c>
      <c r="AB127" s="69"/>
      <c r="AC127" s="79" t="s">
        <v>1751</v>
      </c>
      <c r="AD127" s="69"/>
      <c r="AE127" s="69"/>
      <c r="AF127" s="69"/>
      <c r="AG127" s="69"/>
      <c r="AH127" s="69"/>
      <c r="AI127" s="69"/>
      <c r="AJ127" s="69"/>
      <c r="AK127" s="69"/>
      <c r="AL127" s="2" t="str">
        <f t="shared" si="2"/>
        <v>No</v>
      </c>
    </row>
    <row r="128" spans="1:38" ht="50.25" customHeight="1" x14ac:dyDescent="0.25">
      <c r="A128" s="70" t="s">
        <v>1498</v>
      </c>
      <c r="B128" s="70" t="s">
        <v>1417</v>
      </c>
      <c r="C128" s="5" t="s">
        <v>306</v>
      </c>
      <c r="D128" s="69">
        <v>1</v>
      </c>
      <c r="E128" s="69">
        <v>75</v>
      </c>
      <c r="F128" s="69">
        <v>75</v>
      </c>
      <c r="G128" s="69">
        <v>75</v>
      </c>
      <c r="J128" s="69">
        <v>8</v>
      </c>
      <c r="K128" s="75" t="s">
        <v>1501</v>
      </c>
      <c r="L128" s="75">
        <v>0</v>
      </c>
      <c r="M128" s="5">
        <v>0</v>
      </c>
      <c r="N128" s="5">
        <v>0</v>
      </c>
      <c r="O128" s="5">
        <v>100</v>
      </c>
      <c r="P128" s="5">
        <v>0</v>
      </c>
      <c r="T128" s="5">
        <v>1</v>
      </c>
      <c r="U128" s="69"/>
      <c r="V128" s="70" t="s">
        <v>1500</v>
      </c>
      <c r="W128" s="70" t="s">
        <v>1498</v>
      </c>
      <c r="X128" s="70" t="s">
        <v>1499</v>
      </c>
      <c r="Y128" s="70" t="s">
        <v>12</v>
      </c>
      <c r="Z128" s="69"/>
      <c r="AA128" s="70" t="s">
        <v>16</v>
      </c>
      <c r="AB128" s="69"/>
      <c r="AC128" s="69" t="s">
        <v>1497</v>
      </c>
      <c r="AD128" s="69"/>
      <c r="AE128" s="69"/>
      <c r="AF128" s="69"/>
      <c r="AG128" s="69"/>
      <c r="AH128" s="69"/>
      <c r="AI128" s="69">
        <v>75</v>
      </c>
      <c r="AJ128" s="69">
        <v>1</v>
      </c>
      <c r="AK128" s="69">
        <v>8</v>
      </c>
      <c r="AL128" s="2" t="str">
        <f t="shared" si="2"/>
        <v>Yes</v>
      </c>
    </row>
    <row r="129" spans="1:38" ht="74.25" customHeight="1" x14ac:dyDescent="0.25">
      <c r="A129" s="2" t="s">
        <v>518</v>
      </c>
      <c r="B129" s="5" t="s">
        <v>519</v>
      </c>
      <c r="C129" s="5" t="s">
        <v>306</v>
      </c>
      <c r="D129" s="5">
        <v>1</v>
      </c>
      <c r="E129" s="5">
        <v>113</v>
      </c>
      <c r="F129" s="5">
        <v>113</v>
      </c>
      <c r="G129" s="5">
        <v>113</v>
      </c>
      <c r="J129" s="5">
        <v>16</v>
      </c>
      <c r="K129" s="2" t="s">
        <v>2038</v>
      </c>
      <c r="L129" s="5">
        <v>0</v>
      </c>
      <c r="M129" s="5">
        <v>0</v>
      </c>
      <c r="N129" s="5">
        <v>25</v>
      </c>
      <c r="O129" s="5">
        <v>75</v>
      </c>
      <c r="P129" s="5">
        <v>0</v>
      </c>
      <c r="Q129" s="70"/>
      <c r="R129" s="70"/>
      <c r="S129" s="70">
        <v>1</v>
      </c>
      <c r="T129" s="70">
        <v>4</v>
      </c>
      <c r="U129" s="70"/>
      <c r="V129" s="2" t="s">
        <v>515</v>
      </c>
      <c r="W129" s="2" t="s">
        <v>513</v>
      </c>
      <c r="X129" s="2" t="s">
        <v>516</v>
      </c>
      <c r="Y129" s="5" t="s">
        <v>12</v>
      </c>
      <c r="Z129" s="2" t="s">
        <v>517</v>
      </c>
      <c r="AA129" s="70" t="s">
        <v>16</v>
      </c>
      <c r="AB129" s="70" t="s">
        <v>514</v>
      </c>
      <c r="AC129" s="69" t="s">
        <v>2039</v>
      </c>
      <c r="AD129" s="69"/>
      <c r="AE129" s="70"/>
      <c r="AF129" s="70"/>
      <c r="AG129" s="70"/>
      <c r="AH129" s="70"/>
      <c r="AI129" s="70"/>
      <c r="AJ129" s="70"/>
      <c r="AK129" s="70"/>
      <c r="AL129" s="2" t="str">
        <f t="shared" si="2"/>
        <v>Yes</v>
      </c>
    </row>
    <row r="130" spans="1:38" s="1" customFormat="1" ht="48.75" customHeight="1" x14ac:dyDescent="0.25">
      <c r="A130" s="5" t="s">
        <v>1032</v>
      </c>
      <c r="B130" s="2" t="s">
        <v>1046</v>
      </c>
      <c r="C130" s="5" t="s">
        <v>306</v>
      </c>
      <c r="D130" s="5">
        <v>1</v>
      </c>
      <c r="E130" s="5">
        <v>750</v>
      </c>
      <c r="F130" s="5">
        <v>750</v>
      </c>
      <c r="G130" s="5">
        <v>750</v>
      </c>
      <c r="H130" s="5"/>
      <c r="I130" s="5"/>
      <c r="J130" s="5">
        <v>53</v>
      </c>
      <c r="K130" s="2" t="s">
        <v>1040</v>
      </c>
      <c r="L130" s="5">
        <v>0</v>
      </c>
      <c r="M130" s="5">
        <v>0</v>
      </c>
      <c r="N130" s="5">
        <v>0</v>
      </c>
      <c r="O130" s="5">
        <v>0</v>
      </c>
      <c r="P130" s="5">
        <v>100</v>
      </c>
      <c r="Q130" s="5"/>
      <c r="R130" s="5"/>
      <c r="S130" s="5"/>
      <c r="T130" s="5"/>
      <c r="U130" s="69">
        <v>1</v>
      </c>
      <c r="V130" s="70" t="s">
        <v>1039</v>
      </c>
      <c r="W130" s="70" t="s">
        <v>1051</v>
      </c>
      <c r="X130" s="70" t="s">
        <v>1038</v>
      </c>
      <c r="Y130" s="70" t="s">
        <v>12</v>
      </c>
      <c r="Z130" s="70" t="s">
        <v>283</v>
      </c>
      <c r="AA130" s="70" t="s">
        <v>16</v>
      </c>
      <c r="AB130" s="70" t="s">
        <v>1037</v>
      </c>
      <c r="AC130" s="69" t="s">
        <v>1031</v>
      </c>
      <c r="AD130" s="70" t="s">
        <v>1036</v>
      </c>
      <c r="AE130" s="70" t="s">
        <v>1035</v>
      </c>
      <c r="AF130" s="70" t="s">
        <v>1034</v>
      </c>
      <c r="AG130" s="70" t="s">
        <v>1033</v>
      </c>
      <c r="AH130" s="69"/>
      <c r="AI130" s="69"/>
      <c r="AJ130" s="69"/>
      <c r="AK130" s="69"/>
      <c r="AL130" s="2" t="str">
        <f t="shared" si="2"/>
        <v>No</v>
      </c>
    </row>
    <row r="131" spans="1:38" s="1" customFormat="1" ht="45" customHeight="1" x14ac:dyDescent="0.25">
      <c r="A131" s="5" t="s">
        <v>1093</v>
      </c>
      <c r="B131" s="5" t="s">
        <v>1094</v>
      </c>
      <c r="C131" s="5" t="s">
        <v>306</v>
      </c>
      <c r="D131" s="5">
        <v>1</v>
      </c>
      <c r="E131" s="5">
        <f>3256+20+20+20+593+30</f>
        <v>3939</v>
      </c>
      <c r="F131" s="5">
        <f>3256+20+20+20+593+30</f>
        <v>3939</v>
      </c>
      <c r="G131" s="5">
        <v>3939</v>
      </c>
      <c r="H131" s="5"/>
      <c r="I131" s="5"/>
      <c r="J131" s="5">
        <v>16</v>
      </c>
      <c r="K131" s="2" t="s">
        <v>1224</v>
      </c>
      <c r="L131" s="5">
        <v>1.5</v>
      </c>
      <c r="M131" s="5">
        <v>0.8</v>
      </c>
      <c r="N131" s="5">
        <v>15.1</v>
      </c>
      <c r="O131" s="5">
        <v>0</v>
      </c>
      <c r="P131" s="5">
        <v>82.6</v>
      </c>
      <c r="Q131" s="5">
        <v>3</v>
      </c>
      <c r="R131" s="5">
        <v>1</v>
      </c>
      <c r="S131" s="5">
        <v>2</v>
      </c>
      <c r="T131" s="5"/>
      <c r="U131" s="5">
        <v>1</v>
      </c>
      <c r="V131" s="70" t="s">
        <v>1087</v>
      </c>
      <c r="W131" s="70" t="s">
        <v>1204</v>
      </c>
      <c r="X131" s="69"/>
      <c r="Y131" s="70" t="s">
        <v>12</v>
      </c>
      <c r="Z131" s="69"/>
      <c r="AA131" s="70" t="s">
        <v>17</v>
      </c>
      <c r="AB131" s="69"/>
      <c r="AC131" s="73" t="s">
        <v>1089</v>
      </c>
      <c r="AD131" s="69"/>
      <c r="AE131" s="69" t="s">
        <v>1095</v>
      </c>
      <c r="AF131" s="69"/>
      <c r="AG131" s="69"/>
      <c r="AH131" s="69"/>
      <c r="AI131" s="69"/>
      <c r="AJ131" s="69"/>
      <c r="AK131" s="69"/>
      <c r="AL131" s="2" t="str">
        <f t="shared" ref="AL131:AL194" si="3">IF(OR(ISNUMBER(SEARCH("school", K131)), ISNUMBER(SEARCH("others", K131)), ISNUMBER(SEARCH("town hall", K131)), ISNUMBER(SEARCH("municipality", K131)),ISNUMBER(SEARCH("gym", K131)),ISNUMBER(SEARCH("sports", K131)),ISNUMBER(SEARCH("university", K131)),ISNUMBER(SEARCH("social center", K131)),ISNUMBER(SEARCH("warehouse", K131)),ISNUMBER(SEARCH("kindergarden", K131)),ISNUMBER(SEARCH("library", K131)),ISNUMBER(SEARCH("private", K131)),ISNUMBER(SEARCH("condominium", K131)),ISNUMBER(SEARCH("commercial", K131)),ISNUMBER(SEARCH("shop", K131)),ISNUMBER(SEARCH("comm", K131)),ISNUMBER(SEARCH("market", K131)),ISNUMBER(SEARCH("supermarket", K131)),ISNUMBER(SEARCH("hotel", K131)),ISNUMBER(SEARCH("industrial", K131)),ISNUMBER(SEARCH("farm", K131)),ISNUMBER(SEARCH("office", K131)),ISNUMBER(SEARCH("offices", K131)),ISNUMBER(SEARCH("church", K131)),ISNUMBER(SEARCH("canteen", K131)),ISNUMBER(SEARCH("educational", K131)), ISNUMBER(SEARCH("waste", K131)),ISNUMBER(SEARCH("social", K131)),ISNUMBER(SEARCH("sport/complex", K131)),ISNUMBER(SEARCH("utility", K131)),ISNUMBER(SEARCH("villa", K131)),ISNUMBER(SEARCH("prosumer/park", K131)),ISNUMBER(SEARCH("police", K131))),"Yes", "No")</f>
        <v>Yes</v>
      </c>
    </row>
    <row r="132" spans="1:38" s="1" customFormat="1" ht="40.5" customHeight="1" x14ac:dyDescent="0.25">
      <c r="A132" s="5" t="s">
        <v>1158</v>
      </c>
      <c r="B132" s="2" t="s">
        <v>1159</v>
      </c>
      <c r="C132" s="5" t="s">
        <v>306</v>
      </c>
      <c r="D132" s="5">
        <v>2</v>
      </c>
      <c r="E132" s="5">
        <f>460+189.68</f>
        <v>649.68000000000006</v>
      </c>
      <c r="F132" s="5">
        <f>460+189.68</f>
        <v>649.68000000000006</v>
      </c>
      <c r="G132" s="5">
        <f>E132/D132</f>
        <v>324.84000000000003</v>
      </c>
      <c r="H132" s="5"/>
      <c r="I132" s="5"/>
      <c r="J132" s="5">
        <f>38+75</f>
        <v>113</v>
      </c>
      <c r="K132" s="2" t="s">
        <v>1261</v>
      </c>
      <c r="L132" s="5">
        <v>3.1</v>
      </c>
      <c r="M132" s="5">
        <v>0</v>
      </c>
      <c r="N132" s="5">
        <v>18.5</v>
      </c>
      <c r="O132" s="5">
        <v>0</v>
      </c>
      <c r="P132" s="5">
        <v>78.400000000000006</v>
      </c>
      <c r="Q132" s="5">
        <v>1</v>
      </c>
      <c r="R132" s="5"/>
      <c r="S132" s="5">
        <v>2</v>
      </c>
      <c r="T132" s="5"/>
      <c r="U132" s="5">
        <v>1</v>
      </c>
      <c r="V132" s="70" t="s">
        <v>1087</v>
      </c>
      <c r="W132" s="70" t="s">
        <v>1196</v>
      </c>
      <c r="X132" s="69"/>
      <c r="Y132" s="70" t="s">
        <v>12</v>
      </c>
      <c r="Z132" s="70" t="s">
        <v>681</v>
      </c>
      <c r="AA132" s="70" t="s">
        <v>17</v>
      </c>
      <c r="AB132" s="69"/>
      <c r="AC132" s="69" t="s">
        <v>1089</v>
      </c>
      <c r="AD132" s="69"/>
      <c r="AE132" s="69" t="s">
        <v>1160</v>
      </c>
      <c r="AF132" s="69"/>
      <c r="AG132" s="69"/>
      <c r="AH132" s="69"/>
      <c r="AI132" s="69"/>
      <c r="AJ132" s="69"/>
      <c r="AK132" s="69"/>
      <c r="AL132" s="2" t="str">
        <f t="shared" si="3"/>
        <v>Yes</v>
      </c>
    </row>
    <row r="133" spans="1:38" ht="40.5" customHeight="1" x14ac:dyDescent="0.25">
      <c r="A133" s="70" t="s">
        <v>1366</v>
      </c>
      <c r="B133" s="5" t="s">
        <v>1907</v>
      </c>
      <c r="C133" s="5" t="s">
        <v>306</v>
      </c>
      <c r="D133" s="5">
        <v>1</v>
      </c>
      <c r="E133" s="5">
        <v>2300</v>
      </c>
      <c r="F133" s="5">
        <v>2300</v>
      </c>
      <c r="G133" s="5">
        <v>2300</v>
      </c>
      <c r="H133" s="5">
        <v>50</v>
      </c>
      <c r="J133" s="5">
        <f>389+36+2</f>
        <v>427</v>
      </c>
      <c r="K133" s="2" t="s">
        <v>1919</v>
      </c>
      <c r="P133" s="69"/>
      <c r="U133" s="69"/>
      <c r="V133" s="70" t="s">
        <v>65</v>
      </c>
      <c r="W133" s="70" t="s">
        <v>1918</v>
      </c>
      <c r="X133" s="70" t="s">
        <v>1585</v>
      </c>
      <c r="Y133" s="70" t="s">
        <v>1629</v>
      </c>
      <c r="Z133" s="70" t="s">
        <v>729</v>
      </c>
      <c r="AA133" s="70" t="s">
        <v>17</v>
      </c>
      <c r="AB133" s="69" t="s">
        <v>1922</v>
      </c>
      <c r="AC133" s="69" t="s">
        <v>1920</v>
      </c>
      <c r="AD133" s="69">
        <v>1840000</v>
      </c>
      <c r="AE133" s="69" t="s">
        <v>1921</v>
      </c>
      <c r="AF133" s="69">
        <v>83490</v>
      </c>
      <c r="AG133" s="69">
        <f>399740-AF133</f>
        <v>316250</v>
      </c>
      <c r="AH133" s="69">
        <v>316250</v>
      </c>
      <c r="AI133" s="69"/>
      <c r="AJ133" s="69"/>
      <c r="AK133" s="69"/>
      <c r="AL133" s="2" t="str">
        <f t="shared" si="3"/>
        <v>No</v>
      </c>
    </row>
    <row r="134" spans="1:38" ht="48.75" customHeight="1" x14ac:dyDescent="0.25">
      <c r="A134" s="70" t="s">
        <v>1341</v>
      </c>
      <c r="B134" s="5" t="s">
        <v>1772</v>
      </c>
      <c r="C134" s="5" t="s">
        <v>306</v>
      </c>
      <c r="D134" s="5">
        <v>1</v>
      </c>
      <c r="E134" s="5">
        <v>2300</v>
      </c>
      <c r="F134" s="5">
        <v>2300</v>
      </c>
      <c r="G134" s="5">
        <v>2300</v>
      </c>
      <c r="H134" s="5">
        <v>50</v>
      </c>
      <c r="J134" s="5">
        <f>387+34+2</f>
        <v>423</v>
      </c>
      <c r="K134" s="2" t="s">
        <v>1788</v>
      </c>
      <c r="P134" s="69"/>
      <c r="U134" s="69"/>
      <c r="V134" s="70" t="s">
        <v>65</v>
      </c>
      <c r="W134" s="70" t="s">
        <v>1787</v>
      </c>
      <c r="X134" s="70" t="s">
        <v>1585</v>
      </c>
      <c r="Y134" s="69" t="s">
        <v>12</v>
      </c>
      <c r="Z134" s="70" t="s">
        <v>729</v>
      </c>
      <c r="AA134" s="70" t="s">
        <v>17</v>
      </c>
      <c r="AB134" s="69" t="s">
        <v>1791</v>
      </c>
      <c r="AC134" s="69" t="s">
        <v>1789</v>
      </c>
      <c r="AD134" s="69">
        <v>1840000</v>
      </c>
      <c r="AE134" s="69" t="s">
        <v>1790</v>
      </c>
      <c r="AF134" s="69">
        <v>83490</v>
      </c>
      <c r="AG134" s="69">
        <f>399740-AF134</f>
        <v>316250</v>
      </c>
      <c r="AH134" s="69">
        <v>316250</v>
      </c>
      <c r="AI134" s="69"/>
      <c r="AJ134" s="69"/>
      <c r="AK134" s="69"/>
      <c r="AL134" s="2" t="str">
        <f t="shared" si="3"/>
        <v>No</v>
      </c>
    </row>
    <row r="135" spans="1:38" ht="27.75" customHeight="1" x14ac:dyDescent="0.25">
      <c r="A135" s="70" t="s">
        <v>1302</v>
      </c>
      <c r="B135" s="5" t="s">
        <v>1592</v>
      </c>
      <c r="C135" s="5" t="s">
        <v>306</v>
      </c>
      <c r="D135" s="5">
        <v>1</v>
      </c>
      <c r="E135" s="5">
        <v>2300</v>
      </c>
      <c r="F135" s="5">
        <v>2300</v>
      </c>
      <c r="G135" s="5">
        <v>2300</v>
      </c>
      <c r="H135" s="5">
        <v>50</v>
      </c>
      <c r="J135" s="5">
        <f>378+44+2</f>
        <v>424</v>
      </c>
      <c r="K135" s="2" t="s">
        <v>1594</v>
      </c>
      <c r="P135" s="69"/>
      <c r="U135" s="69"/>
      <c r="V135" s="70" t="s">
        <v>65</v>
      </c>
      <c r="W135" s="70" t="s">
        <v>1581</v>
      </c>
      <c r="X135" s="69" t="s">
        <v>1585</v>
      </c>
      <c r="Y135" s="70" t="s">
        <v>1595</v>
      </c>
      <c r="Z135" s="70" t="s">
        <v>729</v>
      </c>
      <c r="AA135" s="70" t="s">
        <v>17</v>
      </c>
      <c r="AB135" s="69" t="s">
        <v>1598</v>
      </c>
      <c r="AC135" s="72" t="s">
        <v>1596</v>
      </c>
      <c r="AD135" s="69">
        <v>1840000</v>
      </c>
      <c r="AE135" s="69" t="s">
        <v>1597</v>
      </c>
      <c r="AF135" s="69">
        <v>83490</v>
      </c>
      <c r="AG135" s="70">
        <f>399740-AF135</f>
        <v>316250</v>
      </c>
      <c r="AH135" s="69">
        <v>360250</v>
      </c>
      <c r="AI135" s="69"/>
      <c r="AJ135" s="69"/>
      <c r="AK135" s="69"/>
      <c r="AL135" s="2" t="str">
        <f t="shared" si="3"/>
        <v>No</v>
      </c>
    </row>
    <row r="136" spans="1:38" ht="47.25" customHeight="1" x14ac:dyDescent="0.25">
      <c r="A136" s="70" t="s">
        <v>1364</v>
      </c>
      <c r="B136" s="5" t="s">
        <v>1898</v>
      </c>
      <c r="C136" s="5" t="s">
        <v>306</v>
      </c>
      <c r="D136" s="5">
        <v>1</v>
      </c>
      <c r="E136" s="5">
        <v>2200</v>
      </c>
      <c r="F136" s="5">
        <v>2200</v>
      </c>
      <c r="G136" s="5">
        <v>2200</v>
      </c>
      <c r="H136" s="5">
        <v>50</v>
      </c>
      <c r="J136" s="5">
        <v>410</v>
      </c>
      <c r="K136" s="2" t="s">
        <v>1899</v>
      </c>
      <c r="P136" s="69"/>
      <c r="U136" s="69"/>
      <c r="V136" s="70" t="s">
        <v>65</v>
      </c>
      <c r="W136" s="70" t="s">
        <v>1900</v>
      </c>
      <c r="X136" s="70" t="s">
        <v>1585</v>
      </c>
      <c r="Y136" s="70" t="s">
        <v>1901</v>
      </c>
      <c r="Z136" s="70" t="s">
        <v>729</v>
      </c>
      <c r="AA136" s="70" t="s">
        <v>17</v>
      </c>
      <c r="AB136" s="69" t="s">
        <v>1904</v>
      </c>
      <c r="AC136" s="69" t="s">
        <v>1902</v>
      </c>
      <c r="AD136" s="69">
        <v>1760000</v>
      </c>
      <c r="AE136" s="69" t="s">
        <v>1903</v>
      </c>
      <c r="AF136" s="69">
        <v>79860</v>
      </c>
      <c r="AG136" s="69">
        <f>382360-AF136</f>
        <v>302500</v>
      </c>
      <c r="AH136" s="69">
        <v>302500</v>
      </c>
      <c r="AI136" s="69"/>
      <c r="AJ136" s="69"/>
      <c r="AK136" s="69"/>
      <c r="AL136" s="2" t="str">
        <f t="shared" si="3"/>
        <v>No</v>
      </c>
    </row>
    <row r="137" spans="1:38" ht="42" customHeight="1" x14ac:dyDescent="0.25">
      <c r="A137" s="2" t="s">
        <v>657</v>
      </c>
      <c r="B137" s="5" t="s">
        <v>659</v>
      </c>
      <c r="C137" s="5" t="s">
        <v>306</v>
      </c>
      <c r="F137" s="69"/>
      <c r="J137" s="5">
        <v>33</v>
      </c>
      <c r="K137" s="2" t="s">
        <v>660</v>
      </c>
      <c r="L137" s="5">
        <v>0</v>
      </c>
      <c r="M137" s="5">
        <v>100</v>
      </c>
      <c r="N137" s="5">
        <v>0</v>
      </c>
      <c r="O137" s="5">
        <v>0</v>
      </c>
      <c r="P137" s="5">
        <v>0</v>
      </c>
      <c r="U137" s="69"/>
      <c r="V137" s="69"/>
      <c r="W137" s="70" t="s">
        <v>666</v>
      </c>
      <c r="X137" s="69"/>
      <c r="Y137" s="69" t="s">
        <v>12</v>
      </c>
      <c r="Z137" s="69"/>
      <c r="AA137" s="69" t="s">
        <v>17</v>
      </c>
      <c r="AB137" s="69"/>
      <c r="AC137" s="69" t="s">
        <v>658</v>
      </c>
      <c r="AD137" s="69"/>
      <c r="AE137" s="69"/>
      <c r="AF137" s="69"/>
      <c r="AG137" s="69"/>
      <c r="AH137" s="69"/>
      <c r="AI137" s="69"/>
      <c r="AJ137" s="69"/>
      <c r="AK137" s="69"/>
      <c r="AL137" s="2" t="str">
        <f t="shared" si="3"/>
        <v>No</v>
      </c>
    </row>
    <row r="138" spans="1:38" ht="33" customHeight="1" x14ac:dyDescent="0.25">
      <c r="A138" s="70" t="s">
        <v>1360</v>
      </c>
      <c r="B138" s="5" t="s">
        <v>1857</v>
      </c>
      <c r="C138" s="5" t="s">
        <v>306</v>
      </c>
      <c r="D138" s="5">
        <v>1</v>
      </c>
      <c r="E138" s="5">
        <v>1900</v>
      </c>
      <c r="F138" s="5">
        <v>1900</v>
      </c>
      <c r="G138" s="5">
        <v>1900</v>
      </c>
      <c r="H138" s="5">
        <v>50</v>
      </c>
      <c r="J138" s="5">
        <f>319+33+2</f>
        <v>354</v>
      </c>
      <c r="K138" s="2" t="s">
        <v>1878</v>
      </c>
      <c r="P138" s="69"/>
      <c r="U138" s="69"/>
      <c r="V138" s="70" t="s">
        <v>65</v>
      </c>
      <c r="W138" s="70" t="s">
        <v>1869</v>
      </c>
      <c r="X138" s="70" t="s">
        <v>1872</v>
      </c>
      <c r="Y138" s="70" t="s">
        <v>1629</v>
      </c>
      <c r="Z138" s="70" t="s">
        <v>729</v>
      </c>
      <c r="AA138" s="70" t="s">
        <v>17</v>
      </c>
      <c r="AB138" s="69" t="s">
        <v>1881</v>
      </c>
      <c r="AC138" s="69" t="s">
        <v>1879</v>
      </c>
      <c r="AD138" s="69"/>
      <c r="AE138" s="69" t="s">
        <v>1880</v>
      </c>
      <c r="AF138" s="69">
        <v>68970</v>
      </c>
      <c r="AG138" s="69">
        <f>330220-AF138</f>
        <v>261250</v>
      </c>
      <c r="AH138" s="69">
        <v>261250</v>
      </c>
      <c r="AI138" s="69"/>
      <c r="AJ138" s="69"/>
      <c r="AK138" s="69"/>
      <c r="AL138" s="2" t="str">
        <f t="shared" si="3"/>
        <v>No</v>
      </c>
    </row>
    <row r="139" spans="1:38" ht="36.75" customHeight="1" x14ac:dyDescent="0.25">
      <c r="A139" s="5" t="s">
        <v>726</v>
      </c>
      <c r="B139" s="5" t="s">
        <v>727</v>
      </c>
      <c r="C139" s="5" t="s">
        <v>313</v>
      </c>
      <c r="D139" s="5">
        <v>1</v>
      </c>
      <c r="E139" s="5">
        <v>19</v>
      </c>
      <c r="F139" s="5">
        <v>19</v>
      </c>
      <c r="G139" s="5">
        <v>19</v>
      </c>
      <c r="J139" s="5">
        <v>35</v>
      </c>
      <c r="K139" s="2" t="s">
        <v>730</v>
      </c>
      <c r="L139" s="5">
        <v>100</v>
      </c>
      <c r="M139" s="5">
        <v>0</v>
      </c>
      <c r="N139" s="5">
        <v>0</v>
      </c>
      <c r="O139" s="5">
        <v>0</v>
      </c>
      <c r="P139" s="5">
        <v>0</v>
      </c>
      <c r="Q139" s="5">
        <v>1</v>
      </c>
      <c r="U139" s="69"/>
      <c r="V139" s="69"/>
      <c r="W139" s="70" t="s">
        <v>666</v>
      </c>
      <c r="X139" s="70" t="s">
        <v>703</v>
      </c>
      <c r="Y139" s="70" t="s">
        <v>12</v>
      </c>
      <c r="Z139" s="70" t="s">
        <v>729</v>
      </c>
      <c r="AA139" s="70" t="s">
        <v>16</v>
      </c>
      <c r="AB139" s="70" t="s">
        <v>733</v>
      </c>
      <c r="AC139" s="72" t="s">
        <v>812</v>
      </c>
      <c r="AD139" s="69">
        <v>59000</v>
      </c>
      <c r="AE139" s="70" t="s">
        <v>732</v>
      </c>
      <c r="AF139" s="70">
        <v>2500</v>
      </c>
      <c r="AG139" s="69">
        <v>4000</v>
      </c>
      <c r="AH139" s="69"/>
      <c r="AI139" s="69"/>
      <c r="AJ139" s="69"/>
      <c r="AK139" s="69"/>
      <c r="AL139" s="2" t="str">
        <f t="shared" si="3"/>
        <v>Yes</v>
      </c>
    </row>
    <row r="140" spans="1:38" ht="41.25" customHeight="1" x14ac:dyDescent="0.25">
      <c r="A140" s="70" t="s">
        <v>1316</v>
      </c>
      <c r="B140" s="5" t="s">
        <v>1651</v>
      </c>
      <c r="C140" s="5" t="s">
        <v>306</v>
      </c>
      <c r="D140" s="5">
        <v>1</v>
      </c>
      <c r="E140" s="5">
        <v>1800</v>
      </c>
      <c r="F140" s="5">
        <v>1800</v>
      </c>
      <c r="G140" s="5">
        <v>1800</v>
      </c>
      <c r="H140" s="5">
        <v>50</v>
      </c>
      <c r="J140" s="5">
        <v>341</v>
      </c>
      <c r="K140" s="2" t="s">
        <v>1652</v>
      </c>
      <c r="P140" s="69"/>
      <c r="U140" s="69"/>
      <c r="V140" s="70" t="s">
        <v>65</v>
      </c>
      <c r="W140" s="70" t="s">
        <v>1317</v>
      </c>
      <c r="X140" s="70" t="s">
        <v>1585</v>
      </c>
      <c r="Y140" s="70" t="s">
        <v>12</v>
      </c>
      <c r="Z140" s="70" t="s">
        <v>729</v>
      </c>
      <c r="AA140" s="70" t="s">
        <v>17</v>
      </c>
      <c r="AB140" s="69" t="s">
        <v>1654</v>
      </c>
      <c r="AC140" s="72" t="s">
        <v>1660</v>
      </c>
      <c r="AD140" s="69">
        <v>1440000</v>
      </c>
      <c r="AE140" s="69" t="s">
        <v>1653</v>
      </c>
      <c r="AF140" s="69">
        <v>65340</v>
      </c>
      <c r="AG140" s="69">
        <f>312840-AF140</f>
        <v>247500</v>
      </c>
      <c r="AH140" s="69">
        <v>247500</v>
      </c>
      <c r="AI140" s="69"/>
      <c r="AJ140" s="69"/>
      <c r="AK140" s="69"/>
      <c r="AL140" s="2" t="str">
        <f t="shared" si="3"/>
        <v>No</v>
      </c>
    </row>
    <row r="141" spans="1:38" ht="49.5" customHeight="1" x14ac:dyDescent="0.25">
      <c r="A141" s="70" t="s">
        <v>1300</v>
      </c>
      <c r="B141" s="5" t="s">
        <v>1580</v>
      </c>
      <c r="C141" s="5" t="s">
        <v>306</v>
      </c>
      <c r="D141" s="5">
        <v>1</v>
      </c>
      <c r="E141" s="5">
        <v>1800</v>
      </c>
      <c r="F141" s="69"/>
      <c r="G141" s="5">
        <f>E141/D141</f>
        <v>1800</v>
      </c>
      <c r="H141" s="5">
        <v>50</v>
      </c>
      <c r="J141" s="5">
        <v>335</v>
      </c>
      <c r="K141" s="2" t="s">
        <v>1591</v>
      </c>
      <c r="P141" s="69"/>
      <c r="U141" s="69"/>
      <c r="V141" s="70" t="s">
        <v>65</v>
      </c>
      <c r="W141" s="70" t="s">
        <v>1301</v>
      </c>
      <c r="X141" s="70" t="s">
        <v>1586</v>
      </c>
      <c r="Y141" s="70" t="s">
        <v>1589</v>
      </c>
      <c r="Z141" s="70" t="s">
        <v>729</v>
      </c>
      <c r="AA141" s="70" t="s">
        <v>17</v>
      </c>
      <c r="AB141" s="70" t="s">
        <v>1590</v>
      </c>
      <c r="AC141" s="72" t="s">
        <v>1587</v>
      </c>
      <c r="AD141" s="69">
        <v>1440000</v>
      </c>
      <c r="AE141" s="69" t="s">
        <v>1588</v>
      </c>
      <c r="AF141" s="69">
        <v>65340</v>
      </c>
      <c r="AG141" s="70">
        <f>312840-AF141</f>
        <v>247500</v>
      </c>
      <c r="AH141" s="69"/>
      <c r="AI141" s="69"/>
      <c r="AJ141" s="69"/>
      <c r="AK141" s="69"/>
      <c r="AL141" s="2" t="str">
        <f t="shared" si="3"/>
        <v>No</v>
      </c>
    </row>
    <row r="142" spans="1:38" ht="55.5" customHeight="1" x14ac:dyDescent="0.25">
      <c r="A142" s="70" t="s">
        <v>1322</v>
      </c>
      <c r="B142" s="5" t="s">
        <v>1681</v>
      </c>
      <c r="C142" s="5" t="s">
        <v>306</v>
      </c>
      <c r="D142" s="5">
        <v>1</v>
      </c>
      <c r="E142" s="5">
        <v>1900</v>
      </c>
      <c r="F142" s="5">
        <v>1900</v>
      </c>
      <c r="G142" s="5">
        <v>1900</v>
      </c>
      <c r="H142" s="5">
        <v>50</v>
      </c>
      <c r="J142" s="5">
        <v>331</v>
      </c>
      <c r="K142" s="2" t="s">
        <v>1686</v>
      </c>
      <c r="P142" s="69"/>
      <c r="U142" s="69"/>
      <c r="V142" s="70" t="s">
        <v>65</v>
      </c>
      <c r="W142" s="70" t="s">
        <v>1680</v>
      </c>
      <c r="X142" s="70" t="s">
        <v>1585</v>
      </c>
      <c r="Y142" s="70" t="s">
        <v>1685</v>
      </c>
      <c r="Z142" s="70" t="s">
        <v>729</v>
      </c>
      <c r="AA142" s="70" t="s">
        <v>17</v>
      </c>
      <c r="AB142" s="70" t="s">
        <v>1684</v>
      </c>
      <c r="AC142" s="72" t="s">
        <v>1683</v>
      </c>
      <c r="AD142" s="69">
        <v>1520000</v>
      </c>
      <c r="AE142" s="69" t="s">
        <v>1682</v>
      </c>
      <c r="AF142" s="69">
        <v>68970</v>
      </c>
      <c r="AG142" s="69">
        <f>330220-AF142</f>
        <v>261250</v>
      </c>
      <c r="AH142" s="69">
        <v>261250</v>
      </c>
      <c r="AI142" s="69"/>
      <c r="AJ142" s="69"/>
      <c r="AK142" s="69"/>
      <c r="AL142" s="2" t="str">
        <f t="shared" si="3"/>
        <v>Yes</v>
      </c>
    </row>
    <row r="143" spans="1:38" ht="80.25" customHeight="1" x14ac:dyDescent="0.25">
      <c r="A143" s="5" t="s">
        <v>1117</v>
      </c>
      <c r="B143" s="5" t="s">
        <v>1117</v>
      </c>
      <c r="C143" s="5" t="s">
        <v>306</v>
      </c>
      <c r="D143" s="5">
        <v>1</v>
      </c>
      <c r="E143" s="5">
        <v>265</v>
      </c>
      <c r="F143" s="5">
        <v>265</v>
      </c>
      <c r="G143" s="5">
        <v>265</v>
      </c>
      <c r="J143" s="5">
        <v>37</v>
      </c>
      <c r="K143" s="2" t="s">
        <v>1236</v>
      </c>
      <c r="L143" s="5">
        <v>0</v>
      </c>
      <c r="M143" s="5">
        <v>0</v>
      </c>
      <c r="N143" s="5">
        <v>0</v>
      </c>
      <c r="O143" s="5">
        <v>0</v>
      </c>
      <c r="P143" s="5">
        <v>100</v>
      </c>
      <c r="U143" s="69">
        <v>1</v>
      </c>
      <c r="V143" s="70" t="s">
        <v>1087</v>
      </c>
      <c r="W143" s="70" t="s">
        <v>1200</v>
      </c>
      <c r="X143" s="69"/>
      <c r="Y143" s="70" t="s">
        <v>12</v>
      </c>
      <c r="Z143" s="69"/>
      <c r="AA143" s="70" t="s">
        <v>17</v>
      </c>
      <c r="AB143" s="69"/>
      <c r="AC143" s="69" t="s">
        <v>1089</v>
      </c>
      <c r="AD143" s="69"/>
      <c r="AE143" s="69" t="s">
        <v>1118</v>
      </c>
      <c r="AF143" s="69"/>
      <c r="AG143" s="69"/>
      <c r="AH143" s="69"/>
      <c r="AI143" s="69"/>
      <c r="AJ143" s="69"/>
      <c r="AK143" s="69"/>
      <c r="AL143" s="2" t="str">
        <f t="shared" si="3"/>
        <v>Yes</v>
      </c>
    </row>
    <row r="144" spans="1:38" ht="63.75" customHeight="1" x14ac:dyDescent="0.25">
      <c r="A144" s="2" t="s">
        <v>647</v>
      </c>
      <c r="B144" s="5" t="s">
        <v>648</v>
      </c>
      <c r="C144" s="2" t="s">
        <v>309</v>
      </c>
      <c r="D144" s="5">
        <v>1</v>
      </c>
      <c r="E144" s="5">
        <v>40</v>
      </c>
      <c r="F144" s="5">
        <v>40</v>
      </c>
      <c r="G144" s="5">
        <v>40</v>
      </c>
      <c r="J144" s="5">
        <v>42</v>
      </c>
      <c r="K144" s="2" t="s">
        <v>649</v>
      </c>
      <c r="P144" s="5"/>
      <c r="U144" s="69"/>
      <c r="V144" s="69"/>
      <c r="W144" s="69"/>
      <c r="X144" s="69"/>
      <c r="Y144" s="69" t="s">
        <v>12</v>
      </c>
      <c r="Z144" s="69"/>
      <c r="AA144" s="69" t="s">
        <v>16</v>
      </c>
      <c r="AB144" s="69" t="s">
        <v>650</v>
      </c>
      <c r="AC144" s="73" t="s">
        <v>651</v>
      </c>
      <c r="AD144" s="69">
        <v>52000</v>
      </c>
      <c r="AE144" s="70" t="s">
        <v>2066</v>
      </c>
      <c r="AF144" s="69">
        <v>4000</v>
      </c>
      <c r="AG144" s="69">
        <v>3280</v>
      </c>
      <c r="AH144" s="69"/>
      <c r="AI144" s="69"/>
      <c r="AJ144" s="69"/>
      <c r="AK144" s="69"/>
      <c r="AL144" s="2" t="str">
        <f t="shared" si="3"/>
        <v>No</v>
      </c>
    </row>
    <row r="145" spans="1:38" ht="79.5" customHeight="1" x14ac:dyDescent="0.25">
      <c r="A145" s="2" t="s">
        <v>1148</v>
      </c>
      <c r="B145" s="5" t="s">
        <v>1103</v>
      </c>
      <c r="C145" s="5" t="s">
        <v>306</v>
      </c>
      <c r="D145" s="5">
        <v>1</v>
      </c>
      <c r="E145" s="5">
        <v>175</v>
      </c>
      <c r="F145" s="5">
        <v>175</v>
      </c>
      <c r="G145" s="5">
        <v>175</v>
      </c>
      <c r="J145" s="5">
        <v>14</v>
      </c>
      <c r="K145" s="2" t="s">
        <v>1256</v>
      </c>
      <c r="L145" s="5">
        <v>0</v>
      </c>
      <c r="M145" s="5">
        <v>0</v>
      </c>
      <c r="N145" s="5">
        <v>91.4</v>
      </c>
      <c r="O145" s="5">
        <v>8.6</v>
      </c>
      <c r="P145" s="5">
        <v>0</v>
      </c>
      <c r="S145" s="5">
        <v>3</v>
      </c>
      <c r="T145" s="5">
        <v>1</v>
      </c>
      <c r="U145" s="69"/>
      <c r="V145" s="70" t="s">
        <v>1087</v>
      </c>
      <c r="W145" s="70" t="s">
        <v>1255</v>
      </c>
      <c r="X145" s="69"/>
      <c r="Y145" s="70" t="s">
        <v>12</v>
      </c>
      <c r="Z145" s="69"/>
      <c r="AA145" s="70" t="s">
        <v>17</v>
      </c>
      <c r="AB145" s="69"/>
      <c r="AC145" s="69" t="s">
        <v>1089</v>
      </c>
      <c r="AD145" s="69"/>
      <c r="AE145" s="69" t="s">
        <v>1149</v>
      </c>
      <c r="AF145" s="69"/>
      <c r="AG145" s="69"/>
      <c r="AH145" s="69"/>
      <c r="AI145" s="69"/>
      <c r="AJ145" s="69"/>
      <c r="AK145" s="69"/>
      <c r="AL145" s="2" t="str">
        <f t="shared" si="3"/>
        <v>Yes</v>
      </c>
    </row>
    <row r="146" spans="1:38" ht="40.5" customHeight="1" x14ac:dyDescent="0.25">
      <c r="A146" s="2" t="s">
        <v>46</v>
      </c>
      <c r="B146" s="2" t="s">
        <v>47</v>
      </c>
      <c r="C146" s="2" t="s">
        <v>306</v>
      </c>
      <c r="D146" s="2">
        <v>1</v>
      </c>
      <c r="E146" s="2">
        <v>70</v>
      </c>
      <c r="F146" s="2">
        <v>70</v>
      </c>
      <c r="G146" s="2">
        <f>E146/D146</f>
        <v>70</v>
      </c>
      <c r="H146" s="2">
        <v>67</v>
      </c>
      <c r="I146" s="2"/>
      <c r="J146" s="2">
        <v>3</v>
      </c>
      <c r="K146" s="2" t="s">
        <v>48</v>
      </c>
      <c r="L146" s="2">
        <v>0</v>
      </c>
      <c r="M146" s="2">
        <v>0</v>
      </c>
      <c r="N146" s="2">
        <v>100</v>
      </c>
      <c r="O146" s="2">
        <v>0</v>
      </c>
      <c r="P146" s="2">
        <v>0</v>
      </c>
      <c r="Q146" s="70"/>
      <c r="R146" s="70"/>
      <c r="S146" s="70">
        <v>2</v>
      </c>
      <c r="T146" s="70"/>
      <c r="U146" s="70"/>
      <c r="V146" s="2" t="s">
        <v>50</v>
      </c>
      <c r="W146" s="2" t="s">
        <v>49</v>
      </c>
      <c r="X146" s="2"/>
      <c r="Y146" s="2" t="s">
        <v>12</v>
      </c>
      <c r="Z146" s="2"/>
      <c r="AA146" s="2" t="s">
        <v>16</v>
      </c>
      <c r="AB146" s="2"/>
      <c r="AC146" s="5" t="s">
        <v>164</v>
      </c>
      <c r="AD146" s="2"/>
      <c r="AE146" s="70"/>
      <c r="AF146" s="70"/>
      <c r="AG146" s="70"/>
      <c r="AH146" s="70"/>
      <c r="AI146" s="70"/>
      <c r="AJ146" s="70"/>
      <c r="AK146" s="70"/>
      <c r="AL146" s="2" t="str">
        <f t="shared" si="3"/>
        <v>No</v>
      </c>
    </row>
    <row r="147" spans="1:38" ht="90" x14ac:dyDescent="0.25">
      <c r="A147" s="2" t="s">
        <v>1210</v>
      </c>
      <c r="B147" s="5" t="s">
        <v>1183</v>
      </c>
      <c r="C147" s="5" t="s">
        <v>306</v>
      </c>
      <c r="D147" s="5">
        <v>1</v>
      </c>
      <c r="E147" s="5">
        <v>45</v>
      </c>
      <c r="F147" s="5">
        <v>45</v>
      </c>
      <c r="G147" s="5">
        <v>45</v>
      </c>
      <c r="J147" s="5">
        <v>4</v>
      </c>
      <c r="K147" s="2" t="s">
        <v>1271</v>
      </c>
      <c r="L147" s="5">
        <v>0</v>
      </c>
      <c r="M147" s="5">
        <v>100</v>
      </c>
      <c r="N147" s="5">
        <v>0</v>
      </c>
      <c r="O147" s="5">
        <v>0</v>
      </c>
      <c r="P147" s="5">
        <v>0</v>
      </c>
      <c r="R147" s="5">
        <v>2</v>
      </c>
      <c r="U147" s="69"/>
      <c r="V147" s="70" t="s">
        <v>1087</v>
      </c>
      <c r="W147" s="70" t="s">
        <v>1269</v>
      </c>
      <c r="X147" s="69"/>
      <c r="Y147" s="70" t="s">
        <v>12</v>
      </c>
      <c r="Z147" s="69"/>
      <c r="AA147" s="70" t="s">
        <v>17</v>
      </c>
      <c r="AB147" s="69"/>
      <c r="AC147" s="69" t="s">
        <v>1089</v>
      </c>
      <c r="AD147" s="69"/>
      <c r="AE147" s="69" t="s">
        <v>1184</v>
      </c>
      <c r="AF147" s="69"/>
      <c r="AG147" s="69"/>
      <c r="AH147" s="69"/>
      <c r="AI147" s="69"/>
      <c r="AJ147" s="69"/>
      <c r="AK147" s="69"/>
      <c r="AL147" s="2" t="str">
        <f t="shared" si="3"/>
        <v>Yes</v>
      </c>
    </row>
    <row r="148" spans="1:38" ht="268.5" x14ac:dyDescent="0.25">
      <c r="A148" s="2" t="s">
        <v>22</v>
      </c>
      <c r="B148" s="2" t="s">
        <v>307</v>
      </c>
      <c r="C148" s="2" t="s">
        <v>306</v>
      </c>
      <c r="D148" s="2">
        <v>1</v>
      </c>
      <c r="E148" s="2">
        <v>31</v>
      </c>
      <c r="F148" s="70">
        <v>31</v>
      </c>
      <c r="G148" s="2">
        <f>E148/D148</f>
        <v>31</v>
      </c>
      <c r="H148" s="2"/>
      <c r="I148" s="2"/>
      <c r="J148" s="2">
        <v>20</v>
      </c>
      <c r="K148" s="2" t="s">
        <v>382</v>
      </c>
      <c r="L148" s="2">
        <v>50</v>
      </c>
      <c r="M148" s="2">
        <v>0</v>
      </c>
      <c r="N148" s="2">
        <v>50</v>
      </c>
      <c r="O148" s="2">
        <v>0</v>
      </c>
      <c r="P148" s="2">
        <v>0</v>
      </c>
      <c r="Q148" s="70">
        <v>3</v>
      </c>
      <c r="R148" s="70"/>
      <c r="S148" s="70">
        <v>1</v>
      </c>
      <c r="T148" s="70"/>
      <c r="U148" s="70"/>
      <c r="V148" s="2" t="s">
        <v>31</v>
      </c>
      <c r="W148" s="2" t="s">
        <v>14</v>
      </c>
      <c r="X148" s="2" t="s">
        <v>13</v>
      </c>
      <c r="Y148" s="2" t="s">
        <v>15</v>
      </c>
      <c r="Z148" s="2"/>
      <c r="AA148" s="2" t="s">
        <v>17</v>
      </c>
      <c r="AB148" s="2" t="s">
        <v>165</v>
      </c>
      <c r="AC148" s="5" t="s">
        <v>164</v>
      </c>
      <c r="AD148" s="2"/>
      <c r="AE148" s="70"/>
      <c r="AF148" s="70"/>
      <c r="AG148" s="70"/>
      <c r="AH148" s="70"/>
      <c r="AI148" s="70"/>
      <c r="AJ148" s="70"/>
      <c r="AK148" s="70"/>
      <c r="AL148" s="2" t="str">
        <f t="shared" si="3"/>
        <v>Yes</v>
      </c>
    </row>
    <row r="149" spans="1:38" ht="61.5" customHeight="1" x14ac:dyDescent="0.25">
      <c r="A149" s="5" t="s">
        <v>782</v>
      </c>
      <c r="B149" s="2" t="s">
        <v>889</v>
      </c>
      <c r="C149" s="5" t="s">
        <v>306</v>
      </c>
      <c r="D149" s="5">
        <v>2</v>
      </c>
      <c r="E149" s="5">
        <v>490</v>
      </c>
      <c r="F149" s="5">
        <v>490</v>
      </c>
      <c r="G149" s="5">
        <f>E149/D149</f>
        <v>245</v>
      </c>
      <c r="J149" s="5">
        <v>28</v>
      </c>
      <c r="K149" s="2" t="s">
        <v>2051</v>
      </c>
      <c r="L149" s="5">
        <v>0</v>
      </c>
      <c r="M149" s="5">
        <v>24.3</v>
      </c>
      <c r="N149" s="5">
        <v>0</v>
      </c>
      <c r="O149" s="5">
        <v>65.7</v>
      </c>
      <c r="P149" s="5">
        <v>10</v>
      </c>
      <c r="R149" s="5">
        <v>12</v>
      </c>
      <c r="T149" s="5">
        <v>10</v>
      </c>
      <c r="U149" s="5">
        <v>1</v>
      </c>
      <c r="V149" s="70" t="s">
        <v>890</v>
      </c>
      <c r="W149" s="70" t="s">
        <v>888</v>
      </c>
      <c r="X149" s="70" t="s">
        <v>891</v>
      </c>
      <c r="Y149" s="69" t="s">
        <v>12</v>
      </c>
      <c r="Z149" s="70" t="s">
        <v>880</v>
      </c>
      <c r="AA149" s="70" t="s">
        <v>16</v>
      </c>
      <c r="AB149" s="70" t="s">
        <v>887</v>
      </c>
      <c r="AC149" s="69" t="s">
        <v>1233</v>
      </c>
      <c r="AD149" s="69"/>
      <c r="AE149" s="70" t="s">
        <v>886</v>
      </c>
      <c r="AF149" s="69">
        <v>50000</v>
      </c>
      <c r="AG149" s="69">
        <v>10000</v>
      </c>
      <c r="AH149" s="69"/>
      <c r="AI149" s="69"/>
      <c r="AJ149" s="69"/>
      <c r="AK149" s="69"/>
      <c r="AL149" s="2" t="str">
        <f t="shared" si="3"/>
        <v>Yes</v>
      </c>
    </row>
    <row r="150" spans="1:38" ht="108" customHeight="1" x14ac:dyDescent="0.25">
      <c r="A150" s="2" t="s">
        <v>245</v>
      </c>
      <c r="B150" s="2" t="s">
        <v>246</v>
      </c>
      <c r="C150" s="70" t="s">
        <v>306</v>
      </c>
      <c r="D150" s="2">
        <v>1</v>
      </c>
      <c r="E150" s="2">
        <v>40</v>
      </c>
      <c r="F150" s="2">
        <v>40</v>
      </c>
      <c r="G150" s="2">
        <f>E150/D150</f>
        <v>40</v>
      </c>
      <c r="H150" s="2"/>
      <c r="I150" s="2"/>
      <c r="J150" s="2">
        <v>7</v>
      </c>
      <c r="K150" s="2" t="s">
        <v>254</v>
      </c>
      <c r="L150" s="70">
        <v>90</v>
      </c>
      <c r="M150" s="70">
        <v>10</v>
      </c>
      <c r="N150" s="70">
        <v>0</v>
      </c>
      <c r="O150" s="70">
        <v>0</v>
      </c>
      <c r="P150" s="70">
        <v>0</v>
      </c>
      <c r="Q150" s="70">
        <v>1</v>
      </c>
      <c r="R150" s="70">
        <v>1</v>
      </c>
      <c r="S150" s="70"/>
      <c r="T150" s="70"/>
      <c r="U150" s="70"/>
      <c r="V150" s="2" t="s">
        <v>250</v>
      </c>
      <c r="W150" s="2" t="s">
        <v>246</v>
      </c>
      <c r="X150" s="2" t="s">
        <v>248</v>
      </c>
      <c r="Y150" s="2" t="s">
        <v>12</v>
      </c>
      <c r="Z150" s="2"/>
      <c r="AA150" s="2" t="s">
        <v>16</v>
      </c>
      <c r="AB150" s="2"/>
      <c r="AC150" s="5" t="s">
        <v>322</v>
      </c>
      <c r="AD150" s="2"/>
      <c r="AE150" s="70"/>
      <c r="AF150" s="70"/>
      <c r="AG150" s="70"/>
      <c r="AH150" s="70"/>
      <c r="AI150" s="70"/>
      <c r="AJ150" s="70"/>
      <c r="AK150" s="70"/>
      <c r="AL150" s="2" t="str">
        <f t="shared" si="3"/>
        <v>No</v>
      </c>
    </row>
    <row r="151" spans="1:38" ht="113.25" customHeight="1" x14ac:dyDescent="0.25">
      <c r="A151" s="5" t="s">
        <v>673</v>
      </c>
      <c r="B151" s="5" t="s">
        <v>674</v>
      </c>
      <c r="C151" s="5" t="s">
        <v>306</v>
      </c>
      <c r="D151" s="5">
        <v>1</v>
      </c>
      <c r="E151" s="5">
        <v>20</v>
      </c>
      <c r="F151" s="5">
        <v>20</v>
      </c>
      <c r="G151" s="5">
        <v>20</v>
      </c>
      <c r="J151" s="5">
        <v>5</v>
      </c>
      <c r="K151" s="2" t="s">
        <v>2044</v>
      </c>
      <c r="L151" s="5">
        <v>20</v>
      </c>
      <c r="M151" s="5">
        <v>0</v>
      </c>
      <c r="N151" s="5">
        <v>20</v>
      </c>
      <c r="O151" s="5">
        <v>60</v>
      </c>
      <c r="P151" s="5">
        <v>0</v>
      </c>
      <c r="Q151" s="5">
        <v>1</v>
      </c>
      <c r="S151" s="5">
        <v>1</v>
      </c>
      <c r="T151" s="5">
        <v>3</v>
      </c>
      <c r="U151" s="69"/>
      <c r="V151" s="70" t="s">
        <v>676</v>
      </c>
      <c r="W151" s="70" t="s">
        <v>679</v>
      </c>
      <c r="X151" s="70" t="s">
        <v>678</v>
      </c>
      <c r="Y151" s="69" t="s">
        <v>12</v>
      </c>
      <c r="Z151" s="69"/>
      <c r="AA151" s="69" t="s">
        <v>16</v>
      </c>
      <c r="AB151" s="69"/>
      <c r="AC151" s="69" t="s">
        <v>675</v>
      </c>
      <c r="AD151" s="69"/>
      <c r="AE151" s="69"/>
      <c r="AF151" s="69"/>
      <c r="AG151" s="69"/>
      <c r="AH151" s="69"/>
      <c r="AI151" s="69"/>
      <c r="AJ151" s="69"/>
      <c r="AK151" s="69"/>
      <c r="AL151" s="2" t="str">
        <f t="shared" si="3"/>
        <v>Yes</v>
      </c>
    </row>
    <row r="152" spans="1:38" ht="104.25" customHeight="1" x14ac:dyDescent="0.25">
      <c r="A152" s="5" t="s">
        <v>415</v>
      </c>
      <c r="B152" s="5" t="s">
        <v>414</v>
      </c>
      <c r="C152" s="5" t="s">
        <v>306</v>
      </c>
      <c r="D152" s="5">
        <v>1</v>
      </c>
      <c r="E152" s="5">
        <f>15+86</f>
        <v>101</v>
      </c>
      <c r="F152" s="5">
        <f>15+86</f>
        <v>101</v>
      </c>
      <c r="G152" s="5">
        <v>101</v>
      </c>
      <c r="H152" s="5">
        <v>100</v>
      </c>
      <c r="J152" s="5">
        <v>3</v>
      </c>
      <c r="K152" s="2" t="s">
        <v>2034</v>
      </c>
      <c r="L152" s="5">
        <v>0</v>
      </c>
      <c r="M152" s="5">
        <v>0</v>
      </c>
      <c r="N152" s="5">
        <v>0</v>
      </c>
      <c r="O152" s="5">
        <v>100</v>
      </c>
      <c r="P152" s="5">
        <v>0</v>
      </c>
      <c r="Q152" s="70"/>
      <c r="R152" s="70"/>
      <c r="S152" s="70"/>
      <c r="T152" s="70">
        <v>3</v>
      </c>
      <c r="U152" s="70"/>
      <c r="V152" s="2" t="s">
        <v>202</v>
      </c>
      <c r="W152" s="2" t="s">
        <v>416</v>
      </c>
      <c r="X152" s="2" t="s">
        <v>417</v>
      </c>
      <c r="Y152" s="5" t="s">
        <v>12</v>
      </c>
      <c r="Z152" s="5"/>
      <c r="AA152" s="5" t="s">
        <v>17</v>
      </c>
      <c r="AB152" s="2" t="s">
        <v>418</v>
      </c>
      <c r="AC152" s="73" t="s">
        <v>413</v>
      </c>
      <c r="AD152" s="5">
        <v>27000</v>
      </c>
      <c r="AE152" s="70" t="s">
        <v>934</v>
      </c>
      <c r="AF152" s="70">
        <v>9725</v>
      </c>
      <c r="AG152" s="70">
        <v>6914</v>
      </c>
      <c r="AH152" s="70"/>
      <c r="AI152" s="70"/>
      <c r="AJ152" s="70"/>
      <c r="AK152" s="70"/>
      <c r="AL152" s="2" t="str">
        <f t="shared" si="3"/>
        <v>Yes</v>
      </c>
    </row>
    <row r="153" spans="1:38" ht="87.75" customHeight="1" x14ac:dyDescent="0.25">
      <c r="A153" s="5" t="s">
        <v>166</v>
      </c>
      <c r="B153" s="5" t="s">
        <v>167</v>
      </c>
      <c r="C153" s="5" t="s">
        <v>308</v>
      </c>
      <c r="D153" s="5">
        <v>1</v>
      </c>
      <c r="E153" s="5">
        <v>90</v>
      </c>
      <c r="F153" s="5">
        <v>90</v>
      </c>
      <c r="G153" s="2">
        <f>E153/D153</f>
        <v>90</v>
      </c>
      <c r="J153" s="5">
        <v>4</v>
      </c>
      <c r="K153" s="2" t="s">
        <v>532</v>
      </c>
      <c r="L153" s="5">
        <v>70</v>
      </c>
      <c r="M153" s="5">
        <v>0</v>
      </c>
      <c r="N153" s="5">
        <v>0</v>
      </c>
      <c r="O153" s="5">
        <v>30</v>
      </c>
      <c r="P153" s="5">
        <v>0</v>
      </c>
      <c r="Q153" s="70">
        <v>1</v>
      </c>
      <c r="R153" s="70"/>
      <c r="S153" s="70"/>
      <c r="T153" s="70">
        <v>1</v>
      </c>
      <c r="U153" s="70"/>
      <c r="V153" s="2" t="s">
        <v>169</v>
      </c>
      <c r="W153" s="5" t="s">
        <v>168</v>
      </c>
      <c r="X153" s="2" t="s">
        <v>170</v>
      </c>
      <c r="Y153" s="5" t="s">
        <v>12</v>
      </c>
      <c r="Z153" s="5"/>
      <c r="AA153" s="2" t="s">
        <v>16</v>
      </c>
      <c r="AB153" s="5" t="s">
        <v>27</v>
      </c>
      <c r="AC153" s="5" t="s">
        <v>247</v>
      </c>
      <c r="AD153" s="5"/>
      <c r="AE153" s="70"/>
      <c r="AF153" s="70"/>
      <c r="AG153" s="70"/>
      <c r="AH153" s="70"/>
      <c r="AI153" s="70"/>
      <c r="AJ153" s="70"/>
      <c r="AK153" s="70"/>
      <c r="AL153" s="2" t="str">
        <f t="shared" si="3"/>
        <v>Yes</v>
      </c>
    </row>
    <row r="154" spans="1:38" ht="115.5" x14ac:dyDescent="0.25">
      <c r="A154" s="5" t="s">
        <v>471</v>
      </c>
      <c r="B154" s="2" t="s">
        <v>2005</v>
      </c>
      <c r="C154" s="2" t="s">
        <v>309</v>
      </c>
      <c r="D154" s="5">
        <v>7</v>
      </c>
      <c r="E154" s="5">
        <v>3510</v>
      </c>
      <c r="F154" s="5">
        <v>3510</v>
      </c>
      <c r="G154" s="5">
        <f>E154/D154</f>
        <v>501.42857142857144</v>
      </c>
      <c r="J154" s="5">
        <f>614+9</f>
        <v>623</v>
      </c>
      <c r="K154" s="2" t="s">
        <v>2004</v>
      </c>
      <c r="L154" s="5">
        <v>49</v>
      </c>
      <c r="M154" s="5">
        <v>51</v>
      </c>
      <c r="N154" s="5">
        <v>0</v>
      </c>
      <c r="O154" s="5">
        <v>0</v>
      </c>
      <c r="P154" s="5">
        <v>0</v>
      </c>
      <c r="Q154" s="76">
        <f>288/7</f>
        <v>41.142857142857146</v>
      </c>
      <c r="R154" s="76">
        <f>302/7</f>
        <v>43.142857142857146</v>
      </c>
      <c r="S154" s="76"/>
      <c r="T154" s="70"/>
      <c r="U154" s="69"/>
      <c r="V154" s="2" t="s">
        <v>473</v>
      </c>
      <c r="W154" s="5" t="s">
        <v>472</v>
      </c>
      <c r="X154" s="5"/>
      <c r="Y154" s="5" t="s">
        <v>12</v>
      </c>
      <c r="Z154" s="69"/>
      <c r="AA154" s="5" t="s">
        <v>17</v>
      </c>
      <c r="AB154" s="69"/>
      <c r="AC154" s="69" t="s">
        <v>481</v>
      </c>
      <c r="AD154" s="69">
        <v>18900000</v>
      </c>
      <c r="AE154" s="70"/>
      <c r="AF154" s="70"/>
      <c r="AG154" s="70"/>
      <c r="AH154" s="70"/>
      <c r="AI154" s="70"/>
      <c r="AJ154" s="70"/>
      <c r="AK154" s="70"/>
      <c r="AL154" s="2" t="str">
        <f t="shared" si="3"/>
        <v>No</v>
      </c>
    </row>
    <row r="155" spans="1:38" ht="54" customHeight="1" x14ac:dyDescent="0.25">
      <c r="A155" s="70" t="s">
        <v>1518</v>
      </c>
      <c r="B155" s="70" t="s">
        <v>1427</v>
      </c>
      <c r="C155" s="75" t="s">
        <v>309</v>
      </c>
      <c r="D155" s="69">
        <v>1</v>
      </c>
      <c r="E155" s="69">
        <v>200</v>
      </c>
      <c r="F155" s="69">
        <v>200</v>
      </c>
      <c r="G155" s="69">
        <v>200</v>
      </c>
      <c r="J155" s="69">
        <v>27</v>
      </c>
      <c r="K155" s="75" t="s">
        <v>2046</v>
      </c>
      <c r="L155" s="75">
        <v>0</v>
      </c>
      <c r="M155" s="5">
        <v>0</v>
      </c>
      <c r="N155" s="5">
        <v>100</v>
      </c>
      <c r="O155" s="5">
        <v>0</v>
      </c>
      <c r="P155" s="5">
        <v>0</v>
      </c>
      <c r="S155" s="5">
        <v>27</v>
      </c>
      <c r="U155" s="69"/>
      <c r="V155" s="70" t="s">
        <v>1523</v>
      </c>
      <c r="W155" s="70" t="s">
        <v>1519</v>
      </c>
      <c r="X155" s="70" t="s">
        <v>1520</v>
      </c>
      <c r="Y155" s="69" t="s">
        <v>12</v>
      </c>
      <c r="Z155" s="70" t="s">
        <v>729</v>
      </c>
      <c r="AA155" s="70" t="s">
        <v>16</v>
      </c>
      <c r="AB155" s="69" t="s">
        <v>1522</v>
      </c>
      <c r="AC155" s="69" t="s">
        <v>1521</v>
      </c>
      <c r="AD155" s="69"/>
      <c r="AE155" s="69"/>
      <c r="AF155" s="69"/>
      <c r="AG155" s="69"/>
      <c r="AH155" s="69"/>
      <c r="AI155" s="69">
        <v>36</v>
      </c>
      <c r="AJ155" s="69">
        <v>1</v>
      </c>
      <c r="AK155" s="69">
        <v>2</v>
      </c>
      <c r="AL155" s="2" t="str">
        <f t="shared" si="3"/>
        <v>Yes</v>
      </c>
    </row>
    <row r="156" spans="1:38" ht="36.75" customHeight="1" x14ac:dyDescent="0.25">
      <c r="A156" s="2" t="s">
        <v>665</v>
      </c>
      <c r="B156" s="5" t="s">
        <v>662</v>
      </c>
      <c r="C156" s="5" t="s">
        <v>306</v>
      </c>
      <c r="D156" s="5">
        <v>1</v>
      </c>
      <c r="E156" s="5">
        <v>37</v>
      </c>
      <c r="F156" s="5">
        <v>37</v>
      </c>
      <c r="G156" s="5">
        <v>37</v>
      </c>
      <c r="J156" s="5">
        <v>29</v>
      </c>
      <c r="K156" s="2" t="s">
        <v>663</v>
      </c>
      <c r="L156" s="5">
        <v>0</v>
      </c>
      <c r="M156" s="5">
        <v>100</v>
      </c>
      <c r="N156" s="5">
        <v>0</v>
      </c>
      <c r="O156" s="5">
        <v>0</v>
      </c>
      <c r="P156" s="5">
        <v>0</v>
      </c>
      <c r="U156" s="69"/>
      <c r="V156" s="70" t="s">
        <v>550</v>
      </c>
      <c r="W156" s="70" t="s">
        <v>666</v>
      </c>
      <c r="X156" s="69"/>
      <c r="Y156" s="69" t="s">
        <v>12</v>
      </c>
      <c r="Z156" s="69"/>
      <c r="AA156" s="69" t="s">
        <v>16</v>
      </c>
      <c r="AB156" s="69" t="s">
        <v>664</v>
      </c>
      <c r="AC156" s="73" t="s">
        <v>661</v>
      </c>
      <c r="AD156" s="69">
        <v>45000</v>
      </c>
      <c r="AE156" s="70" t="s">
        <v>2067</v>
      </c>
      <c r="AF156" s="69">
        <v>2800</v>
      </c>
      <c r="AG156" s="69">
        <v>5625</v>
      </c>
      <c r="AH156" s="69"/>
      <c r="AI156" s="69"/>
      <c r="AJ156" s="69"/>
      <c r="AK156" s="69"/>
      <c r="AL156" s="2" t="str">
        <f t="shared" si="3"/>
        <v>No</v>
      </c>
    </row>
    <row r="157" spans="1:38" ht="71.25" customHeight="1" x14ac:dyDescent="0.25">
      <c r="A157" s="70" t="s">
        <v>1318</v>
      </c>
      <c r="B157" s="5" t="s">
        <v>1638</v>
      </c>
      <c r="C157" s="5" t="s">
        <v>306</v>
      </c>
      <c r="D157" s="5">
        <v>1</v>
      </c>
      <c r="E157" s="5">
        <v>16000</v>
      </c>
      <c r="F157" s="5">
        <v>16000</v>
      </c>
      <c r="G157" s="5">
        <v>16000</v>
      </c>
      <c r="H157" s="5">
        <v>50</v>
      </c>
      <c r="J157" s="5">
        <v>3018</v>
      </c>
      <c r="K157" s="2" t="s">
        <v>1656</v>
      </c>
      <c r="P157" s="69"/>
      <c r="U157" s="69"/>
      <c r="V157" s="70" t="s">
        <v>65</v>
      </c>
      <c r="W157" s="70" t="s">
        <v>1655</v>
      </c>
      <c r="X157" s="70" t="s">
        <v>1585</v>
      </c>
      <c r="Y157" s="70" t="s">
        <v>12</v>
      </c>
      <c r="Z157" s="70" t="s">
        <v>729</v>
      </c>
      <c r="AA157" s="70" t="s">
        <v>17</v>
      </c>
      <c r="AB157" s="70" t="s">
        <v>1658</v>
      </c>
      <c r="AC157" s="72" t="s">
        <v>1659</v>
      </c>
      <c r="AD157" s="69">
        <v>12800000</v>
      </c>
      <c r="AE157" s="69" t="s">
        <v>1657</v>
      </c>
      <c r="AF157" s="69">
        <v>580800</v>
      </c>
      <c r="AG157" s="69">
        <f>2780800-AF157</f>
        <v>2200000</v>
      </c>
      <c r="AH157" s="69">
        <v>2200000</v>
      </c>
      <c r="AI157" s="69"/>
      <c r="AJ157" s="69"/>
      <c r="AK157" s="69"/>
      <c r="AL157" s="2" t="str">
        <f t="shared" si="3"/>
        <v>No</v>
      </c>
    </row>
    <row r="158" spans="1:38" ht="90" x14ac:dyDescent="0.25">
      <c r="A158" s="70" t="s">
        <v>1319</v>
      </c>
      <c r="B158" s="5" t="s">
        <v>1639</v>
      </c>
      <c r="C158" s="5" t="s">
        <v>306</v>
      </c>
      <c r="D158" s="5">
        <v>1</v>
      </c>
      <c r="E158" s="5">
        <v>1800</v>
      </c>
      <c r="F158" s="5">
        <v>1800</v>
      </c>
      <c r="G158" s="5">
        <v>1800</v>
      </c>
      <c r="H158" s="5">
        <v>50</v>
      </c>
      <c r="J158" s="5">
        <v>303</v>
      </c>
      <c r="K158" s="2" t="s">
        <v>1663</v>
      </c>
      <c r="P158" s="69"/>
      <c r="U158" s="69"/>
      <c r="V158" s="70" t="s">
        <v>65</v>
      </c>
      <c r="W158" s="70" t="s">
        <v>1662</v>
      </c>
      <c r="X158" s="70" t="s">
        <v>1585</v>
      </c>
      <c r="Y158" s="70" t="s">
        <v>12</v>
      </c>
      <c r="Z158" s="70" t="s">
        <v>729</v>
      </c>
      <c r="AA158" s="70" t="s">
        <v>17</v>
      </c>
      <c r="AB158" s="70" t="s">
        <v>1666</v>
      </c>
      <c r="AC158" s="72" t="s">
        <v>1664</v>
      </c>
      <c r="AD158" s="69">
        <v>1440000</v>
      </c>
      <c r="AE158" s="69" t="s">
        <v>1665</v>
      </c>
      <c r="AF158" s="69">
        <v>65340</v>
      </c>
      <c r="AG158" s="69">
        <f>312800-AF158</f>
        <v>247460</v>
      </c>
      <c r="AH158" s="69">
        <v>247500</v>
      </c>
      <c r="AI158" s="69"/>
      <c r="AJ158" s="69"/>
      <c r="AK158" s="69"/>
      <c r="AL158" s="2" t="str">
        <f t="shared" si="3"/>
        <v>No</v>
      </c>
    </row>
    <row r="159" spans="1:38" ht="67.5" customHeight="1" x14ac:dyDescent="0.25">
      <c r="A159" s="2" t="s">
        <v>1110</v>
      </c>
      <c r="B159" s="5" t="s">
        <v>1111</v>
      </c>
      <c r="C159" s="5" t="s">
        <v>306</v>
      </c>
      <c r="D159" s="5">
        <v>1</v>
      </c>
      <c r="E159" s="5">
        <v>997</v>
      </c>
      <c r="F159" s="5">
        <v>997</v>
      </c>
      <c r="G159" s="5">
        <v>997</v>
      </c>
      <c r="J159" s="5">
        <v>45</v>
      </c>
      <c r="K159" s="2" t="s">
        <v>1230</v>
      </c>
      <c r="L159" s="5">
        <v>0</v>
      </c>
      <c r="M159" s="5">
        <v>0</v>
      </c>
      <c r="N159" s="5">
        <v>0</v>
      </c>
      <c r="O159" s="5">
        <v>0</v>
      </c>
      <c r="P159" s="5">
        <v>100</v>
      </c>
      <c r="U159" s="69">
        <v>1</v>
      </c>
      <c r="V159" s="70" t="s">
        <v>1087</v>
      </c>
      <c r="W159" s="70" t="s">
        <v>1198</v>
      </c>
      <c r="X159" s="69"/>
      <c r="Y159" s="70" t="s">
        <v>12</v>
      </c>
      <c r="Z159" s="69"/>
      <c r="AA159" s="70" t="s">
        <v>17</v>
      </c>
      <c r="AB159" s="69"/>
      <c r="AC159" s="69" t="s">
        <v>1089</v>
      </c>
      <c r="AD159" s="69"/>
      <c r="AE159" s="69" t="s">
        <v>1112</v>
      </c>
      <c r="AF159" s="69"/>
      <c r="AG159" s="69"/>
      <c r="AH159" s="69"/>
      <c r="AI159" s="69"/>
      <c r="AJ159" s="69"/>
      <c r="AK159" s="69"/>
      <c r="AL159" s="2" t="str">
        <f t="shared" si="3"/>
        <v>Yes</v>
      </c>
    </row>
    <row r="160" spans="1:38" ht="126.75" customHeight="1" x14ac:dyDescent="0.25">
      <c r="A160" s="70" t="s">
        <v>1339</v>
      </c>
      <c r="B160" s="5" t="s">
        <v>1776</v>
      </c>
      <c r="C160" s="5" t="s">
        <v>306</v>
      </c>
      <c r="D160" s="5">
        <v>2</v>
      </c>
      <c r="E160" s="5">
        <v>16900</v>
      </c>
      <c r="F160" s="5">
        <v>16900</v>
      </c>
      <c r="G160" s="5">
        <f>E160/D160</f>
        <v>8450</v>
      </c>
      <c r="H160" s="5">
        <v>50</v>
      </c>
      <c r="J160" s="5">
        <f>2500+500+25</f>
        <v>3025</v>
      </c>
      <c r="K160" s="2" t="s">
        <v>1780</v>
      </c>
      <c r="P160" s="69"/>
      <c r="U160" s="69"/>
      <c r="V160" s="70" t="s">
        <v>65</v>
      </c>
      <c r="W160" s="70" t="s">
        <v>1777</v>
      </c>
      <c r="X160" s="70" t="s">
        <v>1585</v>
      </c>
      <c r="Y160" s="69" t="s">
        <v>12</v>
      </c>
      <c r="Z160" s="70" t="s">
        <v>729</v>
      </c>
      <c r="AA160" s="70" t="s">
        <v>17</v>
      </c>
      <c r="AB160" s="70" t="s">
        <v>1779</v>
      </c>
      <c r="AC160" s="72" t="s">
        <v>1781</v>
      </c>
      <c r="AD160" s="69">
        <v>13520000</v>
      </c>
      <c r="AE160" s="69" t="s">
        <v>1778</v>
      </c>
      <c r="AF160" s="69">
        <v>613470</v>
      </c>
      <c r="AG160" s="69">
        <f>2937220-AF160</f>
        <v>2323750</v>
      </c>
      <c r="AH160" s="69">
        <v>2323750</v>
      </c>
      <c r="AI160" s="69"/>
      <c r="AJ160" s="69"/>
      <c r="AK160" s="69"/>
      <c r="AL160" s="2" t="str">
        <f t="shared" si="3"/>
        <v>No</v>
      </c>
    </row>
    <row r="161" spans="1:38" ht="58.5" customHeight="1" x14ac:dyDescent="0.25">
      <c r="A161" s="70" t="s">
        <v>1369</v>
      </c>
      <c r="B161" s="5" t="s">
        <v>1910</v>
      </c>
      <c r="C161" s="5" t="s">
        <v>306</v>
      </c>
      <c r="D161" s="5">
        <v>1</v>
      </c>
      <c r="E161" s="5">
        <v>14700</v>
      </c>
      <c r="F161" s="5">
        <v>14700</v>
      </c>
      <c r="G161" s="5">
        <v>14700</v>
      </c>
      <c r="H161" s="5">
        <v>50</v>
      </c>
      <c r="J161" s="5">
        <f>2445+278+7</f>
        <v>2730</v>
      </c>
      <c r="K161" s="2" t="s">
        <v>1934</v>
      </c>
      <c r="P161" s="69"/>
      <c r="U161" s="69"/>
      <c r="V161" s="70" t="s">
        <v>65</v>
      </c>
      <c r="W161" s="70" t="s">
        <v>1933</v>
      </c>
      <c r="X161" s="70" t="s">
        <v>1585</v>
      </c>
      <c r="Y161" s="70" t="s">
        <v>1864</v>
      </c>
      <c r="Z161" s="70" t="s">
        <v>729</v>
      </c>
      <c r="AA161" s="70" t="s">
        <v>17</v>
      </c>
      <c r="AB161" s="69" t="s">
        <v>1897</v>
      </c>
      <c r="AC161" s="69" t="s">
        <v>1935</v>
      </c>
      <c r="AD161" s="69">
        <v>11760000</v>
      </c>
      <c r="AE161" s="69" t="s">
        <v>1936</v>
      </c>
      <c r="AF161" s="69">
        <v>533610</v>
      </c>
      <c r="AG161" s="69">
        <f>2554860-AF161</f>
        <v>2021250</v>
      </c>
      <c r="AH161" s="69">
        <v>2021250</v>
      </c>
      <c r="AI161" s="69"/>
      <c r="AJ161" s="69"/>
      <c r="AK161" s="69"/>
      <c r="AL161" s="2" t="str">
        <f t="shared" si="3"/>
        <v>No</v>
      </c>
    </row>
    <row r="162" spans="1:38" ht="126" customHeight="1" x14ac:dyDescent="0.25">
      <c r="A162" s="70" t="s">
        <v>1373</v>
      </c>
      <c r="B162" s="5" t="s">
        <v>1952</v>
      </c>
      <c r="C162" s="5" t="s">
        <v>306</v>
      </c>
      <c r="D162" s="5">
        <v>1</v>
      </c>
      <c r="E162" s="5">
        <v>1400</v>
      </c>
      <c r="F162" s="5">
        <v>1400</v>
      </c>
      <c r="G162" s="5">
        <v>1400</v>
      </c>
      <c r="H162" s="5">
        <v>50</v>
      </c>
      <c r="J162" s="5">
        <f>241+23+1</f>
        <v>265</v>
      </c>
      <c r="K162" s="2" t="s">
        <v>1955</v>
      </c>
      <c r="P162" s="69"/>
      <c r="U162" s="69"/>
      <c r="V162" s="70" t="s">
        <v>65</v>
      </c>
      <c r="W162" s="70" t="s">
        <v>1954</v>
      </c>
      <c r="X162" s="70" t="s">
        <v>1585</v>
      </c>
      <c r="Y162" s="70" t="s">
        <v>1901</v>
      </c>
      <c r="Z162" s="70" t="s">
        <v>729</v>
      </c>
      <c r="AA162" s="70" t="s">
        <v>17</v>
      </c>
      <c r="AB162" s="69" t="s">
        <v>1957</v>
      </c>
      <c r="AC162" s="69" t="s">
        <v>1956</v>
      </c>
      <c r="AD162" s="69">
        <v>1120000</v>
      </c>
      <c r="AE162" s="69" t="s">
        <v>1958</v>
      </c>
      <c r="AF162" s="69">
        <v>50820</v>
      </c>
      <c r="AG162" s="69">
        <f>243320-AF162</f>
        <v>192500</v>
      </c>
      <c r="AH162" s="69">
        <v>192500</v>
      </c>
      <c r="AI162" s="69"/>
      <c r="AJ162" s="69"/>
      <c r="AK162" s="69"/>
      <c r="AL162" s="2" t="str">
        <f t="shared" si="3"/>
        <v>No</v>
      </c>
    </row>
    <row r="163" spans="1:38" ht="68.25" customHeight="1" x14ac:dyDescent="0.25">
      <c r="A163" s="2" t="s">
        <v>491</v>
      </c>
      <c r="B163" s="2" t="s">
        <v>1991</v>
      </c>
      <c r="C163" s="2" t="s">
        <v>308</v>
      </c>
      <c r="D163" s="5">
        <v>12</v>
      </c>
      <c r="E163" s="5">
        <f>19582-SUM(E151:E156)</f>
        <v>15624</v>
      </c>
      <c r="F163" s="5">
        <v>12899</v>
      </c>
      <c r="G163" s="2">
        <f>F163/D163</f>
        <v>1074.9166666666667</v>
      </c>
      <c r="J163" s="5">
        <f>2660-SUM(J151:J155)</f>
        <v>1998</v>
      </c>
      <c r="K163" s="2" t="s">
        <v>490</v>
      </c>
      <c r="P163" s="5"/>
      <c r="Q163" s="70"/>
      <c r="R163" s="70"/>
      <c r="S163" s="70"/>
      <c r="T163" s="70"/>
      <c r="U163" s="70"/>
      <c r="V163" s="2" t="s">
        <v>276</v>
      </c>
      <c r="W163" s="5"/>
      <c r="X163" s="5"/>
      <c r="Y163" s="2" t="s">
        <v>280</v>
      </c>
      <c r="Z163" s="5"/>
      <c r="AA163" s="5" t="s">
        <v>17</v>
      </c>
      <c r="AB163" s="5" t="s">
        <v>278</v>
      </c>
      <c r="AC163" s="5" t="s">
        <v>281</v>
      </c>
      <c r="AD163" s="5"/>
      <c r="AE163" s="70"/>
      <c r="AF163" s="70"/>
      <c r="AG163" s="70"/>
      <c r="AH163" s="70"/>
      <c r="AI163" s="70"/>
      <c r="AJ163" s="70"/>
      <c r="AK163" s="70"/>
      <c r="AL163" s="2" t="str">
        <f t="shared" si="3"/>
        <v>No</v>
      </c>
    </row>
    <row r="164" spans="1:38" ht="41.25" customHeight="1" x14ac:dyDescent="0.25">
      <c r="A164" s="70" t="s">
        <v>1361</v>
      </c>
      <c r="B164" s="5" t="s">
        <v>1858</v>
      </c>
      <c r="C164" s="5" t="s">
        <v>306</v>
      </c>
      <c r="D164" s="5">
        <v>1</v>
      </c>
      <c r="E164" s="5">
        <v>15000</v>
      </c>
      <c r="F164" s="5">
        <v>15000</v>
      </c>
      <c r="G164" s="5">
        <v>15000</v>
      </c>
      <c r="H164" s="5">
        <v>50</v>
      </c>
      <c r="J164" s="5">
        <f>2338+328+16</f>
        <v>2682</v>
      </c>
      <c r="K164" s="2" t="s">
        <v>1882</v>
      </c>
      <c r="P164" s="69"/>
      <c r="U164" s="69"/>
      <c r="V164" s="70" t="s">
        <v>1044</v>
      </c>
      <c r="W164" s="70" t="s">
        <v>1870</v>
      </c>
      <c r="X164" s="70" t="s">
        <v>1872</v>
      </c>
      <c r="Y164" s="70" t="s">
        <v>1883</v>
      </c>
      <c r="Z164" s="70" t="s">
        <v>729</v>
      </c>
      <c r="AA164" s="70" t="s">
        <v>17</v>
      </c>
      <c r="AB164" s="69" t="s">
        <v>1830</v>
      </c>
      <c r="AC164" s="69" t="s">
        <v>1885</v>
      </c>
      <c r="AD164" s="69">
        <v>12000000</v>
      </c>
      <c r="AE164" s="69" t="s">
        <v>1884</v>
      </c>
      <c r="AF164" s="69">
        <v>544500</v>
      </c>
      <c r="AG164" s="69">
        <f>2607000-AF164</f>
        <v>2062500</v>
      </c>
      <c r="AH164" s="69">
        <v>2062500</v>
      </c>
      <c r="AI164" s="69"/>
      <c r="AJ164" s="69"/>
      <c r="AK164" s="69"/>
      <c r="AL164" s="2" t="str">
        <f t="shared" si="3"/>
        <v>No</v>
      </c>
    </row>
    <row r="165" spans="1:38" ht="42" customHeight="1" x14ac:dyDescent="0.25">
      <c r="A165" s="2" t="s">
        <v>620</v>
      </c>
      <c r="B165" s="5" t="s">
        <v>623</v>
      </c>
      <c r="C165" s="5" t="s">
        <v>306</v>
      </c>
      <c r="D165" s="5">
        <v>1</v>
      </c>
      <c r="E165" s="5">
        <v>300</v>
      </c>
      <c r="F165" s="5">
        <v>300</v>
      </c>
      <c r="G165" s="5">
        <f>E165</f>
        <v>300</v>
      </c>
      <c r="H165" s="5">
        <v>53</v>
      </c>
      <c r="J165" s="5">
        <v>30</v>
      </c>
      <c r="K165" s="2" t="s">
        <v>622</v>
      </c>
      <c r="P165" s="69"/>
      <c r="U165" s="69"/>
      <c r="V165" s="69"/>
      <c r="W165" s="69"/>
      <c r="X165" s="70" t="s">
        <v>621</v>
      </c>
      <c r="Y165" s="69" t="s">
        <v>12</v>
      </c>
      <c r="Z165" s="69"/>
      <c r="AA165" s="5" t="s">
        <v>16</v>
      </c>
      <c r="AB165" s="70" t="s">
        <v>2065</v>
      </c>
      <c r="AC165" s="73" t="s">
        <v>2063</v>
      </c>
      <c r="AD165" s="69">
        <v>390000</v>
      </c>
      <c r="AE165" s="70" t="s">
        <v>2064</v>
      </c>
      <c r="AF165" s="69">
        <v>3433</v>
      </c>
      <c r="AG165" s="69">
        <v>2169</v>
      </c>
      <c r="AH165" s="69"/>
      <c r="AI165" s="69"/>
      <c r="AJ165" s="69"/>
      <c r="AK165" s="69"/>
      <c r="AL165" s="2" t="str">
        <f t="shared" si="3"/>
        <v>No</v>
      </c>
    </row>
    <row r="166" spans="1:38" ht="28.5" customHeight="1" x14ac:dyDescent="0.25">
      <c r="A166" s="2" t="s">
        <v>686</v>
      </c>
      <c r="B166" s="2" t="s">
        <v>687</v>
      </c>
      <c r="C166" s="5" t="s">
        <v>310</v>
      </c>
      <c r="D166" s="5">
        <v>1</v>
      </c>
      <c r="E166" s="5">
        <v>20</v>
      </c>
      <c r="F166" s="5">
        <v>20</v>
      </c>
      <c r="G166" s="5">
        <v>20</v>
      </c>
      <c r="J166" s="5">
        <v>40</v>
      </c>
      <c r="K166" s="2" t="s">
        <v>694</v>
      </c>
      <c r="L166" s="5">
        <v>100</v>
      </c>
      <c r="M166" s="5">
        <v>0</v>
      </c>
      <c r="N166" s="5">
        <v>0</v>
      </c>
      <c r="O166" s="5">
        <v>0</v>
      </c>
      <c r="P166" s="5">
        <v>0</v>
      </c>
      <c r="Q166" s="5">
        <v>2</v>
      </c>
      <c r="U166" s="69"/>
      <c r="V166" s="70" t="s">
        <v>691</v>
      </c>
      <c r="W166" s="70" t="s">
        <v>690</v>
      </c>
      <c r="X166" s="70" t="s">
        <v>689</v>
      </c>
      <c r="Y166" s="69" t="s">
        <v>12</v>
      </c>
      <c r="Z166" s="69"/>
      <c r="AA166" s="70" t="s">
        <v>16</v>
      </c>
      <c r="AB166" s="70" t="s">
        <v>692</v>
      </c>
      <c r="AC166" s="72" t="s">
        <v>693</v>
      </c>
      <c r="AD166" s="69"/>
      <c r="AE166" s="69"/>
      <c r="AF166" s="69"/>
      <c r="AG166" s="69"/>
      <c r="AH166" s="69"/>
      <c r="AI166" s="69"/>
      <c r="AJ166" s="69"/>
      <c r="AK166" s="69"/>
      <c r="AL166" s="2" t="str">
        <f t="shared" si="3"/>
        <v>Yes</v>
      </c>
    </row>
    <row r="167" spans="1:38" ht="42.75" customHeight="1" x14ac:dyDescent="0.25">
      <c r="A167" s="70" t="s">
        <v>1320</v>
      </c>
      <c r="B167" s="2" t="s">
        <v>1667</v>
      </c>
      <c r="C167" s="5" t="s">
        <v>306</v>
      </c>
      <c r="D167" s="5">
        <v>1</v>
      </c>
      <c r="E167" s="5">
        <v>1300</v>
      </c>
      <c r="F167" s="5">
        <v>1300</v>
      </c>
      <c r="G167" s="5">
        <v>1300</v>
      </c>
      <c r="H167" s="5">
        <v>50</v>
      </c>
      <c r="J167" s="5">
        <v>229</v>
      </c>
      <c r="K167" s="2" t="s">
        <v>1669</v>
      </c>
      <c r="P167" s="69"/>
      <c r="U167" s="69"/>
      <c r="V167" s="70" t="s">
        <v>65</v>
      </c>
      <c r="W167" s="70" t="s">
        <v>1321</v>
      </c>
      <c r="X167" s="70" t="s">
        <v>1585</v>
      </c>
      <c r="Y167" s="70" t="s">
        <v>12</v>
      </c>
      <c r="Z167" s="70" t="s">
        <v>729</v>
      </c>
      <c r="AA167" s="70" t="s">
        <v>17</v>
      </c>
      <c r="AB167" s="70" t="s">
        <v>1671</v>
      </c>
      <c r="AC167" s="72" t="s">
        <v>1668</v>
      </c>
      <c r="AD167" s="69">
        <v>1040000</v>
      </c>
      <c r="AE167" s="69" t="s">
        <v>1670</v>
      </c>
      <c r="AF167" s="69">
        <v>47190</v>
      </c>
      <c r="AG167" s="69">
        <f>225940-AF167</f>
        <v>178750</v>
      </c>
      <c r="AH167" s="69">
        <v>178750</v>
      </c>
      <c r="AI167" s="69"/>
      <c r="AJ167" s="69"/>
      <c r="AK167" s="69"/>
      <c r="AL167" s="2" t="str">
        <f t="shared" si="3"/>
        <v>No</v>
      </c>
    </row>
    <row r="168" spans="1:38" ht="128.25" x14ac:dyDescent="0.25">
      <c r="A168" s="5" t="s">
        <v>1171</v>
      </c>
      <c r="B168" s="5" t="s">
        <v>1172</v>
      </c>
      <c r="C168" s="5" t="s">
        <v>306</v>
      </c>
      <c r="D168" s="5">
        <v>1</v>
      </c>
      <c r="E168" s="5">
        <v>824</v>
      </c>
      <c r="F168" s="5">
        <v>824</v>
      </c>
      <c r="G168" s="5">
        <v>824</v>
      </c>
      <c r="J168" s="5">
        <v>42</v>
      </c>
      <c r="K168" s="2" t="s">
        <v>1265</v>
      </c>
      <c r="L168" s="5">
        <v>7.8</v>
      </c>
      <c r="M168" s="5">
        <v>17</v>
      </c>
      <c r="N168" s="5">
        <v>75.2</v>
      </c>
      <c r="O168" s="5">
        <v>0</v>
      </c>
      <c r="P168" s="5">
        <v>0</v>
      </c>
      <c r="Q168" s="5">
        <v>2</v>
      </c>
      <c r="R168" s="5">
        <v>7</v>
      </c>
      <c r="S168" s="5">
        <v>2</v>
      </c>
      <c r="U168" s="69"/>
      <c r="V168" s="70" t="s">
        <v>1087</v>
      </c>
      <c r="W168" s="70" t="s">
        <v>246</v>
      </c>
      <c r="X168" s="69"/>
      <c r="Y168" s="70" t="s">
        <v>12</v>
      </c>
      <c r="Z168" s="70" t="s">
        <v>1173</v>
      </c>
      <c r="AA168" s="70" t="s">
        <v>17</v>
      </c>
      <c r="AB168" s="69"/>
      <c r="AC168" s="69" t="s">
        <v>1089</v>
      </c>
      <c r="AD168" s="69"/>
      <c r="AE168" s="69" t="s">
        <v>1174</v>
      </c>
      <c r="AF168" s="69"/>
      <c r="AG168" s="69"/>
      <c r="AH168" s="69"/>
      <c r="AI168" s="69"/>
      <c r="AJ168" s="69"/>
      <c r="AK168" s="69"/>
      <c r="AL168" s="2" t="str">
        <f t="shared" si="3"/>
        <v>Yes</v>
      </c>
    </row>
    <row r="169" spans="1:38" ht="84" customHeight="1" x14ac:dyDescent="0.25">
      <c r="A169" s="5" t="s">
        <v>1096</v>
      </c>
      <c r="B169" s="5" t="s">
        <v>1097</v>
      </c>
      <c r="C169" s="5" t="s">
        <v>306</v>
      </c>
      <c r="D169" s="5">
        <v>1</v>
      </c>
      <c r="E169" s="5">
        <v>2400</v>
      </c>
      <c r="F169" s="5">
        <v>2400</v>
      </c>
      <c r="G169" s="5">
        <f>E169/D169</f>
        <v>2400</v>
      </c>
      <c r="J169" s="5">
        <v>29</v>
      </c>
      <c r="K169" s="2" t="s">
        <v>1226</v>
      </c>
      <c r="L169" s="5">
        <v>0</v>
      </c>
      <c r="M169" s="5">
        <v>0</v>
      </c>
      <c r="N169" s="5">
        <v>0</v>
      </c>
      <c r="O169" s="5">
        <v>0</v>
      </c>
      <c r="P169" s="5">
        <v>100</v>
      </c>
      <c r="U169" s="69">
        <v>3</v>
      </c>
      <c r="V169" s="70" t="s">
        <v>1087</v>
      </c>
      <c r="W169" s="70" t="s">
        <v>1229</v>
      </c>
      <c r="X169" s="69"/>
      <c r="Y169" s="70" t="s">
        <v>12</v>
      </c>
      <c r="Z169" s="70" t="s">
        <v>706</v>
      </c>
      <c r="AA169" s="70" t="s">
        <v>17</v>
      </c>
      <c r="AB169" s="69"/>
      <c r="AC169" s="69" t="s">
        <v>1089</v>
      </c>
      <c r="AD169" s="69"/>
      <c r="AE169" s="69" t="s">
        <v>1098</v>
      </c>
      <c r="AF169" s="69"/>
      <c r="AG169" s="69"/>
      <c r="AH169" s="69"/>
      <c r="AI169" s="69"/>
      <c r="AJ169" s="69"/>
      <c r="AK169" s="69"/>
      <c r="AL169" s="2" t="str">
        <f t="shared" si="3"/>
        <v>Yes</v>
      </c>
    </row>
    <row r="170" spans="1:38" ht="135.75" customHeight="1" x14ac:dyDescent="0.25">
      <c r="A170" s="70" t="s">
        <v>1363</v>
      </c>
      <c r="B170" s="5" t="s">
        <v>1894</v>
      </c>
      <c r="C170" s="5" t="s">
        <v>306</v>
      </c>
      <c r="D170" s="5">
        <v>1</v>
      </c>
      <c r="E170" s="5">
        <v>1200</v>
      </c>
      <c r="F170" s="5">
        <v>1200</v>
      </c>
      <c r="G170" s="5">
        <v>1200</v>
      </c>
      <c r="H170" s="5">
        <v>50</v>
      </c>
      <c r="J170" s="5">
        <v>228</v>
      </c>
      <c r="K170" s="2" t="s">
        <v>1893</v>
      </c>
      <c r="P170" s="69"/>
      <c r="U170" s="69"/>
      <c r="V170" s="70" t="s">
        <v>65</v>
      </c>
      <c r="W170" s="70" t="s">
        <v>1892</v>
      </c>
      <c r="X170" s="70" t="s">
        <v>1585</v>
      </c>
      <c r="Y170" s="70" t="s">
        <v>1685</v>
      </c>
      <c r="Z170" s="70" t="s">
        <v>729</v>
      </c>
      <c r="AA170" s="70" t="s">
        <v>17</v>
      </c>
      <c r="AB170" s="69" t="s">
        <v>1897</v>
      </c>
      <c r="AC170" s="69" t="s">
        <v>1895</v>
      </c>
      <c r="AD170" s="69">
        <v>960000</v>
      </c>
      <c r="AE170" s="69" t="s">
        <v>1896</v>
      </c>
      <c r="AF170" s="69">
        <v>43560</v>
      </c>
      <c r="AG170" s="69">
        <f>208560-AF170</f>
        <v>165000</v>
      </c>
      <c r="AH170" s="69">
        <v>165000</v>
      </c>
      <c r="AI170" s="69"/>
      <c r="AJ170" s="69"/>
      <c r="AK170" s="69"/>
      <c r="AL170" s="2" t="str">
        <f t="shared" si="3"/>
        <v>No</v>
      </c>
    </row>
    <row r="171" spans="1:38" ht="73.5" customHeight="1" x14ac:dyDescent="0.25">
      <c r="A171" s="5" t="s">
        <v>1030</v>
      </c>
      <c r="B171" s="2" t="s">
        <v>1027</v>
      </c>
      <c r="C171" s="2" t="s">
        <v>309</v>
      </c>
      <c r="D171" s="5">
        <v>3</v>
      </c>
      <c r="E171" s="5">
        <f>10+27+760+60</f>
        <v>857</v>
      </c>
      <c r="F171" s="5">
        <f>10+27+760+60</f>
        <v>857</v>
      </c>
      <c r="G171" s="5">
        <f>E171/D171</f>
        <v>285.66666666666669</v>
      </c>
      <c r="J171" s="5">
        <v>220</v>
      </c>
      <c r="K171" s="2" t="s">
        <v>1029</v>
      </c>
      <c r="L171" s="5">
        <v>0</v>
      </c>
      <c r="M171" s="5">
        <v>0</v>
      </c>
      <c r="N171" s="5">
        <v>11</v>
      </c>
      <c r="O171" s="5">
        <v>0</v>
      </c>
      <c r="P171" s="5">
        <v>89</v>
      </c>
      <c r="S171" s="5">
        <v>3</v>
      </c>
      <c r="U171" s="69">
        <v>1</v>
      </c>
      <c r="V171" s="70" t="s">
        <v>1021</v>
      </c>
      <c r="W171" s="70" t="s">
        <v>1020</v>
      </c>
      <c r="X171" s="70" t="s">
        <v>1019</v>
      </c>
      <c r="Y171" s="70" t="s">
        <v>12</v>
      </c>
      <c r="Z171" s="70" t="s">
        <v>706</v>
      </c>
      <c r="AA171" s="70" t="s">
        <v>16</v>
      </c>
      <c r="AB171" s="70" t="s">
        <v>1026</v>
      </c>
      <c r="AC171" s="69" t="s">
        <v>1028</v>
      </c>
      <c r="AD171" s="70" t="s">
        <v>1024</v>
      </c>
      <c r="AE171" s="70" t="s">
        <v>1025</v>
      </c>
      <c r="AF171" s="69" t="s">
        <v>1022</v>
      </c>
      <c r="AG171" s="69" t="s">
        <v>1023</v>
      </c>
      <c r="AH171" s="69"/>
      <c r="AI171" s="69"/>
      <c r="AJ171" s="69"/>
      <c r="AK171" s="69"/>
      <c r="AL171" s="2" t="str">
        <f t="shared" si="3"/>
        <v>Yes</v>
      </c>
    </row>
    <row r="172" spans="1:38" ht="281.25" customHeight="1" x14ac:dyDescent="0.25">
      <c r="A172" s="5" t="s">
        <v>969</v>
      </c>
      <c r="B172" s="5" t="s">
        <v>968</v>
      </c>
      <c r="C172" s="5" t="s">
        <v>306</v>
      </c>
      <c r="D172" s="5">
        <v>1</v>
      </c>
      <c r="E172" s="5">
        <v>3500</v>
      </c>
      <c r="F172" s="69">
        <f>E172-500</f>
        <v>3000</v>
      </c>
      <c r="G172" s="5">
        <f>E172/D172</f>
        <v>3500</v>
      </c>
      <c r="K172" s="2" t="s">
        <v>2019</v>
      </c>
      <c r="L172" s="5">
        <v>0</v>
      </c>
      <c r="M172" s="5">
        <v>0</v>
      </c>
      <c r="N172" s="5">
        <v>0</v>
      </c>
      <c r="O172" s="5">
        <v>0</v>
      </c>
      <c r="P172" s="5">
        <v>100</v>
      </c>
      <c r="U172" s="69">
        <v>1</v>
      </c>
      <c r="V172" s="70" t="s">
        <v>809</v>
      </c>
      <c r="W172" s="70" t="s">
        <v>972</v>
      </c>
      <c r="X172" s="70" t="s">
        <v>973</v>
      </c>
      <c r="Y172" s="70" t="s">
        <v>2018</v>
      </c>
      <c r="Z172" s="69"/>
      <c r="AA172" s="70" t="s">
        <v>16</v>
      </c>
      <c r="AB172" s="69" t="s">
        <v>974</v>
      </c>
      <c r="AC172" s="69" t="s">
        <v>971</v>
      </c>
      <c r="AD172" s="69"/>
      <c r="AE172" s="69" t="s">
        <v>970</v>
      </c>
      <c r="AF172" s="69"/>
      <c r="AG172" s="69"/>
      <c r="AH172" s="69"/>
      <c r="AI172" s="69"/>
      <c r="AJ172" s="69"/>
      <c r="AK172" s="69"/>
      <c r="AL172" s="2" t="str">
        <f t="shared" si="3"/>
        <v>No</v>
      </c>
    </row>
    <row r="173" spans="1:38" ht="217.5" x14ac:dyDescent="0.25">
      <c r="A173" s="2" t="s">
        <v>232</v>
      </c>
      <c r="B173" s="2" t="s">
        <v>233</v>
      </c>
      <c r="C173" s="70" t="s">
        <v>306</v>
      </c>
      <c r="D173" s="2">
        <v>1</v>
      </c>
      <c r="E173" s="2">
        <v>45</v>
      </c>
      <c r="F173" s="2">
        <v>45</v>
      </c>
      <c r="G173" s="2">
        <f>E173/D173</f>
        <v>45</v>
      </c>
      <c r="H173" s="2"/>
      <c r="I173" s="2"/>
      <c r="J173" s="2">
        <v>11</v>
      </c>
      <c r="K173" s="2" t="s">
        <v>1234</v>
      </c>
      <c r="L173" s="5">
        <v>0</v>
      </c>
      <c r="M173" s="5">
        <v>11.1</v>
      </c>
      <c r="N173" s="5">
        <v>88.9</v>
      </c>
      <c r="O173" s="5">
        <v>0</v>
      </c>
      <c r="P173" s="5">
        <v>0</v>
      </c>
      <c r="R173" s="5">
        <v>1</v>
      </c>
      <c r="S173" s="5">
        <v>2</v>
      </c>
      <c r="T173" s="2"/>
      <c r="U173" s="2"/>
      <c r="V173" s="2" t="s">
        <v>230</v>
      </c>
      <c r="W173" s="2" t="s">
        <v>234</v>
      </c>
      <c r="X173" s="2" t="s">
        <v>235</v>
      </c>
      <c r="Y173" s="2" t="s">
        <v>12</v>
      </c>
      <c r="Z173" s="2" t="s">
        <v>986</v>
      </c>
      <c r="AA173" s="2" t="s">
        <v>17</v>
      </c>
      <c r="AB173" s="2" t="s">
        <v>1284</v>
      </c>
      <c r="AC173" s="5" t="s">
        <v>1268</v>
      </c>
      <c r="AD173" s="2">
        <v>27000</v>
      </c>
      <c r="AE173" s="2" t="s">
        <v>1286</v>
      </c>
      <c r="AF173" s="2" t="s">
        <v>1285</v>
      </c>
      <c r="AG173" s="2">
        <v>4320</v>
      </c>
      <c r="AH173" s="2"/>
      <c r="AI173" s="2"/>
      <c r="AJ173" s="2"/>
      <c r="AK173" s="2"/>
      <c r="AL173" s="2" t="str">
        <f t="shared" si="3"/>
        <v>Yes</v>
      </c>
    </row>
    <row r="174" spans="1:38" ht="73.5" customHeight="1" x14ac:dyDescent="0.25">
      <c r="A174" s="2" t="s">
        <v>55</v>
      </c>
      <c r="B174" s="2" t="s">
        <v>56</v>
      </c>
      <c r="C174" s="2" t="s">
        <v>308</v>
      </c>
      <c r="D174" s="2">
        <v>1</v>
      </c>
      <c r="E174" s="2">
        <v>20</v>
      </c>
      <c r="F174" s="2">
        <v>20</v>
      </c>
      <c r="G174" s="2">
        <f>E174/D174</f>
        <v>20</v>
      </c>
      <c r="H174" s="2">
        <v>80</v>
      </c>
      <c r="I174" s="2"/>
      <c r="J174" s="2">
        <v>3</v>
      </c>
      <c r="K174" s="2" t="s">
        <v>58</v>
      </c>
      <c r="L174" s="2">
        <v>0</v>
      </c>
      <c r="M174" s="2">
        <v>100</v>
      </c>
      <c r="N174" s="2">
        <v>0</v>
      </c>
      <c r="O174" s="2">
        <v>0</v>
      </c>
      <c r="P174" s="2">
        <v>0</v>
      </c>
      <c r="R174" s="5">
        <v>1</v>
      </c>
      <c r="U174" s="69"/>
      <c r="V174" s="2" t="s">
        <v>79</v>
      </c>
      <c r="W174" s="2" t="s">
        <v>57</v>
      </c>
      <c r="X174" s="2" t="s">
        <v>60</v>
      </c>
      <c r="Y174" s="2" t="s">
        <v>12</v>
      </c>
      <c r="Z174" s="2" t="s">
        <v>37</v>
      </c>
      <c r="AA174" s="2" t="s">
        <v>17</v>
      </c>
      <c r="AB174" s="2"/>
      <c r="AC174" s="5" t="s">
        <v>164</v>
      </c>
      <c r="AD174" s="2" t="s">
        <v>59</v>
      </c>
      <c r="AE174" s="69"/>
      <c r="AF174" s="69"/>
      <c r="AG174" s="69"/>
      <c r="AH174" s="69"/>
      <c r="AI174" s="69"/>
      <c r="AJ174" s="69"/>
      <c r="AK174" s="69"/>
      <c r="AL174" s="2" t="str">
        <f t="shared" si="3"/>
        <v>No</v>
      </c>
    </row>
    <row r="175" spans="1:38" ht="41.25" customHeight="1" x14ac:dyDescent="0.25">
      <c r="A175" s="70" t="s">
        <v>1328</v>
      </c>
      <c r="B175" s="2" t="s">
        <v>1724</v>
      </c>
      <c r="C175" s="5" t="s">
        <v>306</v>
      </c>
      <c r="F175" s="69"/>
      <c r="K175" s="2" t="s">
        <v>1725</v>
      </c>
      <c r="P175" s="69"/>
      <c r="U175" s="69"/>
      <c r="V175" s="70" t="s">
        <v>1891</v>
      </c>
      <c r="W175" s="70" t="s">
        <v>1723</v>
      </c>
      <c r="X175" s="70" t="s">
        <v>884</v>
      </c>
      <c r="Y175" s="69"/>
      <c r="Z175" s="70" t="s">
        <v>517</v>
      </c>
      <c r="AA175" s="70" t="s">
        <v>16</v>
      </c>
      <c r="AB175" s="69"/>
      <c r="AC175" s="72" t="s">
        <v>1726</v>
      </c>
      <c r="AD175" s="69"/>
      <c r="AE175" s="69"/>
      <c r="AF175" s="69"/>
      <c r="AG175" s="69"/>
      <c r="AH175" s="69"/>
      <c r="AI175" s="69"/>
      <c r="AJ175" s="69"/>
      <c r="AK175" s="69"/>
      <c r="AL175" s="2" t="str">
        <f t="shared" si="3"/>
        <v>Yes</v>
      </c>
    </row>
    <row r="176" spans="1:38" ht="165" x14ac:dyDescent="0.25">
      <c r="A176" s="70" t="s">
        <v>1313</v>
      </c>
      <c r="B176" s="5" t="s">
        <v>414</v>
      </c>
      <c r="C176" s="5" t="s">
        <v>306</v>
      </c>
      <c r="D176" s="5">
        <v>2</v>
      </c>
      <c r="E176" s="5">
        <v>2000</v>
      </c>
      <c r="F176" s="5">
        <v>2000</v>
      </c>
      <c r="G176" s="5">
        <f>E176/D176</f>
        <v>1000</v>
      </c>
      <c r="K176" s="2" t="s">
        <v>1642</v>
      </c>
      <c r="P176" s="69"/>
      <c r="U176" s="69"/>
      <c r="V176" s="70" t="s">
        <v>65</v>
      </c>
      <c r="W176" s="70" t="s">
        <v>239</v>
      </c>
      <c r="X176" s="70" t="s">
        <v>1640</v>
      </c>
      <c r="Y176" s="70" t="s">
        <v>12</v>
      </c>
      <c r="Z176" s="70" t="s">
        <v>1197</v>
      </c>
      <c r="AA176" s="70" t="s">
        <v>16</v>
      </c>
      <c r="AB176" s="69"/>
      <c r="AC176" s="82" t="s">
        <v>1641</v>
      </c>
      <c r="AD176" s="69"/>
      <c r="AE176" s="69"/>
      <c r="AF176" s="69"/>
      <c r="AG176" s="69"/>
      <c r="AH176" s="69"/>
      <c r="AI176" s="69"/>
      <c r="AJ176" s="69"/>
      <c r="AK176" s="69"/>
      <c r="AL176" s="2" t="str">
        <f t="shared" si="3"/>
        <v>Yes</v>
      </c>
    </row>
    <row r="177" spans="1:38" ht="58.5" customHeight="1" x14ac:dyDescent="0.25">
      <c r="A177" s="70" t="s">
        <v>1304</v>
      </c>
      <c r="B177" s="5" t="s">
        <v>1593</v>
      </c>
      <c r="C177" s="5" t="s">
        <v>306</v>
      </c>
      <c r="F177" s="69"/>
      <c r="J177" s="5">
        <v>3</v>
      </c>
      <c r="K177" s="2" t="s">
        <v>1607</v>
      </c>
      <c r="L177" s="5">
        <v>100</v>
      </c>
      <c r="M177" s="5">
        <v>0</v>
      </c>
      <c r="N177" s="5">
        <v>0</v>
      </c>
      <c r="O177" s="5">
        <v>0</v>
      </c>
      <c r="P177" s="5">
        <v>0</v>
      </c>
      <c r="U177" s="69"/>
      <c r="V177" s="69"/>
      <c r="W177" s="70" t="s">
        <v>1305</v>
      </c>
      <c r="X177" s="70" t="s">
        <v>1606</v>
      </c>
      <c r="Y177" s="70" t="s">
        <v>12</v>
      </c>
      <c r="Z177" s="70" t="s">
        <v>729</v>
      </c>
      <c r="AA177" s="70" t="s">
        <v>16</v>
      </c>
      <c r="AB177" s="69" t="s">
        <v>1605</v>
      </c>
      <c r="AC177" s="82" t="s">
        <v>1608</v>
      </c>
      <c r="AD177" s="69"/>
      <c r="AE177" s="69"/>
      <c r="AF177" s="69"/>
      <c r="AG177" s="69"/>
      <c r="AH177" s="69"/>
      <c r="AI177" s="69"/>
      <c r="AJ177" s="69"/>
      <c r="AK177" s="69"/>
      <c r="AL177" s="2" t="str">
        <f t="shared" si="3"/>
        <v>Yes</v>
      </c>
    </row>
    <row r="178" spans="1:38" ht="125.25" customHeight="1" x14ac:dyDescent="0.25">
      <c r="A178" s="69" t="s">
        <v>1385</v>
      </c>
      <c r="B178" s="70" t="s">
        <v>1410</v>
      </c>
      <c r="C178" s="5" t="s">
        <v>306</v>
      </c>
      <c r="D178" s="69">
        <v>1</v>
      </c>
      <c r="E178" s="69">
        <v>50</v>
      </c>
      <c r="F178" s="69">
        <v>50</v>
      </c>
      <c r="G178" s="69">
        <v>50</v>
      </c>
      <c r="I178" s="5" t="s">
        <v>1293</v>
      </c>
      <c r="J178" s="69">
        <v>13</v>
      </c>
      <c r="K178" s="75" t="s">
        <v>1479</v>
      </c>
      <c r="L178" s="75">
        <v>100</v>
      </c>
      <c r="M178" s="5">
        <v>0</v>
      </c>
      <c r="N178" s="5">
        <v>0</v>
      </c>
      <c r="O178" s="5">
        <v>0</v>
      </c>
      <c r="P178" s="5">
        <v>0</v>
      </c>
      <c r="Q178" s="5">
        <v>2</v>
      </c>
      <c r="U178" s="69"/>
      <c r="V178" s="70" t="s">
        <v>550</v>
      </c>
      <c r="W178" s="70" t="s">
        <v>1386</v>
      </c>
      <c r="X178" s="69"/>
      <c r="Y178" s="69" t="s">
        <v>153</v>
      </c>
      <c r="Z178" s="69"/>
      <c r="AA178" s="70" t="s">
        <v>16</v>
      </c>
      <c r="AB178" s="69" t="s">
        <v>1480</v>
      </c>
      <c r="AC178" s="69" t="s">
        <v>1478</v>
      </c>
      <c r="AD178" s="69"/>
      <c r="AE178" s="69"/>
      <c r="AF178" s="69"/>
      <c r="AG178" s="69"/>
      <c r="AH178" s="69"/>
      <c r="AI178" s="69">
        <v>39.549999999999997</v>
      </c>
      <c r="AJ178" s="69">
        <v>2</v>
      </c>
      <c r="AK178" s="69">
        <v>13</v>
      </c>
      <c r="AL178" s="2" t="str">
        <f t="shared" si="3"/>
        <v>Yes</v>
      </c>
    </row>
    <row r="179" spans="1:38" ht="166.5" customHeight="1" x14ac:dyDescent="0.25">
      <c r="A179" s="2" t="s">
        <v>461</v>
      </c>
      <c r="B179" s="2" t="s">
        <v>456</v>
      </c>
      <c r="C179" s="2" t="s">
        <v>308</v>
      </c>
      <c r="D179" s="70">
        <v>1</v>
      </c>
      <c r="E179" s="70">
        <v>800</v>
      </c>
      <c r="F179" s="70">
        <v>800</v>
      </c>
      <c r="G179" s="70">
        <v>800</v>
      </c>
      <c r="H179" s="70"/>
      <c r="I179" s="70"/>
      <c r="J179" s="5">
        <f>261/4</f>
        <v>65.25</v>
      </c>
      <c r="K179" s="70" t="s">
        <v>1995</v>
      </c>
      <c r="L179" s="70">
        <v>100</v>
      </c>
      <c r="M179" s="70">
        <v>0</v>
      </c>
      <c r="N179" s="70">
        <v>0</v>
      </c>
      <c r="O179" s="70">
        <v>0</v>
      </c>
      <c r="P179" s="70">
        <v>0</v>
      </c>
      <c r="Q179" s="70">
        <v>2</v>
      </c>
      <c r="R179" s="70"/>
      <c r="S179" s="70"/>
      <c r="T179" s="70"/>
      <c r="U179" s="70"/>
      <c r="V179" s="2" t="s">
        <v>469</v>
      </c>
      <c r="W179" s="2" t="s">
        <v>458</v>
      </c>
      <c r="X179" s="70"/>
      <c r="Y179" s="70" t="s">
        <v>12</v>
      </c>
      <c r="Z179" s="70"/>
      <c r="AA179" s="5" t="s">
        <v>17</v>
      </c>
      <c r="AB179" s="74" t="s">
        <v>1997</v>
      </c>
      <c r="AC179" s="69" t="s">
        <v>1994</v>
      </c>
      <c r="AD179" s="70"/>
      <c r="AE179" s="70"/>
      <c r="AF179" s="70"/>
      <c r="AG179" s="70"/>
      <c r="AH179" s="70"/>
      <c r="AI179" s="70"/>
      <c r="AJ179" s="70"/>
      <c r="AK179" s="70"/>
      <c r="AL179" s="2" t="str">
        <f t="shared" si="3"/>
        <v>Yes</v>
      </c>
    </row>
    <row r="180" spans="1:38" ht="122.25" customHeight="1" x14ac:dyDescent="0.25">
      <c r="A180" s="5" t="s">
        <v>330</v>
      </c>
      <c r="B180" s="5" t="s">
        <v>331</v>
      </c>
      <c r="C180" s="5" t="s">
        <v>310</v>
      </c>
      <c r="D180" s="5">
        <v>1</v>
      </c>
      <c r="E180" s="5">
        <v>65</v>
      </c>
      <c r="F180" s="5">
        <v>65</v>
      </c>
      <c r="G180" s="2">
        <f>E180/D180</f>
        <v>65</v>
      </c>
      <c r="H180" s="5">
        <v>21</v>
      </c>
      <c r="J180" s="5">
        <v>34</v>
      </c>
      <c r="K180" s="2" t="s">
        <v>401</v>
      </c>
      <c r="L180" s="5">
        <v>100</v>
      </c>
      <c r="M180" s="5">
        <v>0</v>
      </c>
      <c r="N180" s="5">
        <v>0</v>
      </c>
      <c r="O180" s="5">
        <v>0</v>
      </c>
      <c r="P180" s="5">
        <v>0</v>
      </c>
      <c r="Q180" s="70">
        <v>2</v>
      </c>
      <c r="R180" s="70"/>
      <c r="S180" s="70"/>
      <c r="T180" s="70"/>
      <c r="U180" s="70"/>
      <c r="V180" s="5">
        <v>0</v>
      </c>
      <c r="W180" s="2" t="s">
        <v>332</v>
      </c>
      <c r="X180" s="2" t="s">
        <v>333</v>
      </c>
      <c r="Y180" s="5" t="s">
        <v>12</v>
      </c>
      <c r="Z180" s="5"/>
      <c r="AA180" s="2" t="s">
        <v>16</v>
      </c>
      <c r="AB180" s="5" t="s">
        <v>343</v>
      </c>
      <c r="AC180" s="5" t="s">
        <v>400</v>
      </c>
      <c r="AD180" s="5"/>
      <c r="AE180" s="70"/>
      <c r="AF180" s="70"/>
      <c r="AG180" s="70"/>
      <c r="AH180" s="70"/>
      <c r="AI180" s="70"/>
      <c r="AJ180" s="70"/>
      <c r="AK180" s="70"/>
      <c r="AL180" s="2" t="str">
        <f t="shared" si="3"/>
        <v>Yes</v>
      </c>
    </row>
    <row r="181" spans="1:38" ht="165.75" customHeight="1" x14ac:dyDescent="0.25">
      <c r="A181" s="2" t="s">
        <v>461</v>
      </c>
      <c r="B181" s="2" t="s">
        <v>456</v>
      </c>
      <c r="C181" s="2" t="s">
        <v>308</v>
      </c>
      <c r="D181" s="5">
        <v>1</v>
      </c>
      <c r="E181" s="5">
        <f>350+450</f>
        <v>800</v>
      </c>
      <c r="F181" s="5">
        <f>350+450</f>
        <v>800</v>
      </c>
      <c r="G181" s="5">
        <f>E181/D181</f>
        <v>800</v>
      </c>
      <c r="J181" s="5">
        <v>107</v>
      </c>
      <c r="K181" s="2" t="s">
        <v>462</v>
      </c>
      <c r="L181" s="5">
        <v>100</v>
      </c>
      <c r="M181" s="5">
        <v>0</v>
      </c>
      <c r="N181" s="5">
        <v>0</v>
      </c>
      <c r="O181" s="5">
        <v>0</v>
      </c>
      <c r="P181" s="5">
        <v>0</v>
      </c>
      <c r="Q181" s="70">
        <v>2</v>
      </c>
      <c r="R181" s="70"/>
      <c r="S181" s="70"/>
      <c r="T181" s="70"/>
      <c r="U181" s="70"/>
      <c r="V181" s="2" t="s">
        <v>469</v>
      </c>
      <c r="W181" s="2" t="s">
        <v>458</v>
      </c>
      <c r="X181" s="5"/>
      <c r="Y181" s="5" t="s">
        <v>12</v>
      </c>
      <c r="Z181" s="69"/>
      <c r="AA181" s="5" t="s">
        <v>17</v>
      </c>
      <c r="AB181" s="69"/>
      <c r="AC181" s="69"/>
      <c r="AD181" s="69"/>
      <c r="AE181" s="70"/>
      <c r="AF181" s="70"/>
      <c r="AG181" s="70"/>
      <c r="AH181" s="70"/>
      <c r="AI181" s="70"/>
      <c r="AJ181" s="70"/>
      <c r="AK181" s="70"/>
      <c r="AL181" s="2" t="str">
        <f t="shared" si="3"/>
        <v>Yes</v>
      </c>
    </row>
    <row r="182" spans="1:38" ht="141.75" customHeight="1" x14ac:dyDescent="0.25">
      <c r="A182" s="70" t="s">
        <v>1335</v>
      </c>
      <c r="B182" s="2" t="s">
        <v>1762</v>
      </c>
      <c r="C182" s="5" t="s">
        <v>306</v>
      </c>
      <c r="F182" s="69"/>
      <c r="J182" s="5">
        <v>6</v>
      </c>
      <c r="K182" s="2" t="s">
        <v>1763</v>
      </c>
      <c r="P182" s="69"/>
      <c r="U182" s="69"/>
      <c r="V182" s="70" t="s">
        <v>1891</v>
      </c>
      <c r="W182" s="70" t="s">
        <v>1890</v>
      </c>
      <c r="X182" s="70" t="s">
        <v>1888</v>
      </c>
      <c r="Y182" s="69"/>
      <c r="Z182" s="70" t="s">
        <v>517</v>
      </c>
      <c r="AA182" s="70" t="s">
        <v>16</v>
      </c>
      <c r="AB182" s="70" t="s">
        <v>1765</v>
      </c>
      <c r="AC182" s="69" t="s">
        <v>1764</v>
      </c>
      <c r="AD182" s="69"/>
      <c r="AE182" s="69"/>
      <c r="AF182" s="69"/>
      <c r="AG182" s="69"/>
      <c r="AH182" s="69"/>
      <c r="AI182" s="69"/>
      <c r="AJ182" s="69"/>
      <c r="AK182" s="69"/>
      <c r="AL182" s="2" t="str">
        <f t="shared" si="3"/>
        <v>Yes</v>
      </c>
    </row>
    <row r="183" spans="1:38" ht="158.25" customHeight="1" x14ac:dyDescent="0.25">
      <c r="A183" s="70" t="s">
        <v>1456</v>
      </c>
      <c r="B183" s="70" t="s">
        <v>1453</v>
      </c>
      <c r="C183" s="5" t="s">
        <v>306</v>
      </c>
      <c r="D183" s="69">
        <v>1</v>
      </c>
      <c r="E183" s="69">
        <v>400</v>
      </c>
      <c r="F183" s="69">
        <v>400</v>
      </c>
      <c r="G183" s="69">
        <v>400</v>
      </c>
      <c r="J183" s="69">
        <v>5</v>
      </c>
      <c r="K183" s="75" t="s">
        <v>1458</v>
      </c>
      <c r="L183" s="75">
        <v>0</v>
      </c>
      <c r="M183" s="5">
        <v>0</v>
      </c>
      <c r="N183" s="5">
        <v>100</v>
      </c>
      <c r="O183" s="5">
        <v>0</v>
      </c>
      <c r="P183" s="5">
        <v>0</v>
      </c>
      <c r="S183" s="5">
        <v>2</v>
      </c>
      <c r="U183" s="69"/>
      <c r="V183" s="69"/>
      <c r="W183" s="70" t="s">
        <v>1452</v>
      </c>
      <c r="X183" s="70" t="s">
        <v>1457</v>
      </c>
      <c r="Y183" s="69" t="s">
        <v>12</v>
      </c>
      <c r="Z183" s="69"/>
      <c r="AA183" s="70" t="s">
        <v>16</v>
      </c>
      <c r="AB183" s="70" t="s">
        <v>1455</v>
      </c>
      <c r="AC183" s="69" t="s">
        <v>1454</v>
      </c>
      <c r="AD183" s="69"/>
      <c r="AE183" s="69"/>
      <c r="AF183" s="69"/>
      <c r="AG183" s="69"/>
      <c r="AH183" s="69"/>
      <c r="AI183" s="69">
        <v>400</v>
      </c>
      <c r="AJ183" s="69">
        <v>1</v>
      </c>
      <c r="AK183" s="69">
        <v>5</v>
      </c>
      <c r="AL183" s="2" t="str">
        <f t="shared" si="3"/>
        <v>No</v>
      </c>
    </row>
    <row r="184" spans="1:38" ht="373.5" customHeight="1" x14ac:dyDescent="0.25">
      <c r="A184" s="2" t="s">
        <v>465</v>
      </c>
      <c r="B184" s="2" t="s">
        <v>456</v>
      </c>
      <c r="C184" s="2" t="s">
        <v>308</v>
      </c>
      <c r="D184" s="5">
        <v>1</v>
      </c>
      <c r="E184" s="5">
        <v>950</v>
      </c>
      <c r="F184" s="5">
        <v>950</v>
      </c>
      <c r="G184" s="5">
        <v>950</v>
      </c>
      <c r="J184" s="5">
        <v>52</v>
      </c>
      <c r="K184" s="2" t="s">
        <v>468</v>
      </c>
      <c r="L184" s="5">
        <v>0</v>
      </c>
      <c r="M184" s="5">
        <v>0</v>
      </c>
      <c r="N184" s="5">
        <v>100</v>
      </c>
      <c r="O184" s="5">
        <v>0</v>
      </c>
      <c r="P184" s="5">
        <v>0</v>
      </c>
      <c r="Q184" s="70"/>
      <c r="R184" s="70"/>
      <c r="S184" s="70">
        <v>2</v>
      </c>
      <c r="T184" s="70"/>
      <c r="U184" s="70"/>
      <c r="V184" s="2" t="s">
        <v>469</v>
      </c>
      <c r="W184" s="2" t="s">
        <v>458</v>
      </c>
      <c r="X184" s="5"/>
      <c r="Y184" s="5" t="s">
        <v>12</v>
      </c>
      <c r="Z184" s="69"/>
      <c r="AA184" s="5" t="s">
        <v>17</v>
      </c>
      <c r="AB184" s="70" t="s">
        <v>467</v>
      </c>
      <c r="AC184" s="69"/>
      <c r="AD184" s="69"/>
      <c r="AE184" s="70"/>
      <c r="AF184" s="70"/>
      <c r="AG184" s="70"/>
      <c r="AH184" s="70"/>
      <c r="AI184" s="70"/>
      <c r="AJ184" s="70"/>
      <c r="AK184" s="70"/>
      <c r="AL184" s="2" t="str">
        <f t="shared" si="3"/>
        <v>No</v>
      </c>
    </row>
    <row r="185" spans="1:38" ht="96.75" customHeight="1" x14ac:dyDescent="0.25">
      <c r="A185" s="70" t="s">
        <v>1600</v>
      </c>
      <c r="B185" s="5" t="s">
        <v>1602</v>
      </c>
      <c r="C185" s="5" t="s">
        <v>306</v>
      </c>
      <c r="D185" s="5">
        <v>1</v>
      </c>
      <c r="E185" s="5">
        <v>1000</v>
      </c>
      <c r="F185" s="5">
        <v>1000</v>
      </c>
      <c r="G185" s="5">
        <v>1000</v>
      </c>
      <c r="J185" s="5">
        <v>21</v>
      </c>
      <c r="K185" s="2" t="s">
        <v>1603</v>
      </c>
      <c r="L185" s="5">
        <v>100</v>
      </c>
      <c r="M185" s="5">
        <v>0</v>
      </c>
      <c r="N185" s="5">
        <v>0</v>
      </c>
      <c r="O185" s="5">
        <v>0</v>
      </c>
      <c r="P185" s="5">
        <v>0</v>
      </c>
      <c r="U185" s="69"/>
      <c r="V185" s="69"/>
      <c r="W185" s="70" t="s">
        <v>1303</v>
      </c>
      <c r="X185" s="70" t="s">
        <v>1601</v>
      </c>
      <c r="Y185" s="70" t="s">
        <v>12</v>
      </c>
      <c r="Z185" s="70" t="s">
        <v>729</v>
      </c>
      <c r="AA185" s="70" t="s">
        <v>16</v>
      </c>
      <c r="AB185" s="69"/>
      <c r="AC185" s="72" t="s">
        <v>1604</v>
      </c>
      <c r="AD185" s="69"/>
      <c r="AE185" s="69"/>
      <c r="AF185" s="69"/>
      <c r="AG185" s="69"/>
      <c r="AH185" s="69"/>
      <c r="AI185" s="69"/>
      <c r="AJ185" s="69"/>
      <c r="AK185" s="69"/>
      <c r="AL185" s="2" t="str">
        <f t="shared" si="3"/>
        <v>Yes</v>
      </c>
    </row>
    <row r="186" spans="1:38" ht="167.25" customHeight="1" x14ac:dyDescent="0.25">
      <c r="A186" s="2" t="s">
        <v>585</v>
      </c>
      <c r="B186" s="5" t="s">
        <v>588</v>
      </c>
      <c r="C186" s="2" t="s">
        <v>308</v>
      </c>
      <c r="D186" s="5">
        <v>3</v>
      </c>
      <c r="E186" s="5">
        <v>3000</v>
      </c>
      <c r="F186" s="5">
        <v>3000</v>
      </c>
      <c r="G186" s="5">
        <f>E186/D186</f>
        <v>1000</v>
      </c>
      <c r="J186" s="5">
        <v>25</v>
      </c>
      <c r="K186" s="2" t="s">
        <v>815</v>
      </c>
      <c r="L186" s="5">
        <v>100</v>
      </c>
      <c r="M186" s="5">
        <v>0</v>
      </c>
      <c r="N186" s="5">
        <v>0</v>
      </c>
      <c r="O186" s="5">
        <v>0</v>
      </c>
      <c r="P186" s="5">
        <v>0</v>
      </c>
      <c r="U186" s="69"/>
      <c r="V186" s="70" t="s">
        <v>808</v>
      </c>
      <c r="W186" s="70" t="s">
        <v>586</v>
      </c>
      <c r="X186" s="70" t="s">
        <v>587</v>
      </c>
      <c r="Y186" s="70" t="s">
        <v>12</v>
      </c>
      <c r="Z186" s="70" t="s">
        <v>706</v>
      </c>
      <c r="AA186" s="5" t="s">
        <v>17</v>
      </c>
      <c r="AB186" s="69" t="s">
        <v>589</v>
      </c>
      <c r="AC186" s="69" t="s">
        <v>814</v>
      </c>
      <c r="AD186" s="69">
        <v>5000000</v>
      </c>
      <c r="AE186" s="69" t="s">
        <v>1280</v>
      </c>
      <c r="AF186" s="69">
        <v>70000</v>
      </c>
      <c r="AG186" s="69">
        <v>80000</v>
      </c>
      <c r="AH186" s="69"/>
      <c r="AI186" s="69"/>
      <c r="AJ186" s="69"/>
      <c r="AK186" s="69"/>
      <c r="AL186" s="2" t="str">
        <f t="shared" si="3"/>
        <v>Yes</v>
      </c>
    </row>
    <row r="187" spans="1:38" ht="154.5" customHeight="1" x14ac:dyDescent="0.25">
      <c r="A187" s="5" t="s">
        <v>864</v>
      </c>
      <c r="B187" s="5" t="s">
        <v>865</v>
      </c>
      <c r="C187" s="5" t="s">
        <v>306</v>
      </c>
      <c r="D187" s="5">
        <v>1</v>
      </c>
      <c r="E187" s="5">
        <v>10.5</v>
      </c>
      <c r="F187" s="5">
        <v>10.5</v>
      </c>
      <c r="G187" s="5">
        <v>10.5</v>
      </c>
      <c r="K187" s="2" t="s">
        <v>867</v>
      </c>
      <c r="P187" s="69"/>
      <c r="U187" s="69"/>
      <c r="V187" s="69"/>
      <c r="W187" s="70" t="s">
        <v>234</v>
      </c>
      <c r="X187" s="69"/>
      <c r="Y187" s="69" t="s">
        <v>12</v>
      </c>
      <c r="Z187" s="70" t="s">
        <v>866</v>
      </c>
      <c r="AA187" s="70" t="s">
        <v>17</v>
      </c>
      <c r="AB187" s="69"/>
      <c r="AC187" s="72" t="s">
        <v>856</v>
      </c>
      <c r="AD187" s="69"/>
      <c r="AE187" s="69"/>
      <c r="AF187" s="69"/>
      <c r="AG187" s="69"/>
      <c r="AH187" s="69"/>
      <c r="AI187" s="69"/>
      <c r="AJ187" s="69"/>
      <c r="AK187" s="69"/>
      <c r="AL187" s="2" t="str">
        <f t="shared" si="3"/>
        <v>No</v>
      </c>
    </row>
    <row r="188" spans="1:38" ht="157.5" customHeight="1" x14ac:dyDescent="0.25">
      <c r="A188" s="2" t="s">
        <v>915</v>
      </c>
      <c r="B188" s="5" t="s">
        <v>588</v>
      </c>
      <c r="C188" s="2" t="s">
        <v>308</v>
      </c>
      <c r="D188" s="5">
        <v>1</v>
      </c>
      <c r="E188" s="5">
        <v>34</v>
      </c>
      <c r="F188" s="5">
        <v>34</v>
      </c>
      <c r="G188" s="5">
        <v>34</v>
      </c>
      <c r="J188" s="5">
        <v>21</v>
      </c>
      <c r="K188" s="2" t="s">
        <v>916</v>
      </c>
      <c r="L188" s="5">
        <v>100</v>
      </c>
      <c r="M188" s="5">
        <v>0</v>
      </c>
      <c r="N188" s="5">
        <v>0</v>
      </c>
      <c r="O188" s="5">
        <v>0</v>
      </c>
      <c r="P188" s="5">
        <v>0</v>
      </c>
      <c r="Q188" s="5">
        <v>2</v>
      </c>
      <c r="U188" s="69"/>
      <c r="V188" s="69"/>
      <c r="W188" s="70" t="s">
        <v>913</v>
      </c>
      <c r="X188" s="70" t="s">
        <v>918</v>
      </c>
      <c r="Y188" s="69" t="s">
        <v>12</v>
      </c>
      <c r="Z188" s="70" t="s">
        <v>578</v>
      </c>
      <c r="AA188" s="70" t="s">
        <v>17</v>
      </c>
      <c r="AB188" s="70" t="s">
        <v>919</v>
      </c>
      <c r="AC188" s="69" t="s">
        <v>917</v>
      </c>
      <c r="AD188" s="69">
        <v>70000</v>
      </c>
      <c r="AE188" s="69" t="s">
        <v>914</v>
      </c>
      <c r="AF188" s="69">
        <v>4000</v>
      </c>
      <c r="AG188" s="69">
        <v>3494</v>
      </c>
      <c r="AH188" s="69"/>
      <c r="AI188" s="69"/>
      <c r="AJ188" s="69"/>
      <c r="AK188" s="69"/>
      <c r="AL188" s="2" t="str">
        <f t="shared" si="3"/>
        <v>Yes</v>
      </c>
    </row>
    <row r="189" spans="1:38" ht="195" customHeight="1" x14ac:dyDescent="0.25">
      <c r="A189" s="5" t="s">
        <v>1142</v>
      </c>
      <c r="B189" s="5" t="s">
        <v>1143</v>
      </c>
      <c r="C189" s="5" t="s">
        <v>306</v>
      </c>
      <c r="D189" s="5">
        <v>1</v>
      </c>
      <c r="E189" s="5">
        <v>201.6</v>
      </c>
      <c r="F189" s="5">
        <v>201.6</v>
      </c>
      <c r="G189" s="5">
        <v>201.6</v>
      </c>
      <c r="J189" s="5">
        <v>5</v>
      </c>
      <c r="K189" s="2" t="s">
        <v>1252</v>
      </c>
      <c r="L189" s="5">
        <v>0</v>
      </c>
      <c r="M189" s="5">
        <v>2.5</v>
      </c>
      <c r="N189" s="5">
        <v>2.5</v>
      </c>
      <c r="O189" s="5">
        <v>0</v>
      </c>
      <c r="P189" s="5">
        <v>95</v>
      </c>
      <c r="R189" s="5">
        <v>1</v>
      </c>
      <c r="S189" s="5">
        <v>1</v>
      </c>
      <c r="U189" s="5">
        <v>1</v>
      </c>
      <c r="V189" s="70" t="s">
        <v>1087</v>
      </c>
      <c r="W189" s="70" t="s">
        <v>1251</v>
      </c>
      <c r="X189" s="69"/>
      <c r="Y189" s="70" t="s">
        <v>12</v>
      </c>
      <c r="Z189" s="70" t="s">
        <v>283</v>
      </c>
      <c r="AA189" s="70" t="s">
        <v>17</v>
      </c>
      <c r="AB189" s="69"/>
      <c r="AC189" s="69" t="s">
        <v>1089</v>
      </c>
      <c r="AD189" s="69"/>
      <c r="AE189" s="69" t="s">
        <v>1144</v>
      </c>
      <c r="AF189" s="69"/>
      <c r="AG189" s="69"/>
      <c r="AH189" s="69"/>
      <c r="AI189" s="69"/>
      <c r="AJ189" s="69"/>
      <c r="AK189" s="69"/>
      <c r="AL189" s="2" t="str">
        <f t="shared" si="3"/>
        <v>Yes</v>
      </c>
    </row>
    <row r="190" spans="1:38" ht="135.75" customHeight="1" x14ac:dyDescent="0.25">
      <c r="A190" s="5" t="s">
        <v>271</v>
      </c>
      <c r="B190" s="5" t="s">
        <v>272</v>
      </c>
      <c r="C190" s="5" t="s">
        <v>306</v>
      </c>
      <c r="D190" s="5">
        <v>1</v>
      </c>
      <c r="E190" s="5">
        <v>150</v>
      </c>
      <c r="F190" s="5">
        <v>150</v>
      </c>
      <c r="G190" s="2">
        <f>E190/D190</f>
        <v>150</v>
      </c>
      <c r="J190" s="5">
        <v>120</v>
      </c>
      <c r="K190" s="2" t="s">
        <v>2033</v>
      </c>
      <c r="L190" s="5">
        <v>0</v>
      </c>
      <c r="M190" s="5">
        <v>0</v>
      </c>
      <c r="N190" s="5">
        <v>100</v>
      </c>
      <c r="O190" s="5">
        <v>0</v>
      </c>
      <c r="P190" s="5">
        <v>0</v>
      </c>
      <c r="Q190" s="70"/>
      <c r="R190" s="70"/>
      <c r="S190" s="70">
        <v>2</v>
      </c>
      <c r="T190" s="70"/>
      <c r="U190" s="70"/>
      <c r="V190" s="5" t="s">
        <v>274</v>
      </c>
      <c r="W190" s="5" t="s">
        <v>273</v>
      </c>
      <c r="X190" s="2" t="s">
        <v>275</v>
      </c>
      <c r="Y190" s="5" t="s">
        <v>33</v>
      </c>
      <c r="Z190" s="2" t="s">
        <v>706</v>
      </c>
      <c r="AA190" s="5" t="s">
        <v>16</v>
      </c>
      <c r="AB190" s="2" t="s">
        <v>825</v>
      </c>
      <c r="AC190" s="72" t="s">
        <v>2032</v>
      </c>
      <c r="AD190" s="5">
        <v>150000</v>
      </c>
      <c r="AE190" s="69" t="s">
        <v>824</v>
      </c>
      <c r="AF190" s="70">
        <v>10500</v>
      </c>
      <c r="AG190" s="70">
        <v>14500</v>
      </c>
      <c r="AH190" s="70"/>
      <c r="AI190" s="70"/>
      <c r="AJ190" s="70"/>
      <c r="AK190" s="70"/>
      <c r="AL190" s="2" t="str">
        <f t="shared" si="3"/>
        <v>Yes</v>
      </c>
    </row>
    <row r="191" spans="1:38" ht="296.25" customHeight="1" x14ac:dyDescent="0.25">
      <c r="A191" s="2" t="s">
        <v>84</v>
      </c>
      <c r="B191" s="2" t="s">
        <v>85</v>
      </c>
      <c r="C191" s="2" t="s">
        <v>312</v>
      </c>
      <c r="D191" s="2">
        <v>1</v>
      </c>
      <c r="E191" s="2">
        <v>55</v>
      </c>
      <c r="F191" s="2">
        <v>55</v>
      </c>
      <c r="G191" s="2">
        <f>E191/D191</f>
        <v>55</v>
      </c>
      <c r="H191" s="2">
        <v>15</v>
      </c>
      <c r="I191" s="2"/>
      <c r="J191" s="2">
        <v>20</v>
      </c>
      <c r="K191" s="2" t="s">
        <v>533</v>
      </c>
      <c r="L191" s="2">
        <v>0</v>
      </c>
      <c r="M191" s="2">
        <v>0</v>
      </c>
      <c r="N191" s="2">
        <v>0</v>
      </c>
      <c r="O191" s="2">
        <v>100</v>
      </c>
      <c r="P191" s="2">
        <v>0</v>
      </c>
      <c r="Q191" s="2"/>
      <c r="R191" s="2"/>
      <c r="S191" s="2"/>
      <c r="T191" s="2">
        <v>1</v>
      </c>
      <c r="U191" s="2"/>
      <c r="V191" s="2" t="s">
        <v>86</v>
      </c>
      <c r="W191" s="2" t="s">
        <v>387</v>
      </c>
      <c r="X191" s="2" t="s">
        <v>388</v>
      </c>
      <c r="Y191" s="2" t="s">
        <v>12</v>
      </c>
      <c r="Z191" s="2"/>
      <c r="AA191" s="2" t="s">
        <v>16</v>
      </c>
      <c r="AB191" s="2"/>
      <c r="AC191" s="5" t="s">
        <v>164</v>
      </c>
      <c r="AD191" s="2"/>
      <c r="AE191" s="2"/>
      <c r="AF191" s="2"/>
      <c r="AG191" s="2"/>
      <c r="AH191" s="2"/>
      <c r="AI191" s="2"/>
      <c r="AJ191" s="2"/>
      <c r="AK191" s="2"/>
      <c r="AL191" s="2" t="str">
        <f t="shared" si="3"/>
        <v>Yes</v>
      </c>
    </row>
    <row r="192" spans="1:38" ht="85.5" customHeight="1" x14ac:dyDescent="0.25">
      <c r="A192" s="70" t="s">
        <v>1348</v>
      </c>
      <c r="B192" s="5" t="s">
        <v>1814</v>
      </c>
      <c r="C192" s="5" t="s">
        <v>306</v>
      </c>
      <c r="D192" s="5">
        <v>1</v>
      </c>
      <c r="E192" s="5">
        <v>1000</v>
      </c>
      <c r="F192" s="5">
        <v>1000</v>
      </c>
      <c r="G192" s="5">
        <v>1000</v>
      </c>
      <c r="H192" s="5">
        <v>50</v>
      </c>
      <c r="J192" s="5">
        <f>189+19+1</f>
        <v>209</v>
      </c>
      <c r="K192" s="2" t="s">
        <v>1831</v>
      </c>
      <c r="P192" s="69"/>
      <c r="U192" s="69"/>
      <c r="V192" s="70" t="s">
        <v>65</v>
      </c>
      <c r="W192" s="70" t="s">
        <v>1349</v>
      </c>
      <c r="X192" s="70" t="s">
        <v>1585</v>
      </c>
      <c r="Y192" s="70" t="s">
        <v>1685</v>
      </c>
      <c r="Z192" s="70" t="s">
        <v>729</v>
      </c>
      <c r="AA192" s="70" t="s">
        <v>17</v>
      </c>
      <c r="AB192" s="69" t="s">
        <v>1834</v>
      </c>
      <c r="AC192" s="72" t="s">
        <v>1832</v>
      </c>
      <c r="AD192" s="69">
        <v>880000</v>
      </c>
      <c r="AE192" s="69" t="s">
        <v>1833</v>
      </c>
      <c r="AF192" s="69">
        <v>39930</v>
      </c>
      <c r="AG192" s="69">
        <f>191180-AF192</f>
        <v>151250</v>
      </c>
      <c r="AH192" s="69">
        <v>151250</v>
      </c>
      <c r="AI192" s="69"/>
      <c r="AJ192" s="69"/>
      <c r="AK192" s="69"/>
      <c r="AL192" s="2" t="str">
        <f t="shared" si="3"/>
        <v>No</v>
      </c>
    </row>
    <row r="193" spans="1:38" ht="120" customHeight="1" x14ac:dyDescent="0.25">
      <c r="A193" s="5" t="s">
        <v>1139</v>
      </c>
      <c r="B193" s="5" t="s">
        <v>1140</v>
      </c>
      <c r="C193" s="5" t="s">
        <v>306</v>
      </c>
      <c r="D193" s="5">
        <v>1</v>
      </c>
      <c r="E193" s="5">
        <v>642.4</v>
      </c>
      <c r="F193" s="5">
        <v>642.4</v>
      </c>
      <c r="G193" s="5">
        <v>642.4</v>
      </c>
      <c r="J193" s="5">
        <v>18</v>
      </c>
      <c r="K193" s="2" t="s">
        <v>1250</v>
      </c>
      <c r="L193" s="5">
        <v>100</v>
      </c>
      <c r="M193" s="5">
        <v>0</v>
      </c>
      <c r="N193" s="5">
        <v>0</v>
      </c>
      <c r="O193" s="5">
        <v>0</v>
      </c>
      <c r="P193" s="5">
        <v>0</v>
      </c>
      <c r="Q193" s="5">
        <v>14</v>
      </c>
      <c r="U193" s="69"/>
      <c r="V193" s="70" t="s">
        <v>1087</v>
      </c>
      <c r="W193" s="70" t="s">
        <v>134</v>
      </c>
      <c r="X193" s="69"/>
      <c r="Y193" s="70" t="s">
        <v>12</v>
      </c>
      <c r="Z193" s="69"/>
      <c r="AA193" s="70" t="s">
        <v>17</v>
      </c>
      <c r="AB193" s="69"/>
      <c r="AC193" s="69" t="s">
        <v>1089</v>
      </c>
      <c r="AD193" s="69"/>
      <c r="AE193" s="69" t="s">
        <v>1141</v>
      </c>
      <c r="AF193" s="69"/>
      <c r="AG193" s="69"/>
      <c r="AH193" s="69"/>
      <c r="AI193" s="69"/>
      <c r="AJ193" s="69"/>
      <c r="AK193" s="69"/>
      <c r="AL193" s="2" t="str">
        <f t="shared" si="3"/>
        <v>Yes</v>
      </c>
    </row>
    <row r="194" spans="1:38" ht="76.5" customHeight="1" x14ac:dyDescent="0.25">
      <c r="A194" s="5" t="s">
        <v>1153</v>
      </c>
      <c r="B194" s="5" t="s">
        <v>1294</v>
      </c>
      <c r="C194" s="5" t="s">
        <v>306</v>
      </c>
      <c r="D194" s="5">
        <v>1</v>
      </c>
      <c r="E194" s="5">
        <v>266.12</v>
      </c>
      <c r="F194" s="5">
        <f>266.2-70-20</f>
        <v>176.2</v>
      </c>
      <c r="G194" s="5">
        <f>E194/D194</f>
        <v>266.12</v>
      </c>
      <c r="J194" s="5">
        <v>68</v>
      </c>
      <c r="K194" s="2" t="s">
        <v>1259</v>
      </c>
      <c r="L194" s="5">
        <v>83</v>
      </c>
      <c r="M194" s="5">
        <v>0</v>
      </c>
      <c r="N194" s="5">
        <v>0</v>
      </c>
      <c r="O194" s="5">
        <v>0</v>
      </c>
      <c r="P194" s="5">
        <v>17</v>
      </c>
      <c r="Q194" s="5">
        <v>8</v>
      </c>
      <c r="U194" s="69">
        <v>1</v>
      </c>
      <c r="V194" s="70" t="s">
        <v>1087</v>
      </c>
      <c r="W194" s="70" t="s">
        <v>1194</v>
      </c>
      <c r="X194" s="69"/>
      <c r="Y194" s="70" t="s">
        <v>1191</v>
      </c>
      <c r="Z194" s="69"/>
      <c r="AA194" s="70" t="s">
        <v>17</v>
      </c>
      <c r="AB194" s="69"/>
      <c r="AC194" s="72" t="s">
        <v>1089</v>
      </c>
      <c r="AD194" s="69"/>
      <c r="AE194" s="69" t="s">
        <v>1154</v>
      </c>
      <c r="AF194" s="69"/>
      <c r="AG194" s="69"/>
      <c r="AH194" s="69"/>
      <c r="AI194" s="69"/>
      <c r="AJ194" s="69"/>
      <c r="AK194" s="69"/>
      <c r="AL194" s="2" t="str">
        <f t="shared" si="3"/>
        <v>Yes</v>
      </c>
    </row>
    <row r="195" spans="1:38" ht="190.5" customHeight="1" x14ac:dyDescent="0.25">
      <c r="A195" s="70" t="s">
        <v>1342</v>
      </c>
      <c r="B195" s="5" t="s">
        <v>1793</v>
      </c>
      <c r="C195" s="5" t="s">
        <v>306</v>
      </c>
      <c r="D195" s="5">
        <v>1</v>
      </c>
      <c r="E195" s="5">
        <v>10300</v>
      </c>
      <c r="F195" s="5">
        <v>10300</v>
      </c>
      <c r="G195" s="5">
        <v>10300</v>
      </c>
      <c r="H195" s="5">
        <v>50</v>
      </c>
      <c r="J195" s="5">
        <v>1712</v>
      </c>
      <c r="K195" s="2" t="s">
        <v>1796</v>
      </c>
      <c r="P195" s="69"/>
      <c r="U195" s="69"/>
      <c r="V195" s="70" t="s">
        <v>65</v>
      </c>
      <c r="W195" s="70" t="s">
        <v>1792</v>
      </c>
      <c r="X195" s="70" t="s">
        <v>1585</v>
      </c>
      <c r="Y195" s="69" t="s">
        <v>12</v>
      </c>
      <c r="Z195" s="70" t="s">
        <v>729</v>
      </c>
      <c r="AA195" s="70" t="s">
        <v>17</v>
      </c>
      <c r="AB195" s="69" t="s">
        <v>1798</v>
      </c>
      <c r="AC195" s="69" t="s">
        <v>1799</v>
      </c>
      <c r="AD195" s="69">
        <v>8240000</v>
      </c>
      <c r="AE195" s="69" t="s">
        <v>1797</v>
      </c>
      <c r="AF195" s="69">
        <v>373890</v>
      </c>
      <c r="AG195" s="69">
        <f>1790140-AF195</f>
        <v>1416250</v>
      </c>
      <c r="AH195" s="69">
        <v>1416250</v>
      </c>
      <c r="AI195" s="69"/>
      <c r="AJ195" s="69"/>
      <c r="AK195" s="69"/>
      <c r="AL195" s="2" t="str">
        <f t="shared" ref="AL195:AL258" si="4">IF(OR(ISNUMBER(SEARCH("school", K195)), ISNUMBER(SEARCH("others", K195)), ISNUMBER(SEARCH("town hall", K195)), ISNUMBER(SEARCH("municipality", K195)),ISNUMBER(SEARCH("gym", K195)),ISNUMBER(SEARCH("sports", K195)),ISNUMBER(SEARCH("university", K195)),ISNUMBER(SEARCH("social center", K195)),ISNUMBER(SEARCH("warehouse", K195)),ISNUMBER(SEARCH("kindergarden", K195)),ISNUMBER(SEARCH("library", K195)),ISNUMBER(SEARCH("private", K195)),ISNUMBER(SEARCH("condominium", K195)),ISNUMBER(SEARCH("commercial", K195)),ISNUMBER(SEARCH("shop", K195)),ISNUMBER(SEARCH("comm", K195)),ISNUMBER(SEARCH("market", K195)),ISNUMBER(SEARCH("supermarket", K195)),ISNUMBER(SEARCH("hotel", K195)),ISNUMBER(SEARCH("industrial", K195)),ISNUMBER(SEARCH("farm", K195)),ISNUMBER(SEARCH("office", K195)),ISNUMBER(SEARCH("offices", K195)),ISNUMBER(SEARCH("church", K195)),ISNUMBER(SEARCH("canteen", K195)),ISNUMBER(SEARCH("educational", K195)), ISNUMBER(SEARCH("waste", K195)),ISNUMBER(SEARCH("social", K195)),ISNUMBER(SEARCH("sport/complex", K195)),ISNUMBER(SEARCH("utility", K195)),ISNUMBER(SEARCH("villa", K195)),ISNUMBER(SEARCH("prosumer/park", K195)),ISNUMBER(SEARCH("police", K195))),"Yes", "No")</f>
        <v>No</v>
      </c>
    </row>
    <row r="196" spans="1:38" ht="39" customHeight="1" x14ac:dyDescent="0.25">
      <c r="A196" s="5" t="s">
        <v>602</v>
      </c>
      <c r="B196" s="5" t="s">
        <v>588</v>
      </c>
      <c r="C196" s="2" t="s">
        <v>308</v>
      </c>
      <c r="D196" s="5">
        <v>1</v>
      </c>
      <c r="E196" s="5">
        <v>75</v>
      </c>
      <c r="F196" s="5">
        <v>75</v>
      </c>
      <c r="G196" s="5">
        <v>75</v>
      </c>
      <c r="J196" s="5">
        <v>20</v>
      </c>
      <c r="K196" s="2" t="s">
        <v>605</v>
      </c>
      <c r="L196" s="5">
        <v>0</v>
      </c>
      <c r="M196" s="5">
        <v>0</v>
      </c>
      <c r="N196" s="5">
        <v>0</v>
      </c>
      <c r="O196" s="5">
        <v>100</v>
      </c>
      <c r="P196" s="5">
        <v>0</v>
      </c>
      <c r="T196" s="5">
        <v>1</v>
      </c>
      <c r="U196" s="69"/>
      <c r="V196" s="69"/>
      <c r="W196" s="70" t="s">
        <v>603</v>
      </c>
      <c r="X196" s="69"/>
      <c r="Y196" s="69" t="s">
        <v>12</v>
      </c>
      <c r="Z196" s="69"/>
      <c r="AA196" s="70" t="s">
        <v>16</v>
      </c>
      <c r="AB196" s="70" t="s">
        <v>1279</v>
      </c>
      <c r="AC196" s="73" t="s">
        <v>606</v>
      </c>
      <c r="AD196" s="69">
        <v>150000</v>
      </c>
      <c r="AE196" s="70" t="s">
        <v>2061</v>
      </c>
      <c r="AF196" s="69">
        <v>4000</v>
      </c>
      <c r="AG196" s="69">
        <v>4000</v>
      </c>
      <c r="AH196" s="69"/>
      <c r="AI196" s="69"/>
      <c r="AJ196" s="69"/>
      <c r="AK196" s="69"/>
      <c r="AL196" s="2" t="str">
        <f t="shared" si="4"/>
        <v>Yes</v>
      </c>
    </row>
    <row r="197" spans="1:38" ht="180.75" customHeight="1" x14ac:dyDescent="0.25">
      <c r="A197" s="70" t="s">
        <v>1371</v>
      </c>
      <c r="B197" s="5" t="s">
        <v>1912</v>
      </c>
      <c r="C197" s="5" t="s">
        <v>306</v>
      </c>
      <c r="D197" s="5">
        <v>1</v>
      </c>
      <c r="E197" s="5">
        <v>12121</v>
      </c>
      <c r="F197" s="5">
        <v>12121</v>
      </c>
      <c r="G197" s="5">
        <v>12121</v>
      </c>
      <c r="H197" s="5">
        <v>50</v>
      </c>
      <c r="J197" s="5">
        <f>1608+226+11</f>
        <v>1845</v>
      </c>
      <c r="K197" s="2" t="s">
        <v>1941</v>
      </c>
      <c r="P197" s="69"/>
      <c r="U197" s="69"/>
      <c r="V197" s="70" t="s">
        <v>65</v>
      </c>
      <c r="W197" s="70" t="s">
        <v>1940</v>
      </c>
      <c r="X197" s="70" t="s">
        <v>1585</v>
      </c>
      <c r="Y197" s="70" t="s">
        <v>1942</v>
      </c>
      <c r="Z197" s="70" t="s">
        <v>729</v>
      </c>
      <c r="AA197" s="70" t="s">
        <v>17</v>
      </c>
      <c r="AB197" s="69" t="s">
        <v>1944</v>
      </c>
      <c r="AC197" s="69" t="s">
        <v>1943</v>
      </c>
      <c r="AD197" s="69">
        <v>14545200</v>
      </c>
      <c r="AE197" s="69" t="s">
        <v>1945</v>
      </c>
      <c r="AF197" s="69">
        <v>439992.3</v>
      </c>
      <c r="AG197" s="69">
        <f>2106629.8-AF197</f>
        <v>1666637.4999999998</v>
      </c>
      <c r="AH197" s="69">
        <v>1666637.5</v>
      </c>
      <c r="AI197" s="69"/>
      <c r="AJ197" s="69"/>
      <c r="AK197" s="69"/>
      <c r="AL197" s="2" t="str">
        <f t="shared" si="4"/>
        <v>No</v>
      </c>
    </row>
    <row r="198" spans="1:38" ht="110.25" customHeight="1" x14ac:dyDescent="0.25">
      <c r="A198" s="5" t="s">
        <v>1130</v>
      </c>
      <c r="B198" s="5" t="s">
        <v>1131</v>
      </c>
      <c r="C198" s="5" t="s">
        <v>306</v>
      </c>
      <c r="D198" s="5">
        <v>1</v>
      </c>
      <c r="E198" s="5">
        <v>156.74</v>
      </c>
      <c r="F198" s="5">
        <v>156.74</v>
      </c>
      <c r="G198" s="5">
        <v>156.74</v>
      </c>
      <c r="J198" s="5">
        <v>17</v>
      </c>
      <c r="K198" s="2" t="s">
        <v>1242</v>
      </c>
      <c r="L198" s="5">
        <v>0</v>
      </c>
      <c r="M198" s="5">
        <v>28.8</v>
      </c>
      <c r="N198" s="5">
        <v>55.3</v>
      </c>
      <c r="O198" s="5">
        <v>0</v>
      </c>
      <c r="P198" s="5">
        <v>15.9</v>
      </c>
      <c r="R198" s="5">
        <v>5</v>
      </c>
      <c r="S198" s="5">
        <v>1</v>
      </c>
      <c r="U198" s="5">
        <v>1</v>
      </c>
      <c r="V198" s="70" t="s">
        <v>1087</v>
      </c>
      <c r="W198" s="70" t="s">
        <v>1195</v>
      </c>
      <c r="X198" s="69"/>
      <c r="Y198" s="70" t="s">
        <v>12</v>
      </c>
      <c r="Z198" s="69"/>
      <c r="AA198" s="70" t="s">
        <v>17</v>
      </c>
      <c r="AB198" s="69"/>
      <c r="AC198" s="69" t="s">
        <v>1089</v>
      </c>
      <c r="AD198" s="69"/>
      <c r="AE198" s="69" t="s">
        <v>1132</v>
      </c>
      <c r="AF198" s="69"/>
      <c r="AG198" s="69"/>
      <c r="AH198" s="69"/>
      <c r="AI198" s="69"/>
      <c r="AJ198" s="69"/>
      <c r="AK198" s="69"/>
      <c r="AL198" s="2" t="str">
        <f t="shared" si="4"/>
        <v>Yes</v>
      </c>
    </row>
    <row r="199" spans="1:38" ht="77.25" customHeight="1" x14ac:dyDescent="0.25">
      <c r="A199" s="5" t="s">
        <v>793</v>
      </c>
      <c r="B199" s="5" t="s">
        <v>1078</v>
      </c>
      <c r="C199" s="2" t="s">
        <v>308</v>
      </c>
      <c r="D199" s="5">
        <v>1</v>
      </c>
      <c r="E199" s="5">
        <v>92</v>
      </c>
      <c r="F199" s="5">
        <v>92</v>
      </c>
      <c r="G199" s="5">
        <v>92</v>
      </c>
      <c r="J199" s="5">
        <v>37</v>
      </c>
      <c r="K199" s="2" t="s">
        <v>1082</v>
      </c>
      <c r="P199" s="69"/>
      <c r="U199" s="69"/>
      <c r="V199" s="70" t="s">
        <v>1081</v>
      </c>
      <c r="W199" s="70" t="s">
        <v>666</v>
      </c>
      <c r="X199" s="70" t="s">
        <v>1084</v>
      </c>
      <c r="Y199" s="70" t="s">
        <v>12</v>
      </c>
      <c r="Z199" s="70" t="s">
        <v>986</v>
      </c>
      <c r="AA199" s="70" t="s">
        <v>16</v>
      </c>
      <c r="AB199" s="70" t="s">
        <v>1083</v>
      </c>
      <c r="AC199" s="69" t="s">
        <v>1079</v>
      </c>
      <c r="AD199" s="69"/>
      <c r="AE199" s="70" t="s">
        <v>1080</v>
      </c>
      <c r="AF199" s="69">
        <v>11716</v>
      </c>
      <c r="AG199" s="69"/>
      <c r="AH199" s="69"/>
      <c r="AI199" s="69"/>
      <c r="AJ199" s="69"/>
      <c r="AK199" s="69"/>
      <c r="AL199" s="2" t="str">
        <f t="shared" si="4"/>
        <v>Yes</v>
      </c>
    </row>
    <row r="200" spans="1:38" ht="103.5" customHeight="1" x14ac:dyDescent="0.25">
      <c r="A200" s="70" t="s">
        <v>1359</v>
      </c>
      <c r="B200" s="5" t="s">
        <v>1844</v>
      </c>
      <c r="C200" s="5" t="s">
        <v>306</v>
      </c>
      <c r="D200" s="5">
        <v>1</v>
      </c>
      <c r="E200" s="5">
        <v>9200</v>
      </c>
      <c r="F200" s="5">
        <v>9200</v>
      </c>
      <c r="G200" s="5">
        <v>9200</v>
      </c>
      <c r="H200" s="5">
        <v>50</v>
      </c>
      <c r="J200" s="5">
        <f>1541+168+10</f>
        <v>1719</v>
      </c>
      <c r="K200" s="2" t="s">
        <v>1874</v>
      </c>
      <c r="P200" s="69"/>
      <c r="U200" s="69"/>
      <c r="V200" s="70" t="s">
        <v>65</v>
      </c>
      <c r="W200" s="70" t="s">
        <v>1873</v>
      </c>
      <c r="X200" s="70" t="s">
        <v>1585</v>
      </c>
      <c r="Y200" s="70" t="s">
        <v>1629</v>
      </c>
      <c r="Z200" s="70" t="s">
        <v>729</v>
      </c>
      <c r="AA200" s="70" t="s">
        <v>17</v>
      </c>
      <c r="AB200" s="69" t="s">
        <v>1877</v>
      </c>
      <c r="AC200" s="69" t="s">
        <v>1876</v>
      </c>
      <c r="AD200" s="69">
        <v>7360000</v>
      </c>
      <c r="AE200" s="69" t="s">
        <v>1875</v>
      </c>
      <c r="AF200" s="69">
        <v>333960</v>
      </c>
      <c r="AG200" s="69">
        <f>1598960-AF200</f>
        <v>1265000</v>
      </c>
      <c r="AH200" s="69">
        <v>1265000</v>
      </c>
      <c r="AI200" s="69"/>
      <c r="AJ200" s="69"/>
      <c r="AK200" s="69"/>
      <c r="AL200" s="2" t="str">
        <f t="shared" si="4"/>
        <v>No</v>
      </c>
    </row>
    <row r="201" spans="1:38" ht="165" customHeight="1" x14ac:dyDescent="0.25">
      <c r="A201" s="70" t="s">
        <v>1298</v>
      </c>
      <c r="B201" s="5" t="s">
        <v>865</v>
      </c>
      <c r="C201" s="5" t="s">
        <v>306</v>
      </c>
      <c r="D201" s="5">
        <v>1</v>
      </c>
      <c r="E201" s="5">
        <v>23</v>
      </c>
      <c r="F201" s="5">
        <v>23</v>
      </c>
      <c r="G201" s="5">
        <v>23</v>
      </c>
      <c r="J201" s="5">
        <v>15</v>
      </c>
      <c r="K201" s="2" t="s">
        <v>1576</v>
      </c>
      <c r="L201" s="5">
        <v>0</v>
      </c>
      <c r="M201" s="5">
        <v>100</v>
      </c>
      <c r="N201" s="5">
        <v>0</v>
      </c>
      <c r="O201" s="5">
        <v>0</v>
      </c>
      <c r="P201" s="5">
        <v>0</v>
      </c>
      <c r="R201" s="5">
        <v>5</v>
      </c>
      <c r="U201" s="69"/>
      <c r="V201" s="70" t="s">
        <v>862</v>
      </c>
      <c r="W201" s="70" t="s">
        <v>234</v>
      </c>
      <c r="X201" s="70" t="s">
        <v>1574</v>
      </c>
      <c r="Y201" s="70" t="s">
        <v>12</v>
      </c>
      <c r="Z201" s="70" t="s">
        <v>729</v>
      </c>
      <c r="AA201" s="70" t="s">
        <v>16</v>
      </c>
      <c r="AB201" s="69" t="s">
        <v>1578</v>
      </c>
      <c r="AC201" s="82" t="s">
        <v>1575</v>
      </c>
      <c r="AD201" s="69"/>
      <c r="AE201" s="69" t="s">
        <v>1577</v>
      </c>
      <c r="AF201" s="69"/>
      <c r="AG201" s="69"/>
      <c r="AH201" s="69"/>
      <c r="AI201" s="69"/>
      <c r="AJ201" s="69"/>
      <c r="AK201" s="69"/>
      <c r="AL201" s="2" t="str">
        <f t="shared" si="4"/>
        <v>Yes</v>
      </c>
    </row>
    <row r="202" spans="1:38" ht="87" customHeight="1" x14ac:dyDescent="0.25">
      <c r="A202" s="5" t="s">
        <v>719</v>
      </c>
      <c r="B202" s="5" t="s">
        <v>721</v>
      </c>
      <c r="C202" s="2" t="s">
        <v>308</v>
      </c>
      <c r="D202" s="5">
        <v>1</v>
      </c>
      <c r="E202" s="5">
        <v>528</v>
      </c>
      <c r="F202" s="69">
        <f>E202-100</f>
        <v>428</v>
      </c>
      <c r="G202" s="5">
        <v>528</v>
      </c>
      <c r="J202" s="5">
        <v>103</v>
      </c>
      <c r="K202" s="2" t="s">
        <v>720</v>
      </c>
      <c r="P202" s="5"/>
      <c r="U202" s="69"/>
      <c r="V202" s="70" t="s">
        <v>811</v>
      </c>
      <c r="W202" s="70" t="s">
        <v>724</v>
      </c>
      <c r="X202" s="70" t="s">
        <v>723</v>
      </c>
      <c r="Y202" s="70" t="s">
        <v>722</v>
      </c>
      <c r="Z202" s="69"/>
      <c r="AA202" s="70" t="s">
        <v>16</v>
      </c>
      <c r="AB202" s="70" t="s">
        <v>1277</v>
      </c>
      <c r="AC202" s="69" t="s">
        <v>725</v>
      </c>
      <c r="AD202" s="69">
        <v>2000000</v>
      </c>
      <c r="AE202" s="70" t="s">
        <v>2070</v>
      </c>
      <c r="AF202" s="69">
        <v>120000</v>
      </c>
      <c r="AG202" s="69">
        <v>53000</v>
      </c>
      <c r="AH202" s="69"/>
      <c r="AI202" s="69"/>
      <c r="AJ202" s="69"/>
      <c r="AK202" s="69"/>
      <c r="AL202" s="2" t="str">
        <f t="shared" si="4"/>
        <v>No</v>
      </c>
    </row>
    <row r="203" spans="1:38" ht="151.5" customHeight="1" x14ac:dyDescent="0.25">
      <c r="A203" s="70" t="s">
        <v>1377</v>
      </c>
      <c r="B203" s="5" t="s">
        <v>1970</v>
      </c>
      <c r="C203" s="5" t="s">
        <v>306</v>
      </c>
      <c r="D203" s="5">
        <v>1</v>
      </c>
      <c r="E203" s="5">
        <v>1000</v>
      </c>
      <c r="F203" s="5">
        <v>1000</v>
      </c>
      <c r="G203" s="5">
        <v>1000</v>
      </c>
      <c r="H203" s="5">
        <v>50</v>
      </c>
      <c r="J203" s="5">
        <v>164</v>
      </c>
      <c r="K203" s="2" t="s">
        <v>1972</v>
      </c>
      <c r="P203" s="69"/>
      <c r="U203" s="69"/>
      <c r="V203" s="70" t="s">
        <v>65</v>
      </c>
      <c r="W203" s="70" t="s">
        <v>1971</v>
      </c>
      <c r="X203" s="70" t="s">
        <v>1585</v>
      </c>
      <c r="Y203" s="70" t="s">
        <v>1901</v>
      </c>
      <c r="Z203" s="70" t="s">
        <v>729</v>
      </c>
      <c r="AA203" s="70" t="s">
        <v>17</v>
      </c>
      <c r="AB203" s="69" t="s">
        <v>1975</v>
      </c>
      <c r="AC203" s="69" t="s">
        <v>1973</v>
      </c>
      <c r="AD203" s="69">
        <v>800000</v>
      </c>
      <c r="AE203" s="69" t="s">
        <v>1974</v>
      </c>
      <c r="AF203" s="69">
        <v>36300</v>
      </c>
      <c r="AG203" s="69">
        <f>173800-AF203</f>
        <v>137500</v>
      </c>
      <c r="AH203" s="69">
        <v>137500</v>
      </c>
      <c r="AI203" s="69"/>
      <c r="AJ203" s="69"/>
      <c r="AK203" s="69"/>
      <c r="AL203" s="2" t="str">
        <f t="shared" si="4"/>
        <v>No</v>
      </c>
    </row>
    <row r="204" spans="1:38" ht="206.25" customHeight="1" x14ac:dyDescent="0.25">
      <c r="A204" s="5" t="s">
        <v>785</v>
      </c>
      <c r="B204" s="5" t="s">
        <v>588</v>
      </c>
      <c r="C204" s="2" t="s">
        <v>308</v>
      </c>
      <c r="D204" s="5">
        <v>1</v>
      </c>
      <c r="E204" s="5">
        <v>20</v>
      </c>
      <c r="F204" s="5">
        <v>20</v>
      </c>
      <c r="G204" s="5">
        <v>20</v>
      </c>
      <c r="J204" s="5">
        <v>14</v>
      </c>
      <c r="K204" s="2" t="s">
        <v>911</v>
      </c>
      <c r="L204" s="5">
        <v>0</v>
      </c>
      <c r="M204" s="5">
        <v>100</v>
      </c>
      <c r="N204" s="5">
        <v>0</v>
      </c>
      <c r="O204" s="5">
        <v>0</v>
      </c>
      <c r="P204" s="5">
        <v>0</v>
      </c>
      <c r="R204" s="5">
        <v>7</v>
      </c>
      <c r="U204" s="69"/>
      <c r="V204" s="69"/>
      <c r="W204" s="70" t="s">
        <v>666</v>
      </c>
      <c r="X204" s="69"/>
      <c r="Y204" s="69" t="s">
        <v>12</v>
      </c>
      <c r="Z204" s="70" t="s">
        <v>578</v>
      </c>
      <c r="AA204" s="70" t="s">
        <v>17</v>
      </c>
      <c r="AB204" s="70" t="s">
        <v>910</v>
      </c>
      <c r="AC204" s="69" t="s">
        <v>912</v>
      </c>
      <c r="AD204" s="69">
        <v>30000</v>
      </c>
      <c r="AE204" s="69" t="s">
        <v>909</v>
      </c>
      <c r="AF204" s="69">
        <v>2500</v>
      </c>
      <c r="AG204" s="69">
        <v>1000</v>
      </c>
      <c r="AH204" s="69"/>
      <c r="AI204" s="69"/>
      <c r="AJ204" s="69"/>
      <c r="AK204" s="69"/>
      <c r="AL204" s="2" t="str">
        <f t="shared" si="4"/>
        <v>No</v>
      </c>
    </row>
    <row r="205" spans="1:38" ht="141.75" customHeight="1" x14ac:dyDescent="0.25">
      <c r="A205" s="5" t="s">
        <v>1133</v>
      </c>
      <c r="B205" s="5" t="s">
        <v>1134</v>
      </c>
      <c r="C205" s="5" t="s">
        <v>306</v>
      </c>
      <c r="D205" s="5">
        <v>1</v>
      </c>
      <c r="E205" s="5">
        <v>307.2</v>
      </c>
      <c r="F205" s="5">
        <v>307.2</v>
      </c>
      <c r="G205" s="5">
        <v>307.2</v>
      </c>
      <c r="J205" s="5">
        <v>33</v>
      </c>
      <c r="K205" s="2" t="s">
        <v>1243</v>
      </c>
      <c r="L205" s="5">
        <v>78.099999999999994</v>
      </c>
      <c r="M205" s="5">
        <v>0</v>
      </c>
      <c r="N205" s="5">
        <v>0</v>
      </c>
      <c r="O205" s="5">
        <v>0</v>
      </c>
      <c r="P205" s="5">
        <v>21.9</v>
      </c>
      <c r="Q205" s="5">
        <v>4</v>
      </c>
      <c r="U205" s="69">
        <v>1</v>
      </c>
      <c r="V205" s="70" t="s">
        <v>1087</v>
      </c>
      <c r="W205" s="70" t="s">
        <v>1202</v>
      </c>
      <c r="X205" s="69"/>
      <c r="Y205" s="70" t="s">
        <v>12</v>
      </c>
      <c r="Z205" s="69"/>
      <c r="AA205" s="70" t="s">
        <v>17</v>
      </c>
      <c r="AB205" s="69"/>
      <c r="AC205" s="69" t="s">
        <v>1089</v>
      </c>
      <c r="AD205" s="69"/>
      <c r="AE205" s="69" t="s">
        <v>1135</v>
      </c>
      <c r="AF205" s="69"/>
      <c r="AG205" s="69"/>
      <c r="AH205" s="69"/>
      <c r="AI205" s="69"/>
      <c r="AJ205" s="69"/>
      <c r="AK205" s="69"/>
      <c r="AL205" s="2" t="str">
        <f t="shared" si="4"/>
        <v>Yes</v>
      </c>
    </row>
    <row r="206" spans="1:38" ht="126" customHeight="1" x14ac:dyDescent="0.25">
      <c r="A206" s="2" t="s">
        <v>575</v>
      </c>
      <c r="B206" s="5" t="s">
        <v>576</v>
      </c>
      <c r="C206" s="5" t="s">
        <v>306</v>
      </c>
      <c r="D206" s="5">
        <v>1</v>
      </c>
      <c r="E206" s="5">
        <v>325</v>
      </c>
      <c r="F206" s="5">
        <v>325</v>
      </c>
      <c r="G206" s="5">
        <v>325</v>
      </c>
      <c r="H206" s="5">
        <v>51</v>
      </c>
      <c r="J206" s="5">
        <v>23</v>
      </c>
      <c r="K206" s="2" t="s">
        <v>580</v>
      </c>
      <c r="P206" s="5"/>
      <c r="U206" s="69"/>
      <c r="V206" s="70" t="s">
        <v>577</v>
      </c>
      <c r="W206" s="70" t="s">
        <v>579</v>
      </c>
      <c r="X206" s="70" t="s">
        <v>567</v>
      </c>
      <c r="Y206" s="70" t="s">
        <v>12</v>
      </c>
      <c r="Z206" s="69" t="s">
        <v>578</v>
      </c>
      <c r="AA206" s="70" t="s">
        <v>17</v>
      </c>
      <c r="AB206" s="70" t="s">
        <v>2060</v>
      </c>
      <c r="AC206" s="69" t="s">
        <v>581</v>
      </c>
      <c r="AD206" s="69">
        <v>439000</v>
      </c>
      <c r="AE206" s="70" t="s">
        <v>2059</v>
      </c>
      <c r="AF206" s="69">
        <v>9620</v>
      </c>
      <c r="AG206" s="69">
        <v>10898</v>
      </c>
      <c r="AH206" s="69"/>
      <c r="AI206" s="69"/>
      <c r="AJ206" s="69"/>
      <c r="AK206" s="69"/>
      <c r="AL206" s="2" t="str">
        <f t="shared" si="4"/>
        <v>No</v>
      </c>
    </row>
    <row r="207" spans="1:38" ht="183.75" customHeight="1" x14ac:dyDescent="0.25">
      <c r="A207" s="5" t="s">
        <v>1099</v>
      </c>
      <c r="B207" s="2" t="s">
        <v>1100</v>
      </c>
      <c r="C207" s="5" t="s">
        <v>306</v>
      </c>
      <c r="D207" s="5">
        <v>2</v>
      </c>
      <c r="E207" s="5">
        <f>56.2+98.5</f>
        <v>154.69999999999999</v>
      </c>
      <c r="F207" s="5">
        <f>56.2+98.5</f>
        <v>154.69999999999999</v>
      </c>
      <c r="G207" s="5">
        <f>E207/D207</f>
        <v>77.349999999999994</v>
      </c>
      <c r="J207" s="5">
        <f>51+111</f>
        <v>162</v>
      </c>
      <c r="K207" s="2" t="s">
        <v>1225</v>
      </c>
      <c r="L207" s="5">
        <v>100</v>
      </c>
      <c r="M207" s="5">
        <v>0</v>
      </c>
      <c r="N207" s="5">
        <v>0</v>
      </c>
      <c r="O207" s="5">
        <v>0</v>
      </c>
      <c r="P207" s="5">
        <v>0</v>
      </c>
      <c r="Q207" s="5">
        <v>10</v>
      </c>
      <c r="U207" s="69"/>
      <c r="V207" s="70" t="s">
        <v>1087</v>
      </c>
      <c r="W207" s="70" t="s">
        <v>1209</v>
      </c>
      <c r="X207" s="69"/>
      <c r="Y207" s="70" t="s">
        <v>12</v>
      </c>
      <c r="Z207" s="70" t="s">
        <v>681</v>
      </c>
      <c r="AA207" s="70" t="s">
        <v>16</v>
      </c>
      <c r="AB207" s="69"/>
      <c r="AC207" s="69" t="s">
        <v>1089</v>
      </c>
      <c r="AD207" s="69"/>
      <c r="AE207" s="69" t="s">
        <v>1101</v>
      </c>
      <c r="AF207" s="69"/>
      <c r="AG207" s="69"/>
      <c r="AH207" s="69"/>
      <c r="AI207" s="69"/>
      <c r="AJ207" s="69"/>
      <c r="AK207" s="69"/>
      <c r="AL207" s="2" t="str">
        <f t="shared" si="4"/>
        <v>Yes</v>
      </c>
    </row>
    <row r="208" spans="1:38" ht="118.5" customHeight="1" x14ac:dyDescent="0.25">
      <c r="A208" s="5" t="s">
        <v>293</v>
      </c>
      <c r="B208" s="2" t="s">
        <v>295</v>
      </c>
      <c r="C208" s="5" t="s">
        <v>306</v>
      </c>
      <c r="F208" s="69"/>
      <c r="G208" s="2"/>
      <c r="J208" s="5">
        <v>95</v>
      </c>
      <c r="K208" s="2" t="s">
        <v>655</v>
      </c>
      <c r="P208" s="69"/>
      <c r="U208" s="69"/>
      <c r="V208" s="5"/>
      <c r="W208" s="5" t="s">
        <v>294</v>
      </c>
      <c r="X208" s="5"/>
      <c r="Y208" s="5"/>
      <c r="Z208" s="5" t="s">
        <v>283</v>
      </c>
      <c r="AA208" s="5" t="s">
        <v>17</v>
      </c>
      <c r="AB208" s="2" t="s">
        <v>298</v>
      </c>
      <c r="AC208" s="5" t="s">
        <v>656</v>
      </c>
      <c r="AD208" s="5"/>
      <c r="AE208" s="69"/>
      <c r="AF208" s="69"/>
      <c r="AG208" s="69"/>
      <c r="AH208" s="69"/>
      <c r="AI208" s="69"/>
      <c r="AJ208" s="69"/>
      <c r="AK208" s="69"/>
      <c r="AL208" s="2" t="str">
        <f t="shared" si="4"/>
        <v>No</v>
      </c>
    </row>
    <row r="209" spans="1:38" ht="194.25" customHeight="1" x14ac:dyDescent="0.25">
      <c r="A209" s="2" t="s">
        <v>1150</v>
      </c>
      <c r="B209" s="5" t="s">
        <v>1151</v>
      </c>
      <c r="C209" s="5" t="s">
        <v>306</v>
      </c>
      <c r="D209" s="5">
        <v>1</v>
      </c>
      <c r="E209" s="5">
        <v>1277</v>
      </c>
      <c r="F209" s="5">
        <f>1277-988</f>
        <v>289</v>
      </c>
      <c r="G209" s="5">
        <f>E209/D209</f>
        <v>1277</v>
      </c>
      <c r="J209" s="5">
        <v>513</v>
      </c>
      <c r="K209" s="2" t="s">
        <v>1258</v>
      </c>
      <c r="L209" s="5">
        <v>0</v>
      </c>
      <c r="M209" s="5">
        <v>0</v>
      </c>
      <c r="N209" s="5">
        <v>0</v>
      </c>
      <c r="O209" s="5">
        <v>0</v>
      </c>
      <c r="P209" s="5">
        <v>100</v>
      </c>
      <c r="U209" s="69">
        <v>7</v>
      </c>
      <c r="V209" s="70" t="s">
        <v>1087</v>
      </c>
      <c r="W209" s="70" t="s">
        <v>1193</v>
      </c>
      <c r="X209" s="69"/>
      <c r="Y209" s="70" t="s">
        <v>1257</v>
      </c>
      <c r="Z209" s="69"/>
      <c r="AA209" s="70" t="s">
        <v>17</v>
      </c>
      <c r="AB209" s="69"/>
      <c r="AC209" s="69" t="s">
        <v>1089</v>
      </c>
      <c r="AD209" s="69"/>
      <c r="AE209" s="69" t="s">
        <v>1152</v>
      </c>
      <c r="AF209" s="69"/>
      <c r="AG209" s="69"/>
      <c r="AH209" s="69"/>
      <c r="AI209" s="69"/>
      <c r="AJ209" s="69"/>
      <c r="AK209" s="69"/>
      <c r="AL209" s="2" t="str">
        <f t="shared" si="4"/>
        <v>No</v>
      </c>
    </row>
    <row r="210" spans="1:38" ht="115.5" x14ac:dyDescent="0.25">
      <c r="A210" s="5" t="s">
        <v>1085</v>
      </c>
      <c r="B210" s="5" t="s">
        <v>1086</v>
      </c>
      <c r="C210" s="5" t="s">
        <v>306</v>
      </c>
      <c r="D210" s="5">
        <v>1</v>
      </c>
      <c r="E210" s="5">
        <v>442</v>
      </c>
      <c r="F210" s="5">
        <v>442</v>
      </c>
      <c r="G210" s="5">
        <v>442</v>
      </c>
      <c r="J210" s="5">
        <v>14</v>
      </c>
      <c r="K210" s="2" t="s">
        <v>1221</v>
      </c>
      <c r="L210" s="5">
        <v>66.099999999999994</v>
      </c>
      <c r="M210" s="5">
        <v>0</v>
      </c>
      <c r="N210" s="5">
        <v>4.5</v>
      </c>
      <c r="O210" s="5">
        <v>0</v>
      </c>
      <c r="P210" s="5">
        <v>29.4</v>
      </c>
      <c r="Q210" s="5">
        <v>6</v>
      </c>
      <c r="S210" s="5">
        <v>1</v>
      </c>
      <c r="U210" s="5">
        <v>3</v>
      </c>
      <c r="V210" s="70" t="s">
        <v>1087</v>
      </c>
      <c r="W210" s="70" t="s">
        <v>1222</v>
      </c>
      <c r="X210" s="69"/>
      <c r="Y210" s="70" t="s">
        <v>12</v>
      </c>
      <c r="Z210" s="69"/>
      <c r="AA210" s="70" t="s">
        <v>17</v>
      </c>
      <c r="AB210" s="69"/>
      <c r="AC210" s="69" t="s">
        <v>1089</v>
      </c>
      <c r="AD210" s="69"/>
      <c r="AE210" s="69" t="s">
        <v>1088</v>
      </c>
      <c r="AF210" s="69"/>
      <c r="AG210" s="69"/>
      <c r="AH210" s="69"/>
      <c r="AI210" s="69"/>
      <c r="AJ210" s="69"/>
      <c r="AK210" s="69"/>
      <c r="AL210" s="2" t="str">
        <f t="shared" si="4"/>
        <v>Yes</v>
      </c>
    </row>
    <row r="211" spans="1:38" ht="256.5" customHeight="1" x14ac:dyDescent="0.25">
      <c r="A211" s="2" t="s">
        <v>962</v>
      </c>
      <c r="B211" s="5" t="s">
        <v>963</v>
      </c>
      <c r="C211" s="5" t="s">
        <v>306</v>
      </c>
      <c r="D211" s="5">
        <v>1</v>
      </c>
      <c r="E211" s="5">
        <v>575</v>
      </c>
      <c r="F211" s="5">
        <v>575</v>
      </c>
      <c r="G211" s="5">
        <v>575</v>
      </c>
      <c r="J211" s="5">
        <v>8</v>
      </c>
      <c r="K211" s="2" t="s">
        <v>965</v>
      </c>
      <c r="L211" s="5">
        <v>0</v>
      </c>
      <c r="M211" s="5">
        <v>0</v>
      </c>
      <c r="N211" s="5">
        <v>100</v>
      </c>
      <c r="O211" s="5">
        <v>0</v>
      </c>
      <c r="P211" s="5">
        <v>0</v>
      </c>
      <c r="S211" s="5">
        <v>8</v>
      </c>
      <c r="U211" s="69"/>
      <c r="V211" s="70" t="s">
        <v>65</v>
      </c>
      <c r="W211" s="70" t="s">
        <v>966</v>
      </c>
      <c r="X211" s="70" t="s">
        <v>961</v>
      </c>
      <c r="Y211" s="69" t="s">
        <v>12</v>
      </c>
      <c r="Z211" s="69"/>
      <c r="AA211" s="70" t="s">
        <v>17</v>
      </c>
      <c r="AB211" s="69"/>
      <c r="AC211" s="69" t="s">
        <v>967</v>
      </c>
      <c r="AD211" s="69"/>
      <c r="AE211" s="69" t="s">
        <v>964</v>
      </c>
      <c r="AF211" s="69"/>
      <c r="AG211" s="69"/>
      <c r="AH211" s="69"/>
      <c r="AI211" s="69"/>
      <c r="AJ211" s="69"/>
      <c r="AK211" s="69"/>
      <c r="AL211" s="2" t="str">
        <f t="shared" si="4"/>
        <v>Yes</v>
      </c>
    </row>
    <row r="212" spans="1:38" ht="48.75" customHeight="1" x14ac:dyDescent="0.25">
      <c r="A212" s="2" t="s">
        <v>1165</v>
      </c>
      <c r="B212" s="5" t="s">
        <v>1166</v>
      </c>
      <c r="C212" s="5" t="s">
        <v>306</v>
      </c>
      <c r="D212" s="5">
        <v>1</v>
      </c>
      <c r="E212" s="5">
        <v>125</v>
      </c>
      <c r="F212" s="5">
        <v>125</v>
      </c>
      <c r="G212" s="5">
        <v>125</v>
      </c>
      <c r="J212" s="5">
        <v>23</v>
      </c>
      <c r="K212" s="2" t="s">
        <v>1263</v>
      </c>
      <c r="L212" s="5">
        <v>60</v>
      </c>
      <c r="M212" s="5">
        <v>0</v>
      </c>
      <c r="N212" s="5">
        <v>0</v>
      </c>
      <c r="O212" s="5">
        <v>0</v>
      </c>
      <c r="P212" s="5">
        <v>40</v>
      </c>
      <c r="Q212" s="5">
        <v>4</v>
      </c>
      <c r="U212" s="69">
        <v>2</v>
      </c>
      <c r="V212" s="70" t="s">
        <v>1087</v>
      </c>
      <c r="W212" s="70" t="s">
        <v>1207</v>
      </c>
      <c r="X212" s="69"/>
      <c r="Y212" s="70" t="s">
        <v>12</v>
      </c>
      <c r="Z212" s="69"/>
      <c r="AA212" s="70" t="s">
        <v>17</v>
      </c>
      <c r="AB212" s="69"/>
      <c r="AC212" s="69" t="s">
        <v>1089</v>
      </c>
      <c r="AD212" s="69"/>
      <c r="AE212" s="69" t="s">
        <v>1167</v>
      </c>
      <c r="AF212" s="69"/>
      <c r="AG212" s="69"/>
      <c r="AH212" s="69"/>
      <c r="AI212" s="69"/>
      <c r="AJ212" s="69"/>
      <c r="AK212" s="69"/>
      <c r="AL212" s="2" t="str">
        <f t="shared" si="4"/>
        <v>Yes</v>
      </c>
    </row>
    <row r="213" spans="1:38" ht="245.25" customHeight="1" x14ac:dyDescent="0.25">
      <c r="A213" s="2" t="s">
        <v>1091</v>
      </c>
      <c r="B213" s="5" t="s">
        <v>1090</v>
      </c>
      <c r="C213" s="5" t="s">
        <v>306</v>
      </c>
      <c r="D213" s="5">
        <v>2</v>
      </c>
      <c r="E213" s="5">
        <v>1570</v>
      </c>
      <c r="F213" s="5">
        <v>1570</v>
      </c>
      <c r="G213" s="5">
        <f>E213/D213</f>
        <v>785</v>
      </c>
      <c r="J213" s="5">
        <v>19</v>
      </c>
      <c r="K213" s="2" t="s">
        <v>1223</v>
      </c>
      <c r="L213" s="5">
        <v>31.8</v>
      </c>
      <c r="M213" s="5">
        <v>20.399999999999999</v>
      </c>
      <c r="N213" s="5">
        <v>3.2</v>
      </c>
      <c r="O213" s="5">
        <v>0</v>
      </c>
      <c r="P213" s="5">
        <v>44.6</v>
      </c>
      <c r="Q213" s="5">
        <v>3</v>
      </c>
      <c r="R213" s="5">
        <v>5</v>
      </c>
      <c r="S213" s="5">
        <v>1</v>
      </c>
      <c r="U213" s="5">
        <v>2</v>
      </c>
      <c r="V213" s="70" t="s">
        <v>1087</v>
      </c>
      <c r="W213" s="70" t="s">
        <v>1203</v>
      </c>
      <c r="X213" s="69"/>
      <c r="Y213" s="70" t="s">
        <v>12</v>
      </c>
      <c r="Z213" s="69"/>
      <c r="AA213" s="70" t="s">
        <v>17</v>
      </c>
      <c r="AB213" s="69"/>
      <c r="AC213" s="69" t="s">
        <v>1089</v>
      </c>
      <c r="AD213" s="69"/>
      <c r="AE213" s="69" t="s">
        <v>1092</v>
      </c>
      <c r="AF213" s="69"/>
      <c r="AG213" s="69"/>
      <c r="AH213" s="69"/>
      <c r="AI213" s="69"/>
      <c r="AJ213" s="69"/>
      <c r="AK213" s="69"/>
      <c r="AL213" s="2" t="str">
        <f t="shared" si="4"/>
        <v>Yes</v>
      </c>
    </row>
    <row r="214" spans="1:38" ht="135" customHeight="1" x14ac:dyDescent="0.25">
      <c r="A214" s="70" t="s">
        <v>1326</v>
      </c>
      <c r="B214" s="5" t="s">
        <v>1707</v>
      </c>
      <c r="C214" s="5" t="s">
        <v>306</v>
      </c>
      <c r="D214" s="5">
        <v>1</v>
      </c>
      <c r="E214" s="5">
        <v>1000</v>
      </c>
      <c r="F214" s="5">
        <v>1000</v>
      </c>
      <c r="G214" s="5">
        <v>1000</v>
      </c>
      <c r="H214" s="5">
        <v>50</v>
      </c>
      <c r="J214" s="5">
        <f>117+16+1</f>
        <v>134</v>
      </c>
      <c r="K214" s="2" t="s">
        <v>1706</v>
      </c>
      <c r="P214" s="69"/>
      <c r="U214" s="69"/>
      <c r="V214" s="70" t="s">
        <v>65</v>
      </c>
      <c r="W214" s="70" t="s">
        <v>1705</v>
      </c>
      <c r="X214" s="70" t="s">
        <v>1585</v>
      </c>
      <c r="Y214" s="70" t="s">
        <v>12</v>
      </c>
      <c r="Z214" s="70" t="s">
        <v>729</v>
      </c>
      <c r="AA214" s="70" t="s">
        <v>17</v>
      </c>
      <c r="AB214" s="69"/>
      <c r="AC214" s="72" t="s">
        <v>1709</v>
      </c>
      <c r="AD214" s="69">
        <v>880000</v>
      </c>
      <c r="AE214" s="69" t="s">
        <v>1708</v>
      </c>
      <c r="AF214" s="69">
        <v>39930</v>
      </c>
      <c r="AG214" s="69">
        <f>191180-AF214</f>
        <v>151250</v>
      </c>
      <c r="AH214" s="69">
        <v>151250</v>
      </c>
      <c r="AI214" s="69"/>
      <c r="AJ214" s="69"/>
      <c r="AK214" s="69"/>
      <c r="AL214" s="2" t="str">
        <f t="shared" si="4"/>
        <v>No</v>
      </c>
    </row>
    <row r="215" spans="1:38" ht="60" x14ac:dyDescent="0.25">
      <c r="A215" s="70" t="s">
        <v>1312</v>
      </c>
      <c r="B215" s="5" t="s">
        <v>1621</v>
      </c>
      <c r="C215" s="5" t="s">
        <v>306</v>
      </c>
      <c r="D215" s="5">
        <v>1</v>
      </c>
      <c r="E215" s="5">
        <v>6900</v>
      </c>
      <c r="F215" s="5">
        <v>6900</v>
      </c>
      <c r="G215" s="5">
        <v>6900</v>
      </c>
      <c r="H215" s="5">
        <v>50</v>
      </c>
      <c r="J215" s="5">
        <f>1151+94+8</f>
        <v>1253</v>
      </c>
      <c r="K215" s="2" t="s">
        <v>1627</v>
      </c>
      <c r="P215" s="69"/>
      <c r="U215" s="69"/>
      <c r="V215" s="70" t="s">
        <v>65</v>
      </c>
      <c r="W215" s="70" t="s">
        <v>1631</v>
      </c>
      <c r="X215" s="70" t="s">
        <v>1585</v>
      </c>
      <c r="Y215" s="70" t="s">
        <v>1629</v>
      </c>
      <c r="Z215" s="70" t="s">
        <v>729</v>
      </c>
      <c r="AA215" s="70" t="s">
        <v>17</v>
      </c>
      <c r="AB215" s="69" t="s">
        <v>1633</v>
      </c>
      <c r="AC215" s="72" t="s">
        <v>1630</v>
      </c>
      <c r="AD215" s="69">
        <v>5520000</v>
      </c>
      <c r="AE215" s="69" t="s">
        <v>1632</v>
      </c>
      <c r="AF215" s="69">
        <v>250470</v>
      </c>
      <c r="AG215" s="69">
        <f>1199220-AF215</f>
        <v>948750</v>
      </c>
      <c r="AH215" s="69">
        <v>948750</v>
      </c>
      <c r="AI215" s="69"/>
      <c r="AJ215" s="69"/>
      <c r="AK215" s="69"/>
      <c r="AL215" s="2" t="str">
        <f t="shared" si="4"/>
        <v>No</v>
      </c>
    </row>
    <row r="216" spans="1:38" ht="150" customHeight="1" x14ac:dyDescent="0.25">
      <c r="A216" s="70" t="s">
        <v>1325</v>
      </c>
      <c r="B216" s="5" t="s">
        <v>1699</v>
      </c>
      <c r="C216" s="5" t="s">
        <v>306</v>
      </c>
      <c r="D216" s="5">
        <v>1</v>
      </c>
      <c r="E216" s="5">
        <v>6800</v>
      </c>
      <c r="F216" s="5">
        <v>6800</v>
      </c>
      <c r="G216" s="5">
        <v>6800</v>
      </c>
      <c r="H216" s="5">
        <v>50</v>
      </c>
      <c r="J216" s="5">
        <f>1130+108+7</f>
        <v>1245</v>
      </c>
      <c r="K216" s="2" t="s">
        <v>1700</v>
      </c>
      <c r="P216" s="69"/>
      <c r="U216" s="69"/>
      <c r="V216" s="70" t="s">
        <v>65</v>
      </c>
      <c r="W216" s="70" t="s">
        <v>1701</v>
      </c>
      <c r="X216" s="70" t="s">
        <v>1585</v>
      </c>
      <c r="Y216" s="70" t="s">
        <v>12</v>
      </c>
      <c r="Z216" s="70" t="s">
        <v>729</v>
      </c>
      <c r="AA216" s="70" t="s">
        <v>17</v>
      </c>
      <c r="AB216" s="70" t="s">
        <v>1703</v>
      </c>
      <c r="AC216" s="72" t="s">
        <v>1704</v>
      </c>
      <c r="AD216" s="69">
        <v>5440000</v>
      </c>
      <c r="AE216" s="69" t="s">
        <v>1702</v>
      </c>
      <c r="AF216" s="69">
        <v>268840</v>
      </c>
      <c r="AG216" s="69">
        <f>1181840-AF216</f>
        <v>913000</v>
      </c>
      <c r="AH216" s="69">
        <v>935000</v>
      </c>
      <c r="AI216" s="69"/>
      <c r="AJ216" s="69"/>
      <c r="AK216" s="69"/>
      <c r="AL216" s="2" t="str">
        <f t="shared" si="4"/>
        <v>No</v>
      </c>
    </row>
    <row r="217" spans="1:38" ht="60" x14ac:dyDescent="0.25">
      <c r="A217" s="70" t="s">
        <v>1375</v>
      </c>
      <c r="B217" s="5" t="s">
        <v>1961</v>
      </c>
      <c r="C217" s="5" t="s">
        <v>306</v>
      </c>
      <c r="D217" s="5">
        <v>1</v>
      </c>
      <c r="E217" s="5">
        <v>6800</v>
      </c>
      <c r="F217" s="5">
        <v>6800</v>
      </c>
      <c r="G217" s="5">
        <v>6800</v>
      </c>
      <c r="H217" s="5">
        <v>50</v>
      </c>
      <c r="J217" s="5">
        <f>1125+129+8</f>
        <v>1262</v>
      </c>
      <c r="K217" s="2" t="s">
        <v>1964</v>
      </c>
      <c r="P217" s="69"/>
      <c r="U217" s="69"/>
      <c r="V217" s="70" t="s">
        <v>65</v>
      </c>
      <c r="W217" s="70" t="s">
        <v>1953</v>
      </c>
      <c r="X217" s="70" t="s">
        <v>1585</v>
      </c>
      <c r="Y217" s="70" t="s">
        <v>1629</v>
      </c>
      <c r="Z217" s="70" t="s">
        <v>729</v>
      </c>
      <c r="AA217" s="70" t="s">
        <v>17</v>
      </c>
      <c r="AB217" s="69" t="s">
        <v>1966</v>
      </c>
      <c r="AC217" s="73" t="s">
        <v>1963</v>
      </c>
      <c r="AD217" s="69">
        <v>5440000</v>
      </c>
      <c r="AE217" s="69" t="s">
        <v>1965</v>
      </c>
      <c r="AF217" s="69">
        <v>246840</v>
      </c>
      <c r="AG217" s="69">
        <f>1181840-AF217</f>
        <v>935000</v>
      </c>
      <c r="AH217" s="69">
        <v>935000</v>
      </c>
      <c r="AI217" s="69"/>
      <c r="AJ217" s="69"/>
      <c r="AK217" s="69"/>
      <c r="AL217" s="2" t="str">
        <f t="shared" si="4"/>
        <v>No</v>
      </c>
    </row>
    <row r="218" spans="1:38" ht="60" x14ac:dyDescent="0.25">
      <c r="A218" s="70" t="s">
        <v>1368</v>
      </c>
      <c r="B218" s="5" t="s">
        <v>1909</v>
      </c>
      <c r="C218" s="5" t="s">
        <v>306</v>
      </c>
      <c r="D218" s="5">
        <v>1</v>
      </c>
      <c r="E218" s="5">
        <v>6700</v>
      </c>
      <c r="F218" s="5">
        <v>6700</v>
      </c>
      <c r="G218" s="5">
        <v>6700</v>
      </c>
      <c r="H218" s="5">
        <v>50</v>
      </c>
      <c r="J218" s="5">
        <f>1122+120+7</f>
        <v>1249</v>
      </c>
      <c r="K218" s="2" t="s">
        <v>1929</v>
      </c>
      <c r="P218" s="69"/>
      <c r="U218" s="69"/>
      <c r="V218" s="70" t="s">
        <v>65</v>
      </c>
      <c r="W218" s="70" t="s">
        <v>1928</v>
      </c>
      <c r="X218" s="70" t="s">
        <v>1585</v>
      </c>
      <c r="Y218" s="70" t="s">
        <v>1864</v>
      </c>
      <c r="Z218" s="70" t="s">
        <v>729</v>
      </c>
      <c r="AA218" s="70" t="s">
        <v>17</v>
      </c>
      <c r="AB218" s="69" t="s">
        <v>1931</v>
      </c>
      <c r="AC218" s="69" t="s">
        <v>1930</v>
      </c>
      <c r="AD218" s="69">
        <v>5360000</v>
      </c>
      <c r="AE218" s="69" t="s">
        <v>1932</v>
      </c>
      <c r="AF218" s="69">
        <v>243210</v>
      </c>
      <c r="AG218" s="69">
        <f>1164460-AF218</f>
        <v>921250</v>
      </c>
      <c r="AH218" s="69">
        <f>921250</f>
        <v>921250</v>
      </c>
      <c r="AI218" s="69"/>
      <c r="AJ218" s="69"/>
      <c r="AK218" s="69"/>
      <c r="AL218" s="2" t="str">
        <f t="shared" si="4"/>
        <v>No</v>
      </c>
    </row>
    <row r="219" spans="1:38" ht="90" x14ac:dyDescent="0.25">
      <c r="A219" s="70" t="s">
        <v>1493</v>
      </c>
      <c r="B219" s="70" t="s">
        <v>1417</v>
      </c>
      <c r="C219" s="5" t="s">
        <v>306</v>
      </c>
      <c r="D219" s="69">
        <v>1</v>
      </c>
      <c r="E219" s="69">
        <v>19.350000000000001</v>
      </c>
      <c r="F219" s="69">
        <v>19.350000000000001</v>
      </c>
      <c r="G219" s="69">
        <v>19.350000000000001</v>
      </c>
      <c r="H219" s="5">
        <v>50</v>
      </c>
      <c r="J219" s="69">
        <v>15</v>
      </c>
      <c r="K219" s="75" t="s">
        <v>1495</v>
      </c>
      <c r="L219" s="75">
        <v>0</v>
      </c>
      <c r="M219" s="75">
        <v>0</v>
      </c>
      <c r="N219" s="5">
        <v>100</v>
      </c>
      <c r="O219" s="5">
        <v>0</v>
      </c>
      <c r="P219" s="75">
        <v>0</v>
      </c>
      <c r="S219" s="5">
        <v>1</v>
      </c>
      <c r="U219" s="69"/>
      <c r="V219" s="70" t="s">
        <v>1061</v>
      </c>
      <c r="W219" s="69" t="s">
        <v>1496</v>
      </c>
      <c r="X219" s="69"/>
      <c r="Y219" s="69" t="s">
        <v>153</v>
      </c>
      <c r="Z219" s="70" t="s">
        <v>607</v>
      </c>
      <c r="AA219" s="70" t="s">
        <v>16</v>
      </c>
      <c r="AB219" s="69" t="s">
        <v>1494</v>
      </c>
      <c r="AC219" s="69" t="s">
        <v>1296</v>
      </c>
      <c r="AD219" s="69"/>
      <c r="AE219" s="69"/>
      <c r="AF219" s="69"/>
      <c r="AG219" s="69"/>
      <c r="AH219" s="69"/>
      <c r="AI219" s="69">
        <v>19.350000000000001</v>
      </c>
      <c r="AJ219" s="69">
        <v>1</v>
      </c>
      <c r="AK219" s="69">
        <v>5</v>
      </c>
      <c r="AL219" s="2" t="str">
        <f t="shared" si="4"/>
        <v>Yes</v>
      </c>
    </row>
    <row r="220" spans="1:38" ht="153.75" x14ac:dyDescent="0.25">
      <c r="A220" s="70" t="s">
        <v>1309</v>
      </c>
      <c r="B220" s="2" t="s">
        <v>1310</v>
      </c>
      <c r="C220" s="5" t="s">
        <v>306</v>
      </c>
      <c r="D220" s="5">
        <v>5</v>
      </c>
      <c r="E220" s="5">
        <f>19.8+80</f>
        <v>99.8</v>
      </c>
      <c r="F220" s="5">
        <f>19.8+80</f>
        <v>99.8</v>
      </c>
      <c r="G220" s="5">
        <f>19.8+80</f>
        <v>99.8</v>
      </c>
      <c r="J220" s="5">
        <v>30</v>
      </c>
      <c r="K220" s="2" t="s">
        <v>2050</v>
      </c>
      <c r="L220" s="5">
        <v>100</v>
      </c>
      <c r="M220" s="5">
        <v>0</v>
      </c>
      <c r="N220" s="5">
        <v>0</v>
      </c>
      <c r="O220" s="5">
        <v>0</v>
      </c>
      <c r="P220" s="5">
        <v>0</v>
      </c>
      <c r="Q220" s="5">
        <v>3</v>
      </c>
      <c r="U220" s="69"/>
      <c r="V220" s="70" t="s">
        <v>65</v>
      </c>
      <c r="W220" s="70" t="s">
        <v>1618</v>
      </c>
      <c r="X220" s="70" t="s">
        <v>1617</v>
      </c>
      <c r="Y220" s="70" t="s">
        <v>12</v>
      </c>
      <c r="Z220" s="70" t="s">
        <v>729</v>
      </c>
      <c r="AA220" s="70" t="s">
        <v>16</v>
      </c>
      <c r="AB220" s="70" t="s">
        <v>910</v>
      </c>
      <c r="AC220" s="72" t="s">
        <v>1619</v>
      </c>
      <c r="AD220" s="69">
        <v>177000</v>
      </c>
      <c r="AE220" s="69"/>
      <c r="AF220" s="69"/>
      <c r="AG220" s="69"/>
      <c r="AH220" s="69"/>
      <c r="AI220" s="69"/>
      <c r="AJ220" s="69"/>
      <c r="AK220" s="69"/>
      <c r="AL220" s="2" t="str">
        <f t="shared" si="4"/>
        <v>Yes</v>
      </c>
    </row>
    <row r="221" spans="1:38" ht="195" x14ac:dyDescent="0.25">
      <c r="A221" s="5" t="s">
        <v>737</v>
      </c>
      <c r="B221" s="5" t="s">
        <v>736</v>
      </c>
      <c r="C221" s="5" t="s">
        <v>306</v>
      </c>
      <c r="D221" s="5">
        <v>1</v>
      </c>
      <c r="E221" s="5">
        <v>233</v>
      </c>
      <c r="F221" s="5">
        <v>233</v>
      </c>
      <c r="G221" s="5">
        <v>233</v>
      </c>
      <c r="H221" s="5">
        <v>20</v>
      </c>
      <c r="J221" s="5">
        <v>15</v>
      </c>
      <c r="K221" s="2" t="s">
        <v>739</v>
      </c>
      <c r="P221" s="69"/>
      <c r="U221" s="70"/>
      <c r="V221" s="69"/>
      <c r="W221" s="69"/>
      <c r="X221" s="70" t="s">
        <v>738</v>
      </c>
      <c r="Y221" s="70" t="s">
        <v>12</v>
      </c>
      <c r="Z221" s="69"/>
      <c r="AA221" s="70" t="s">
        <v>17</v>
      </c>
      <c r="AB221" s="70" t="s">
        <v>1275</v>
      </c>
      <c r="AC221" s="72" t="s">
        <v>758</v>
      </c>
      <c r="AD221" s="69">
        <v>349500</v>
      </c>
      <c r="AE221" s="69" t="s">
        <v>740</v>
      </c>
      <c r="AF221" s="70" t="s">
        <v>1276</v>
      </c>
      <c r="AG221" s="69">
        <v>21908</v>
      </c>
      <c r="AH221" s="69"/>
      <c r="AI221" s="69"/>
      <c r="AJ221" s="69"/>
      <c r="AK221" s="69"/>
      <c r="AL221" s="2" t="str">
        <f t="shared" si="4"/>
        <v>No</v>
      </c>
    </row>
    <row r="222" spans="1:38" ht="60" x14ac:dyDescent="0.25">
      <c r="A222" s="2" t="s">
        <v>646</v>
      </c>
      <c r="B222" s="2" t="s">
        <v>641</v>
      </c>
      <c r="C222" s="2" t="s">
        <v>309</v>
      </c>
      <c r="D222" s="5">
        <v>1</v>
      </c>
      <c r="E222" s="5">
        <v>998</v>
      </c>
      <c r="F222" s="5">
        <v>998</v>
      </c>
      <c r="H222" s="5">
        <v>52</v>
      </c>
      <c r="J222" s="5">
        <v>3</v>
      </c>
      <c r="K222" s="2" t="s">
        <v>642</v>
      </c>
      <c r="P222" s="69"/>
      <c r="U222" s="69"/>
      <c r="V222" s="69"/>
      <c r="W222" s="70" t="s">
        <v>640</v>
      </c>
      <c r="X222" s="70" t="s">
        <v>644</v>
      </c>
      <c r="Y222" s="69" t="s">
        <v>12</v>
      </c>
      <c r="Z222" s="69"/>
      <c r="AA222" s="69" t="s">
        <v>17</v>
      </c>
      <c r="AB222" s="69" t="s">
        <v>643</v>
      </c>
      <c r="AC222" s="69" t="s">
        <v>645</v>
      </c>
      <c r="AD222" s="69">
        <v>1297400</v>
      </c>
      <c r="AE222" s="69" t="s">
        <v>2014</v>
      </c>
      <c r="AF222" s="69">
        <v>81327</v>
      </c>
      <c r="AG222" s="69">
        <v>66607</v>
      </c>
      <c r="AH222" s="69"/>
      <c r="AI222" s="69"/>
      <c r="AJ222" s="69"/>
      <c r="AK222" s="69"/>
      <c r="AL222" s="2" t="str">
        <f t="shared" si="4"/>
        <v>No</v>
      </c>
    </row>
    <row r="223" spans="1:38" ht="45" customHeight="1" x14ac:dyDescent="0.25">
      <c r="A223" s="70" t="s">
        <v>1354</v>
      </c>
      <c r="B223" s="5" t="s">
        <v>1817</v>
      </c>
      <c r="C223" s="5" t="s">
        <v>306</v>
      </c>
      <c r="D223" s="5">
        <v>1</v>
      </c>
      <c r="E223" s="5">
        <v>6000</v>
      </c>
      <c r="F223" s="5">
        <v>6000</v>
      </c>
      <c r="G223" s="5">
        <v>6000</v>
      </c>
      <c r="H223" s="5">
        <v>50</v>
      </c>
      <c r="J223" s="5">
        <v>1150</v>
      </c>
      <c r="K223" s="2" t="s">
        <v>1859</v>
      </c>
      <c r="P223" s="69"/>
      <c r="U223" s="69"/>
      <c r="V223" s="70" t="s">
        <v>65</v>
      </c>
      <c r="W223" s="70" t="s">
        <v>1826</v>
      </c>
      <c r="X223" s="70" t="s">
        <v>1585</v>
      </c>
      <c r="Y223" s="70" t="s">
        <v>1685</v>
      </c>
      <c r="Z223" s="70" t="s">
        <v>729</v>
      </c>
      <c r="AA223" s="70" t="s">
        <v>17</v>
      </c>
      <c r="AB223" s="69" t="s">
        <v>1861</v>
      </c>
      <c r="AC223" s="69" t="s">
        <v>1862</v>
      </c>
      <c r="AD223" s="69">
        <v>4800000</v>
      </c>
      <c r="AE223" s="69" t="s">
        <v>1860</v>
      </c>
      <c r="AF223" s="69">
        <v>217800</v>
      </c>
      <c r="AG223" s="69">
        <f>1042800-AF223</f>
        <v>825000</v>
      </c>
      <c r="AH223" s="69">
        <v>825000</v>
      </c>
      <c r="AI223" s="69"/>
      <c r="AJ223" s="69"/>
      <c r="AK223" s="69"/>
      <c r="AL223" s="2" t="str">
        <f t="shared" si="4"/>
        <v>No</v>
      </c>
    </row>
    <row r="224" spans="1:38" ht="105" x14ac:dyDescent="0.25">
      <c r="A224" s="2" t="s">
        <v>792</v>
      </c>
      <c r="B224" s="5" t="s">
        <v>1066</v>
      </c>
      <c r="C224" s="5" t="s">
        <v>306</v>
      </c>
      <c r="D224" s="5">
        <v>1</v>
      </c>
      <c r="E224" s="5">
        <v>5</v>
      </c>
      <c r="F224" s="5">
        <v>5</v>
      </c>
      <c r="G224" s="5">
        <v>5</v>
      </c>
      <c r="J224" s="5">
        <v>10</v>
      </c>
      <c r="K224" s="2" t="s">
        <v>1071</v>
      </c>
      <c r="L224" s="5">
        <v>0</v>
      </c>
      <c r="M224" s="5">
        <v>100</v>
      </c>
      <c r="N224" s="5">
        <v>0</v>
      </c>
      <c r="O224" s="5">
        <v>0</v>
      </c>
      <c r="P224" s="5">
        <v>0</v>
      </c>
      <c r="R224" s="5">
        <v>1</v>
      </c>
      <c r="U224" s="69"/>
      <c r="V224" s="70" t="s">
        <v>1061</v>
      </c>
      <c r="W224" s="70" t="s">
        <v>666</v>
      </c>
      <c r="X224" s="69"/>
      <c r="Y224" s="70" t="s">
        <v>12</v>
      </c>
      <c r="Z224" s="70" t="s">
        <v>1067</v>
      </c>
      <c r="AA224" s="70" t="s">
        <v>17</v>
      </c>
      <c r="AB224" s="69" t="s">
        <v>1068</v>
      </c>
      <c r="AC224" s="69" t="s">
        <v>1070</v>
      </c>
      <c r="AD224" s="69">
        <v>15970</v>
      </c>
      <c r="AE224" s="69" t="s">
        <v>1069</v>
      </c>
      <c r="AF224" s="69">
        <v>300</v>
      </c>
      <c r="AG224" s="69">
        <v>500</v>
      </c>
      <c r="AH224" s="69"/>
      <c r="AI224" s="69"/>
      <c r="AJ224" s="69"/>
      <c r="AK224" s="69"/>
      <c r="AL224" s="2" t="str">
        <f t="shared" si="4"/>
        <v>No</v>
      </c>
    </row>
    <row r="225" spans="1:38" ht="64.5" x14ac:dyDescent="0.25">
      <c r="A225" s="2" t="s">
        <v>508</v>
      </c>
      <c r="B225" s="2" t="s">
        <v>224</v>
      </c>
      <c r="C225" s="70" t="s">
        <v>306</v>
      </c>
      <c r="D225" s="2">
        <v>12</v>
      </c>
      <c r="E225" s="2">
        <v>6200</v>
      </c>
      <c r="F225" s="2">
        <v>6200</v>
      </c>
      <c r="G225" s="2">
        <f>E225/D225</f>
        <v>516.66666666666663</v>
      </c>
      <c r="H225" s="2"/>
      <c r="I225" s="2"/>
      <c r="J225" s="2">
        <v>200</v>
      </c>
      <c r="K225" s="2" t="s">
        <v>510</v>
      </c>
      <c r="L225" s="70">
        <v>100</v>
      </c>
      <c r="M225" s="70">
        <v>0</v>
      </c>
      <c r="N225" s="70">
        <v>0</v>
      </c>
      <c r="O225" s="70">
        <v>0</v>
      </c>
      <c r="P225" s="70">
        <v>0</v>
      </c>
      <c r="Q225" s="2"/>
      <c r="R225" s="2"/>
      <c r="S225" s="2"/>
      <c r="T225" s="2"/>
      <c r="U225" s="2"/>
      <c r="V225" s="2" t="s">
        <v>157</v>
      </c>
      <c r="W225" s="2" t="s">
        <v>225</v>
      </c>
      <c r="X225" s="2" t="s">
        <v>226</v>
      </c>
      <c r="Y225" s="2" t="s">
        <v>12</v>
      </c>
      <c r="Z225" s="2"/>
      <c r="AA225" s="2" t="s">
        <v>17</v>
      </c>
      <c r="AB225" s="2"/>
      <c r="AC225" s="5" t="s">
        <v>509</v>
      </c>
      <c r="AD225" s="2"/>
      <c r="AE225" s="2"/>
      <c r="AF225" s="2"/>
      <c r="AG225" s="2"/>
      <c r="AH225" s="2"/>
      <c r="AI225" s="2"/>
      <c r="AJ225" s="2"/>
      <c r="AK225" s="2"/>
      <c r="AL225" s="2" t="str">
        <f t="shared" si="4"/>
        <v>Yes</v>
      </c>
    </row>
    <row r="226" spans="1:38" ht="62.25" customHeight="1" x14ac:dyDescent="0.25">
      <c r="A226" s="2" t="s">
        <v>7</v>
      </c>
      <c r="B226" s="2" t="s">
        <v>8</v>
      </c>
      <c r="C226" s="2" t="s">
        <v>306</v>
      </c>
      <c r="D226" s="2">
        <v>1</v>
      </c>
      <c r="E226" s="2">
        <v>40</v>
      </c>
      <c r="F226" s="2">
        <v>40</v>
      </c>
      <c r="G226" s="2">
        <f>E226/D226</f>
        <v>40</v>
      </c>
      <c r="H226" s="2"/>
      <c r="I226" s="2" t="s">
        <v>11</v>
      </c>
      <c r="J226" s="2">
        <v>6</v>
      </c>
      <c r="K226" s="2" t="s">
        <v>381</v>
      </c>
      <c r="L226" s="2">
        <v>75</v>
      </c>
      <c r="M226" s="2">
        <v>0</v>
      </c>
      <c r="N226" s="2">
        <v>25</v>
      </c>
      <c r="O226" s="2">
        <v>0</v>
      </c>
      <c r="P226" s="2">
        <v>0</v>
      </c>
      <c r="Q226" s="2">
        <v>2</v>
      </c>
      <c r="R226" s="2"/>
      <c r="S226" s="2">
        <v>1</v>
      </c>
      <c r="T226" s="2"/>
      <c r="U226" s="2"/>
      <c r="V226" s="2" t="s">
        <v>30</v>
      </c>
      <c r="W226" s="2" t="s">
        <v>9</v>
      </c>
      <c r="X226" s="2" t="s">
        <v>10</v>
      </c>
      <c r="Y226" s="2" t="s">
        <v>153</v>
      </c>
      <c r="Z226" s="2"/>
      <c r="AA226" s="2" t="s">
        <v>16</v>
      </c>
      <c r="AB226" s="2" t="s">
        <v>380</v>
      </c>
      <c r="AC226" s="5" t="s">
        <v>164</v>
      </c>
      <c r="AD226" s="2"/>
      <c r="AE226" s="2"/>
      <c r="AF226" s="2"/>
      <c r="AG226" s="2"/>
      <c r="AH226" s="2"/>
      <c r="AI226" s="2"/>
      <c r="AJ226" s="2"/>
      <c r="AK226" s="2"/>
      <c r="AL226" s="2" t="str">
        <f t="shared" si="4"/>
        <v>Yes</v>
      </c>
    </row>
    <row r="227" spans="1:38" ht="64.5" x14ac:dyDescent="0.25">
      <c r="A227" s="2" t="s">
        <v>88</v>
      </c>
      <c r="B227" s="2" t="s">
        <v>89</v>
      </c>
      <c r="C227" s="2" t="s">
        <v>312</v>
      </c>
      <c r="D227" s="2">
        <v>4</v>
      </c>
      <c r="E227" s="2">
        <f>20+25+70+78</f>
        <v>193</v>
      </c>
      <c r="F227" s="2">
        <f>20+25+70+78</f>
        <v>193</v>
      </c>
      <c r="G227" s="2">
        <f>E227/D227</f>
        <v>48.25</v>
      </c>
      <c r="H227" s="2">
        <v>12</v>
      </c>
      <c r="I227" s="2"/>
      <c r="J227" s="2">
        <f>11+25+3+4</f>
        <v>43</v>
      </c>
      <c r="K227" s="2" t="s">
        <v>92</v>
      </c>
      <c r="L227" s="2">
        <v>100</v>
      </c>
      <c r="M227" s="2">
        <v>0</v>
      </c>
      <c r="N227" s="2">
        <v>0</v>
      </c>
      <c r="O227" s="2">
        <v>0</v>
      </c>
      <c r="P227" s="2">
        <v>0</v>
      </c>
      <c r="Q227" s="2">
        <v>5</v>
      </c>
      <c r="R227" s="2"/>
      <c r="S227" s="2"/>
      <c r="T227" s="2"/>
      <c r="U227" s="2"/>
      <c r="V227" s="2" t="s">
        <v>91</v>
      </c>
      <c r="W227" s="2" t="s">
        <v>89</v>
      </c>
      <c r="X227" s="2" t="s">
        <v>90</v>
      </c>
      <c r="Y227" s="2" t="s">
        <v>12</v>
      </c>
      <c r="Z227" s="2"/>
      <c r="AA227" s="2" t="s">
        <v>17</v>
      </c>
      <c r="AB227" s="2"/>
      <c r="AC227" s="5" t="s">
        <v>164</v>
      </c>
      <c r="AD227" s="2"/>
      <c r="AE227" s="2"/>
      <c r="AF227" s="2"/>
      <c r="AG227" s="2"/>
      <c r="AH227" s="2"/>
      <c r="AI227" s="2"/>
      <c r="AJ227" s="2"/>
      <c r="AK227" s="2"/>
      <c r="AL227" s="2" t="str">
        <f t="shared" si="4"/>
        <v>Yes</v>
      </c>
    </row>
    <row r="228" spans="1:38" ht="281.25" x14ac:dyDescent="0.25">
      <c r="A228" s="5" t="s">
        <v>1121</v>
      </c>
      <c r="B228" s="2" t="s">
        <v>1295</v>
      </c>
      <c r="C228" s="5" t="s">
        <v>306</v>
      </c>
      <c r="D228" s="5">
        <v>11</v>
      </c>
      <c r="E228" s="5">
        <f>192.8+376.8+170.8+932.2+258.4+197.6+247.63+1329+414.8+270+386+983.2+212</f>
        <v>5971.23</v>
      </c>
      <c r="F228" s="5">
        <f>192.8+376.8+170.8+932.2+258.4+197.6+247.63+1329+414.8+270+386+983.2+212</f>
        <v>5971.23</v>
      </c>
      <c r="G228" s="5">
        <f>E228/D228</f>
        <v>542.83909090909083</v>
      </c>
      <c r="J228" s="5">
        <f>3+1+1+4+5+2+3+4+4+3+2+1+1</f>
        <v>34</v>
      </c>
      <c r="K228" s="2" t="s">
        <v>1239</v>
      </c>
      <c r="L228" s="5">
        <v>79.900000000000006</v>
      </c>
      <c r="M228" s="5">
        <v>0</v>
      </c>
      <c r="N228" s="5">
        <v>0</v>
      </c>
      <c r="O228" s="5">
        <v>0</v>
      </c>
      <c r="P228" s="5">
        <v>20.100000000000001</v>
      </c>
      <c r="Q228" s="5">
        <v>31</v>
      </c>
      <c r="U228" s="69">
        <v>1</v>
      </c>
      <c r="V228" s="70" t="s">
        <v>1087</v>
      </c>
      <c r="W228" s="70" t="s">
        <v>1238</v>
      </c>
      <c r="X228" s="69"/>
      <c r="Y228" s="70" t="s">
        <v>12</v>
      </c>
      <c r="Z228" s="70" t="s">
        <v>1122</v>
      </c>
      <c r="AA228" s="70" t="s">
        <v>17</v>
      </c>
      <c r="AB228" s="69"/>
      <c r="AC228" s="69" t="s">
        <v>1089</v>
      </c>
      <c r="AD228" s="69"/>
      <c r="AE228" s="69" t="s">
        <v>1123</v>
      </c>
      <c r="AF228" s="69"/>
      <c r="AG228" s="69"/>
      <c r="AH228" s="69"/>
      <c r="AI228" s="69"/>
      <c r="AJ228" s="69"/>
      <c r="AK228" s="69"/>
      <c r="AL228" s="2" t="str">
        <f t="shared" si="4"/>
        <v>No</v>
      </c>
    </row>
    <row r="229" spans="1:38" ht="60.75" customHeight="1" x14ac:dyDescent="0.25">
      <c r="A229" s="5" t="s">
        <v>784</v>
      </c>
      <c r="B229" s="5" t="s">
        <v>898</v>
      </c>
      <c r="C229" s="2" t="s">
        <v>308</v>
      </c>
      <c r="D229" s="5">
        <v>1</v>
      </c>
      <c r="E229" s="5">
        <v>35</v>
      </c>
      <c r="F229" s="5">
        <v>35</v>
      </c>
      <c r="G229" s="5">
        <v>35</v>
      </c>
      <c r="J229" s="5">
        <v>44</v>
      </c>
      <c r="K229" s="2" t="s">
        <v>903</v>
      </c>
      <c r="P229" s="69"/>
      <c r="R229" s="5">
        <v>3</v>
      </c>
      <c r="S229" s="5">
        <v>1</v>
      </c>
      <c r="U229" s="69"/>
      <c r="V229" s="70" t="s">
        <v>901</v>
      </c>
      <c r="W229" s="70" t="s">
        <v>666</v>
      </c>
      <c r="X229" s="69"/>
      <c r="Y229" s="69" t="s">
        <v>12</v>
      </c>
      <c r="Z229" s="70" t="s">
        <v>706</v>
      </c>
      <c r="AA229" s="70" t="s">
        <v>16</v>
      </c>
      <c r="AB229" s="69" t="s">
        <v>899</v>
      </c>
      <c r="AC229" s="69" t="s">
        <v>902</v>
      </c>
      <c r="AD229" s="69">
        <v>60000</v>
      </c>
      <c r="AE229" s="69" t="s">
        <v>900</v>
      </c>
      <c r="AF229" s="69">
        <v>2172</v>
      </c>
      <c r="AG229" s="69">
        <v>2178</v>
      </c>
      <c r="AH229" s="69"/>
      <c r="AI229" s="69"/>
      <c r="AJ229" s="69"/>
      <c r="AK229" s="69"/>
      <c r="AL229" s="2" t="str">
        <f t="shared" si="4"/>
        <v>Yes</v>
      </c>
    </row>
    <row r="230" spans="1:38" ht="90" x14ac:dyDescent="0.25">
      <c r="A230" s="5" t="s">
        <v>1060</v>
      </c>
      <c r="B230" s="5" t="s">
        <v>261</v>
      </c>
      <c r="C230" s="5" t="s">
        <v>306</v>
      </c>
      <c r="D230" s="5">
        <v>1</v>
      </c>
      <c r="E230" s="5">
        <v>244</v>
      </c>
      <c r="F230" s="5">
        <v>244</v>
      </c>
      <c r="G230" s="5">
        <v>244</v>
      </c>
      <c r="J230" s="5">
        <v>100</v>
      </c>
      <c r="K230" s="2" t="s">
        <v>1063</v>
      </c>
      <c r="L230" s="5">
        <v>0</v>
      </c>
      <c r="M230" s="5">
        <v>1.6</v>
      </c>
      <c r="N230" s="5">
        <v>98.4</v>
      </c>
      <c r="O230" s="5">
        <v>0</v>
      </c>
      <c r="P230" s="5">
        <v>0</v>
      </c>
      <c r="R230" s="5">
        <v>1</v>
      </c>
      <c r="S230" s="5">
        <v>1</v>
      </c>
      <c r="U230" s="69"/>
      <c r="V230" s="70" t="s">
        <v>1064</v>
      </c>
      <c r="W230" s="70" t="s">
        <v>666</v>
      </c>
      <c r="X230" s="69"/>
      <c r="Y230" s="70" t="s">
        <v>12</v>
      </c>
      <c r="Z230" s="70" t="s">
        <v>283</v>
      </c>
      <c r="AA230" s="70" t="s">
        <v>16</v>
      </c>
      <c r="AB230" s="69" t="s">
        <v>1065</v>
      </c>
      <c r="AC230" s="72" t="s">
        <v>1062</v>
      </c>
      <c r="AD230" s="69">
        <v>150000</v>
      </c>
      <c r="AE230" s="69" t="s">
        <v>1059</v>
      </c>
      <c r="AF230" s="69">
        <v>17000</v>
      </c>
      <c r="AG230" s="69">
        <v>20000</v>
      </c>
      <c r="AH230" s="69"/>
      <c r="AI230" s="69"/>
      <c r="AJ230" s="69"/>
      <c r="AK230" s="69"/>
      <c r="AL230" s="2" t="str">
        <f t="shared" si="4"/>
        <v>No</v>
      </c>
    </row>
    <row r="231" spans="1:38" ht="75" x14ac:dyDescent="0.25">
      <c r="A231" s="5" t="s">
        <v>976</v>
      </c>
      <c r="B231" s="5" t="s">
        <v>975</v>
      </c>
      <c r="C231" s="2" t="s">
        <v>308</v>
      </c>
      <c r="D231" s="5">
        <v>1</v>
      </c>
      <c r="E231" s="5">
        <v>10</v>
      </c>
      <c r="F231" s="5">
        <v>10</v>
      </c>
      <c r="G231" s="5">
        <v>10</v>
      </c>
      <c r="J231" s="5">
        <v>4</v>
      </c>
      <c r="K231" s="2" t="s">
        <v>977</v>
      </c>
      <c r="L231" s="5">
        <v>0</v>
      </c>
      <c r="M231" s="5">
        <v>100</v>
      </c>
      <c r="N231" s="5">
        <v>0</v>
      </c>
      <c r="O231" s="5">
        <v>0</v>
      </c>
      <c r="P231" s="5">
        <v>0</v>
      </c>
      <c r="R231" s="5">
        <v>1</v>
      </c>
      <c r="U231" s="69"/>
      <c r="V231" s="70" t="s">
        <v>980</v>
      </c>
      <c r="W231" s="83" t="s">
        <v>981</v>
      </c>
      <c r="X231" s="69"/>
      <c r="Y231" s="69" t="s">
        <v>12</v>
      </c>
      <c r="Z231" s="70" t="s">
        <v>706</v>
      </c>
      <c r="AA231" s="70" t="s">
        <v>16</v>
      </c>
      <c r="AB231" s="69" t="s">
        <v>978</v>
      </c>
      <c r="AC231" s="73" t="s">
        <v>979</v>
      </c>
      <c r="AD231" s="69"/>
      <c r="AE231" s="69"/>
      <c r="AF231" s="69"/>
      <c r="AG231" s="69"/>
      <c r="AH231" s="69"/>
      <c r="AI231" s="69"/>
      <c r="AJ231" s="69"/>
      <c r="AK231" s="69"/>
      <c r="AL231" s="2" t="str">
        <f t="shared" si="4"/>
        <v>No</v>
      </c>
    </row>
    <row r="232" spans="1:38" ht="45" x14ac:dyDescent="0.25">
      <c r="A232" s="70" t="s">
        <v>1399</v>
      </c>
      <c r="B232" s="70" t="s">
        <v>1399</v>
      </c>
      <c r="C232" s="5" t="s">
        <v>306</v>
      </c>
      <c r="D232" s="69">
        <v>1</v>
      </c>
      <c r="E232" s="69">
        <v>52.5</v>
      </c>
      <c r="F232" s="69">
        <v>52.5</v>
      </c>
      <c r="G232" s="69">
        <v>52.5</v>
      </c>
      <c r="I232" s="2" t="s">
        <v>1464</v>
      </c>
      <c r="J232" s="69">
        <v>1</v>
      </c>
      <c r="K232" s="75" t="s">
        <v>1463</v>
      </c>
      <c r="L232" s="75">
        <v>0</v>
      </c>
      <c r="M232" s="5">
        <v>100</v>
      </c>
      <c r="N232" s="5">
        <v>0</v>
      </c>
      <c r="O232" s="5">
        <v>0</v>
      </c>
      <c r="P232" s="5">
        <v>0</v>
      </c>
      <c r="R232" s="5">
        <v>1</v>
      </c>
      <c r="U232" s="69"/>
      <c r="V232" s="70" t="s">
        <v>1044</v>
      </c>
      <c r="W232" s="69"/>
      <c r="X232" s="69" t="s">
        <v>1467</v>
      </c>
      <c r="Y232" s="69" t="s">
        <v>153</v>
      </c>
      <c r="Z232" s="69"/>
      <c r="AA232" s="70" t="s">
        <v>16</v>
      </c>
      <c r="AB232" s="69" t="s">
        <v>1465</v>
      </c>
      <c r="AC232" s="72" t="s">
        <v>1466</v>
      </c>
      <c r="AD232" s="69"/>
      <c r="AE232" s="69"/>
      <c r="AF232" s="69"/>
      <c r="AG232" s="69"/>
      <c r="AH232" s="69"/>
      <c r="AI232" s="69">
        <v>52.5</v>
      </c>
      <c r="AJ232" s="69">
        <v>1</v>
      </c>
      <c r="AK232" s="69">
        <v>1</v>
      </c>
      <c r="AL232" s="2" t="str">
        <f t="shared" si="4"/>
        <v>Yes</v>
      </c>
    </row>
    <row r="233" spans="1:38" ht="75" x14ac:dyDescent="0.25">
      <c r="A233" s="2" t="s">
        <v>742</v>
      </c>
      <c r="B233" s="2" t="s">
        <v>741</v>
      </c>
      <c r="C233" s="5" t="s">
        <v>312</v>
      </c>
      <c r="D233" s="5">
        <v>1</v>
      </c>
      <c r="E233" s="5">
        <v>376</v>
      </c>
      <c r="F233" s="70">
        <f>E233-15</f>
        <v>361</v>
      </c>
      <c r="G233" s="5">
        <v>376</v>
      </c>
      <c r="J233" s="5">
        <v>81</v>
      </c>
      <c r="K233" s="2" t="s">
        <v>746</v>
      </c>
      <c r="P233" s="69"/>
      <c r="U233" s="70"/>
      <c r="V233" s="69"/>
      <c r="W233" s="70" t="s">
        <v>745</v>
      </c>
      <c r="X233" s="69"/>
      <c r="Y233" s="70" t="s">
        <v>743</v>
      </c>
      <c r="Z233" s="70" t="s">
        <v>283</v>
      </c>
      <c r="AA233" s="70" t="s">
        <v>17</v>
      </c>
      <c r="AB233" s="70" t="s">
        <v>747</v>
      </c>
      <c r="AC233" s="69" t="s">
        <v>748</v>
      </c>
      <c r="AD233" s="69">
        <v>514800</v>
      </c>
      <c r="AE233" s="69" t="s">
        <v>744</v>
      </c>
      <c r="AF233" s="69">
        <v>20400</v>
      </c>
      <c r="AG233" s="69">
        <v>37500</v>
      </c>
      <c r="AH233" s="69"/>
      <c r="AI233" s="69"/>
      <c r="AJ233" s="69"/>
      <c r="AK233" s="69"/>
      <c r="AL233" s="2" t="str">
        <f t="shared" si="4"/>
        <v>No</v>
      </c>
    </row>
    <row r="234" spans="1:38" ht="105" x14ac:dyDescent="0.25">
      <c r="A234" s="70" t="s">
        <v>1308</v>
      </c>
      <c r="B234" s="5" t="s">
        <v>1613</v>
      </c>
      <c r="C234" s="5" t="s">
        <v>306</v>
      </c>
      <c r="F234" s="69"/>
      <c r="K234" s="2" t="s">
        <v>1615</v>
      </c>
      <c r="P234" s="69"/>
      <c r="U234" s="69"/>
      <c r="V234" s="70" t="s">
        <v>65</v>
      </c>
      <c r="W234" s="70" t="s">
        <v>1614</v>
      </c>
      <c r="X234" s="70" t="s">
        <v>1585</v>
      </c>
      <c r="Y234" s="69"/>
      <c r="Z234" s="70" t="s">
        <v>729</v>
      </c>
      <c r="AA234" s="70" t="s">
        <v>16</v>
      </c>
      <c r="AB234" s="69"/>
      <c r="AC234" s="72" t="s">
        <v>1616</v>
      </c>
      <c r="AD234" s="69"/>
      <c r="AE234" s="69"/>
      <c r="AF234" s="69"/>
      <c r="AG234" s="69"/>
      <c r="AH234" s="69"/>
      <c r="AI234" s="69"/>
      <c r="AJ234" s="69"/>
      <c r="AK234" s="69"/>
      <c r="AL234" s="2" t="str">
        <f t="shared" si="4"/>
        <v>No</v>
      </c>
    </row>
    <row r="235" spans="1:38" ht="60" x14ac:dyDescent="0.25">
      <c r="A235" s="5" t="s">
        <v>775</v>
      </c>
      <c r="B235" s="5" t="s">
        <v>588</v>
      </c>
      <c r="C235" s="2" t="s">
        <v>308</v>
      </c>
      <c r="D235" s="5">
        <v>1</v>
      </c>
      <c r="E235" s="5">
        <v>140</v>
      </c>
      <c r="F235" s="5">
        <v>140</v>
      </c>
      <c r="G235" s="5">
        <v>140</v>
      </c>
      <c r="J235" s="5">
        <v>25</v>
      </c>
      <c r="K235" s="2" t="s">
        <v>836</v>
      </c>
      <c r="L235" s="5">
        <v>100</v>
      </c>
      <c r="M235" s="5">
        <v>0</v>
      </c>
      <c r="N235" s="5">
        <v>0</v>
      </c>
      <c r="O235" s="5">
        <v>0</v>
      </c>
      <c r="P235" s="5">
        <v>0</v>
      </c>
      <c r="U235" s="69"/>
      <c r="V235" s="70" t="s">
        <v>835</v>
      </c>
      <c r="W235" s="70" t="s">
        <v>666</v>
      </c>
      <c r="X235" s="69"/>
      <c r="Y235" s="69" t="s">
        <v>12</v>
      </c>
      <c r="Z235" s="69"/>
      <c r="AA235" s="69" t="s">
        <v>16</v>
      </c>
      <c r="AB235" s="69"/>
      <c r="AC235" s="69" t="s">
        <v>837</v>
      </c>
      <c r="AD235" s="70">
        <v>288000</v>
      </c>
      <c r="AE235" s="69" t="s">
        <v>834</v>
      </c>
      <c r="AF235" s="69">
        <v>10500</v>
      </c>
      <c r="AG235" s="69">
        <v>3500</v>
      </c>
      <c r="AH235" s="69"/>
      <c r="AI235" s="69"/>
      <c r="AJ235" s="69"/>
      <c r="AK235" s="69"/>
      <c r="AL235" s="2" t="str">
        <f t="shared" si="4"/>
        <v>No</v>
      </c>
    </row>
    <row r="236" spans="1:38" ht="315" x14ac:dyDescent="0.25">
      <c r="A236" s="2" t="s">
        <v>710</v>
      </c>
      <c r="B236" s="2" t="s">
        <v>711</v>
      </c>
      <c r="C236" s="5" t="s">
        <v>310</v>
      </c>
      <c r="D236" s="5">
        <v>1</v>
      </c>
      <c r="E236" s="5">
        <v>42</v>
      </c>
      <c r="F236" s="5">
        <v>42</v>
      </c>
      <c r="G236" s="5">
        <v>42</v>
      </c>
      <c r="J236" s="5">
        <v>26</v>
      </c>
      <c r="K236" s="2" t="s">
        <v>715</v>
      </c>
      <c r="L236" s="5">
        <v>100</v>
      </c>
      <c r="M236" s="5">
        <v>0</v>
      </c>
      <c r="N236" s="5">
        <v>0</v>
      </c>
      <c r="O236" s="5">
        <v>0</v>
      </c>
      <c r="P236" s="5">
        <v>0</v>
      </c>
      <c r="Q236" s="5">
        <v>1</v>
      </c>
      <c r="U236" s="69"/>
      <c r="V236" s="70" t="s">
        <v>68</v>
      </c>
      <c r="W236" s="70" t="s">
        <v>703</v>
      </c>
      <c r="X236" s="70" t="s">
        <v>712</v>
      </c>
      <c r="Y236" s="70" t="s">
        <v>12</v>
      </c>
      <c r="Z236" s="70" t="s">
        <v>706</v>
      </c>
      <c r="AA236" s="70" t="s">
        <v>16</v>
      </c>
      <c r="AB236" s="70" t="s">
        <v>714</v>
      </c>
      <c r="AC236" s="72" t="s">
        <v>713</v>
      </c>
      <c r="AD236" s="69">
        <v>100000</v>
      </c>
      <c r="AE236" s="70" t="s">
        <v>2069</v>
      </c>
      <c r="AF236" s="69">
        <v>3756</v>
      </c>
      <c r="AG236" s="69">
        <v>3000</v>
      </c>
      <c r="AH236" s="69"/>
      <c r="AI236" s="69"/>
      <c r="AJ236" s="69"/>
      <c r="AK236" s="69"/>
      <c r="AL236" s="2" t="str">
        <f t="shared" si="4"/>
        <v>Yes</v>
      </c>
    </row>
    <row r="237" spans="1:38" ht="75" x14ac:dyDescent="0.25">
      <c r="A237" s="5" t="s">
        <v>868</v>
      </c>
      <c r="B237" s="5" t="s">
        <v>869</v>
      </c>
      <c r="C237" s="5" t="s">
        <v>306</v>
      </c>
      <c r="D237" s="5">
        <v>1</v>
      </c>
      <c r="E237" s="5">
        <v>16.8</v>
      </c>
      <c r="F237" s="5">
        <v>16.8</v>
      </c>
      <c r="G237" s="5">
        <v>16.8</v>
      </c>
      <c r="J237" s="5">
        <v>20</v>
      </c>
      <c r="K237" s="2" t="s">
        <v>871</v>
      </c>
      <c r="L237" s="5">
        <v>100</v>
      </c>
      <c r="M237" s="5">
        <v>0</v>
      </c>
      <c r="N237" s="5">
        <v>0</v>
      </c>
      <c r="O237" s="5">
        <v>0</v>
      </c>
      <c r="P237" s="5">
        <v>0</v>
      </c>
      <c r="Q237" s="5">
        <v>1</v>
      </c>
      <c r="U237" s="69"/>
      <c r="V237" s="69"/>
      <c r="W237" s="69"/>
      <c r="X237" s="69"/>
      <c r="Y237" s="69" t="s">
        <v>12</v>
      </c>
      <c r="Z237" s="70" t="s">
        <v>866</v>
      </c>
      <c r="AA237" s="70" t="s">
        <v>17</v>
      </c>
      <c r="AB237" s="70" t="s">
        <v>870</v>
      </c>
      <c r="AC237" s="72" t="s">
        <v>856</v>
      </c>
      <c r="AD237" s="69"/>
      <c r="AE237" s="69"/>
      <c r="AF237" s="69"/>
      <c r="AG237" s="69"/>
      <c r="AH237" s="69"/>
      <c r="AI237" s="69"/>
      <c r="AJ237" s="69"/>
      <c r="AK237" s="69"/>
      <c r="AL237" s="2" t="str">
        <f t="shared" si="4"/>
        <v>Yes</v>
      </c>
    </row>
    <row r="238" spans="1:38" ht="30" x14ac:dyDescent="0.25">
      <c r="A238" s="5" t="s">
        <v>779</v>
      </c>
      <c r="B238" s="5" t="s">
        <v>588</v>
      </c>
      <c r="C238" s="2" t="s">
        <v>308</v>
      </c>
      <c r="D238" s="5">
        <v>1</v>
      </c>
      <c r="E238" s="5">
        <v>10</v>
      </c>
      <c r="F238" s="5">
        <v>10</v>
      </c>
      <c r="G238" s="5">
        <v>10</v>
      </c>
      <c r="J238" s="5">
        <v>23</v>
      </c>
      <c r="K238" s="2" t="s">
        <v>872</v>
      </c>
      <c r="L238" s="5">
        <v>100</v>
      </c>
      <c r="M238" s="5">
        <v>0</v>
      </c>
      <c r="N238" s="5">
        <v>0</v>
      </c>
      <c r="O238" s="5">
        <v>0</v>
      </c>
      <c r="P238" s="5">
        <v>0</v>
      </c>
      <c r="Q238" s="5">
        <v>1</v>
      </c>
      <c r="U238" s="69"/>
      <c r="V238" s="69"/>
      <c r="W238" s="69"/>
      <c r="X238" s="69"/>
      <c r="Y238" s="69" t="s">
        <v>12</v>
      </c>
      <c r="Z238" s="70" t="s">
        <v>578</v>
      </c>
      <c r="AA238" s="70" t="s">
        <v>17</v>
      </c>
      <c r="AB238" s="70" t="s">
        <v>875</v>
      </c>
      <c r="AC238" s="69" t="s">
        <v>873</v>
      </c>
      <c r="AD238" s="69">
        <v>236739</v>
      </c>
      <c r="AE238" s="69" t="s">
        <v>874</v>
      </c>
      <c r="AF238" s="69">
        <v>4992</v>
      </c>
      <c r="AG238" s="69">
        <v>11000</v>
      </c>
      <c r="AH238" s="69"/>
      <c r="AI238" s="69"/>
      <c r="AJ238" s="69"/>
      <c r="AK238" s="69"/>
      <c r="AL238" s="2" t="str">
        <f t="shared" si="4"/>
        <v>Yes</v>
      </c>
    </row>
    <row r="239" spans="1:38" ht="45" customHeight="1" x14ac:dyDescent="0.25">
      <c r="A239" s="5" t="s">
        <v>778</v>
      </c>
      <c r="B239" s="5" t="s">
        <v>853</v>
      </c>
      <c r="C239" s="5" t="s">
        <v>306</v>
      </c>
      <c r="D239" s="5">
        <v>1</v>
      </c>
      <c r="E239" s="5">
        <v>53</v>
      </c>
      <c r="F239" s="69">
        <v>53</v>
      </c>
      <c r="G239" s="5">
        <v>53</v>
      </c>
      <c r="J239" s="5">
        <v>31</v>
      </c>
      <c r="K239" s="2" t="s">
        <v>2036</v>
      </c>
      <c r="L239" s="5">
        <v>50</v>
      </c>
      <c r="M239" s="5">
        <v>0</v>
      </c>
      <c r="N239" s="5">
        <v>0</v>
      </c>
      <c r="O239" s="5">
        <v>50</v>
      </c>
      <c r="P239" s="5">
        <v>0</v>
      </c>
      <c r="Q239" s="5">
        <v>1</v>
      </c>
      <c r="T239" s="5">
        <v>1</v>
      </c>
      <c r="U239" s="69"/>
      <c r="V239" s="70" t="s">
        <v>862</v>
      </c>
      <c r="W239" s="70" t="s">
        <v>863</v>
      </c>
      <c r="X239" s="69"/>
      <c r="Y239" s="70" t="s">
        <v>855</v>
      </c>
      <c r="Z239" s="69"/>
      <c r="AA239" s="70" t="s">
        <v>16</v>
      </c>
      <c r="AB239" s="72" t="s">
        <v>860</v>
      </c>
      <c r="AC239" s="69"/>
      <c r="AD239" s="69">
        <v>87000</v>
      </c>
      <c r="AE239" s="69" t="s">
        <v>854</v>
      </c>
      <c r="AF239" s="69">
        <v>4420</v>
      </c>
      <c r="AG239" s="69">
        <v>7610</v>
      </c>
      <c r="AH239" s="69"/>
      <c r="AI239" s="69"/>
      <c r="AJ239" s="69"/>
      <c r="AK239" s="69"/>
      <c r="AL239" s="2" t="str">
        <f t="shared" si="4"/>
        <v>Yes</v>
      </c>
    </row>
    <row r="240" spans="1:38" ht="60" x14ac:dyDescent="0.25">
      <c r="A240" s="70" t="s">
        <v>1398</v>
      </c>
      <c r="B240" s="70" t="s">
        <v>1398</v>
      </c>
      <c r="C240" s="5" t="s">
        <v>306</v>
      </c>
      <c r="D240" s="69">
        <v>1</v>
      </c>
      <c r="E240" s="69">
        <v>39.56</v>
      </c>
      <c r="F240" s="69">
        <v>39.56</v>
      </c>
      <c r="G240" s="69">
        <v>39.56</v>
      </c>
      <c r="J240" s="69">
        <v>2</v>
      </c>
      <c r="K240" s="75" t="s">
        <v>1459</v>
      </c>
      <c r="L240" s="75">
        <v>100</v>
      </c>
      <c r="M240" s="5">
        <v>0</v>
      </c>
      <c r="N240" s="5">
        <v>0</v>
      </c>
      <c r="O240" s="5">
        <v>0</v>
      </c>
      <c r="P240" s="5">
        <v>0</v>
      </c>
      <c r="Q240" s="5">
        <v>1</v>
      </c>
      <c r="U240" s="69"/>
      <c r="V240" s="69"/>
      <c r="W240" s="70" t="s">
        <v>1460</v>
      </c>
      <c r="X240" s="69"/>
      <c r="Y240" s="69" t="s">
        <v>12</v>
      </c>
      <c r="Z240" s="70" t="s">
        <v>706</v>
      </c>
      <c r="AA240" s="70" t="s">
        <v>16</v>
      </c>
      <c r="AB240" s="69" t="s">
        <v>1461</v>
      </c>
      <c r="AC240" s="69" t="s">
        <v>1462</v>
      </c>
      <c r="AD240" s="69"/>
      <c r="AE240" s="69"/>
      <c r="AF240" s="69"/>
      <c r="AG240" s="84"/>
      <c r="AH240" s="69"/>
      <c r="AI240" s="69">
        <v>8.26</v>
      </c>
      <c r="AJ240" s="69">
        <v>2</v>
      </c>
      <c r="AK240" s="69">
        <v>2</v>
      </c>
      <c r="AL240" s="2" t="str">
        <f t="shared" si="4"/>
        <v>Yes</v>
      </c>
    </row>
    <row r="241" spans="1:38" ht="102.75" x14ac:dyDescent="0.25">
      <c r="A241" s="2" t="s">
        <v>93</v>
      </c>
      <c r="B241" s="2" t="s">
        <v>94</v>
      </c>
      <c r="C241" s="2" t="s">
        <v>312</v>
      </c>
      <c r="D241" s="2">
        <v>1</v>
      </c>
      <c r="E241" s="2">
        <v>42</v>
      </c>
      <c r="F241" s="2">
        <v>42</v>
      </c>
      <c r="G241" s="2">
        <f>E241/D241</f>
        <v>42</v>
      </c>
      <c r="H241" s="2">
        <v>5.0999999999999996</v>
      </c>
      <c r="I241" s="2"/>
      <c r="J241" s="2"/>
      <c r="K241" s="2" t="s">
        <v>389</v>
      </c>
      <c r="L241" s="2">
        <v>100</v>
      </c>
      <c r="M241" s="2">
        <v>0</v>
      </c>
      <c r="N241" s="2">
        <v>0</v>
      </c>
      <c r="O241" s="2">
        <v>0</v>
      </c>
      <c r="P241" s="2">
        <v>0</v>
      </c>
      <c r="Q241" s="2">
        <v>1</v>
      </c>
      <c r="R241" s="2"/>
      <c r="S241" s="2"/>
      <c r="T241" s="2"/>
      <c r="U241" s="2"/>
      <c r="V241" s="2" t="s">
        <v>68</v>
      </c>
      <c r="W241" s="2" t="s">
        <v>95</v>
      </c>
      <c r="X241" s="2" t="s">
        <v>90</v>
      </c>
      <c r="Y241" s="2" t="s">
        <v>12</v>
      </c>
      <c r="Z241" s="2"/>
      <c r="AA241" s="2" t="s">
        <v>16</v>
      </c>
      <c r="AB241" s="2" t="s">
        <v>80</v>
      </c>
      <c r="AC241" s="5" t="s">
        <v>164</v>
      </c>
      <c r="AD241" s="2"/>
      <c r="AE241" s="2"/>
      <c r="AF241" s="2"/>
      <c r="AG241" s="2"/>
      <c r="AH241" s="2"/>
      <c r="AI241" s="2"/>
      <c r="AJ241" s="2"/>
      <c r="AK241" s="2"/>
      <c r="AL241" s="2" t="str">
        <f t="shared" si="4"/>
        <v>Yes</v>
      </c>
    </row>
    <row r="242" spans="1:38" ht="102.75" x14ac:dyDescent="0.25">
      <c r="A242" s="2" t="s">
        <v>208</v>
      </c>
      <c r="B242" s="2" t="s">
        <v>209</v>
      </c>
      <c r="C242" s="70" t="s">
        <v>306</v>
      </c>
      <c r="D242" s="2">
        <v>1</v>
      </c>
      <c r="E242" s="2">
        <v>20</v>
      </c>
      <c r="F242" s="2">
        <v>20</v>
      </c>
      <c r="G242" s="2">
        <f>E242/D242</f>
        <v>20</v>
      </c>
      <c r="H242" s="2"/>
      <c r="I242" s="2"/>
      <c r="J242" s="2"/>
      <c r="K242" s="2" t="s">
        <v>216</v>
      </c>
      <c r="L242" s="70">
        <v>100</v>
      </c>
      <c r="M242" s="70">
        <v>0</v>
      </c>
      <c r="N242" s="70">
        <v>0</v>
      </c>
      <c r="O242" s="70">
        <v>0</v>
      </c>
      <c r="P242" s="70">
        <v>0</v>
      </c>
      <c r="Q242" s="2">
        <v>1</v>
      </c>
      <c r="R242" s="2"/>
      <c r="S242" s="2"/>
      <c r="T242" s="2"/>
      <c r="U242" s="2"/>
      <c r="V242" s="2" t="s">
        <v>214</v>
      </c>
      <c r="W242" s="2" t="s">
        <v>217</v>
      </c>
      <c r="X242" s="2" t="s">
        <v>211</v>
      </c>
      <c r="Y242" s="2" t="s">
        <v>12</v>
      </c>
      <c r="Z242" s="2"/>
      <c r="AA242" s="2" t="s">
        <v>16</v>
      </c>
      <c r="AB242" s="2" t="s">
        <v>210</v>
      </c>
      <c r="AC242" s="5" t="s">
        <v>247</v>
      </c>
      <c r="AD242" s="2"/>
      <c r="AE242" s="2"/>
      <c r="AF242" s="2"/>
      <c r="AG242" s="2"/>
      <c r="AH242" s="2"/>
      <c r="AI242" s="2"/>
      <c r="AJ242" s="2"/>
      <c r="AK242" s="2"/>
      <c r="AL242" s="2" t="str">
        <f t="shared" si="4"/>
        <v>Yes</v>
      </c>
    </row>
    <row r="243" spans="1:38" ht="39" x14ac:dyDescent="0.25">
      <c r="A243" s="2" t="s">
        <v>218</v>
      </c>
      <c r="B243" s="2" t="s">
        <v>219</v>
      </c>
      <c r="C243" s="70" t="s">
        <v>313</v>
      </c>
      <c r="D243" s="2"/>
      <c r="E243" s="2"/>
      <c r="F243" s="2"/>
      <c r="G243" s="2"/>
      <c r="H243" s="2"/>
      <c r="I243" s="2"/>
      <c r="J243" s="2"/>
      <c r="K243" s="2" t="s">
        <v>216</v>
      </c>
      <c r="L243" s="70">
        <v>100</v>
      </c>
      <c r="M243" s="70">
        <v>0</v>
      </c>
      <c r="N243" s="70">
        <v>0</v>
      </c>
      <c r="O243" s="70">
        <v>0</v>
      </c>
      <c r="P243" s="70">
        <v>0</v>
      </c>
      <c r="Q243" s="2">
        <v>1</v>
      </c>
      <c r="R243" s="2"/>
      <c r="S243" s="2"/>
      <c r="T243" s="2"/>
      <c r="U243" s="2"/>
      <c r="V243" s="2" t="s">
        <v>68</v>
      </c>
      <c r="W243" s="2" t="s">
        <v>219</v>
      </c>
      <c r="X243" s="2"/>
      <c r="Y243" s="2"/>
      <c r="Z243" s="2" t="s">
        <v>37</v>
      </c>
      <c r="AA243" s="2" t="s">
        <v>17</v>
      </c>
      <c r="AB243" s="2"/>
      <c r="AC243" s="5" t="s">
        <v>247</v>
      </c>
      <c r="AD243" s="2"/>
      <c r="AE243" s="2"/>
      <c r="AF243" s="2"/>
      <c r="AG243" s="2"/>
      <c r="AH243" s="2"/>
      <c r="AI243" s="2"/>
      <c r="AJ243" s="2"/>
      <c r="AK243" s="2"/>
      <c r="AL243" s="2" t="str">
        <f t="shared" si="4"/>
        <v>Yes</v>
      </c>
    </row>
    <row r="244" spans="1:38" ht="90" x14ac:dyDescent="0.25">
      <c r="A244" s="70" t="s">
        <v>1337</v>
      </c>
      <c r="B244" s="5" t="s">
        <v>1761</v>
      </c>
      <c r="C244" s="5" t="s">
        <v>306</v>
      </c>
      <c r="D244" s="5">
        <v>1</v>
      </c>
      <c r="F244" s="69"/>
      <c r="J244" s="5">
        <v>6</v>
      </c>
      <c r="K244" s="2" t="s">
        <v>1774</v>
      </c>
      <c r="P244" s="69"/>
      <c r="U244" s="69"/>
      <c r="V244" s="70" t="s">
        <v>187</v>
      </c>
      <c r="W244" s="70" t="s">
        <v>1773</v>
      </c>
      <c r="X244" s="70" t="s">
        <v>1775</v>
      </c>
      <c r="Y244" s="69"/>
      <c r="Z244" s="70" t="s">
        <v>1197</v>
      </c>
      <c r="AA244" s="70" t="s">
        <v>16</v>
      </c>
      <c r="AB244" s="69"/>
      <c r="AC244" s="82" t="s">
        <v>1338</v>
      </c>
      <c r="AD244" s="69"/>
      <c r="AE244" s="69"/>
      <c r="AF244" s="69"/>
      <c r="AG244" s="69"/>
      <c r="AH244" s="69"/>
      <c r="AI244" s="69"/>
      <c r="AJ244" s="69"/>
      <c r="AK244" s="69"/>
      <c r="AL244" s="2" t="str">
        <f t="shared" si="4"/>
        <v>Yes</v>
      </c>
    </row>
    <row r="245" spans="1:38" ht="51.75" x14ac:dyDescent="0.25">
      <c r="A245" s="2" t="s">
        <v>66</v>
      </c>
      <c r="B245" s="2" t="s">
        <v>67</v>
      </c>
      <c r="C245" s="2" t="s">
        <v>309</v>
      </c>
      <c r="D245" s="2">
        <v>1</v>
      </c>
      <c r="E245" s="2">
        <v>15</v>
      </c>
      <c r="F245" s="2">
        <v>15</v>
      </c>
      <c r="G245" s="2">
        <f>E245/D245</f>
        <v>15</v>
      </c>
      <c r="H245" s="2"/>
      <c r="I245" s="2"/>
      <c r="J245" s="2">
        <v>10</v>
      </c>
      <c r="K245" s="2" t="s">
        <v>69</v>
      </c>
      <c r="L245" s="2">
        <v>100</v>
      </c>
      <c r="M245" s="2">
        <v>0</v>
      </c>
      <c r="N245" s="2">
        <v>0</v>
      </c>
      <c r="O245" s="2">
        <v>0</v>
      </c>
      <c r="P245" s="2">
        <v>0</v>
      </c>
      <c r="Q245" s="2">
        <v>1</v>
      </c>
      <c r="R245" s="2"/>
      <c r="S245" s="2"/>
      <c r="T245" s="2"/>
      <c r="U245" s="2"/>
      <c r="V245" s="2" t="s">
        <v>68</v>
      </c>
      <c r="W245" s="2" t="s">
        <v>67</v>
      </c>
      <c r="X245" s="2"/>
      <c r="Y245" s="2" t="s">
        <v>12</v>
      </c>
      <c r="Z245" s="2"/>
      <c r="AA245" s="2" t="s">
        <v>16</v>
      </c>
      <c r="AB245" s="2" t="s">
        <v>70</v>
      </c>
      <c r="AC245" s="5" t="s">
        <v>164</v>
      </c>
      <c r="AD245" s="2"/>
      <c r="AE245" s="2"/>
      <c r="AF245" s="2"/>
      <c r="AG245" s="2"/>
      <c r="AH245" s="2"/>
      <c r="AI245" s="2"/>
      <c r="AJ245" s="2"/>
      <c r="AK245" s="2"/>
      <c r="AL245" s="2" t="str">
        <f t="shared" si="4"/>
        <v>Yes</v>
      </c>
    </row>
    <row r="246" spans="1:38" ht="115.5" x14ac:dyDescent="0.25">
      <c r="A246" s="2" t="s">
        <v>360</v>
      </c>
      <c r="B246" s="2" t="s">
        <v>323</v>
      </c>
      <c r="C246" s="5" t="s">
        <v>306</v>
      </c>
      <c r="D246" s="5">
        <v>1</v>
      </c>
      <c r="E246" s="5">
        <v>47</v>
      </c>
      <c r="F246" s="5">
        <v>47</v>
      </c>
      <c r="G246" s="2">
        <f>E246/D246</f>
        <v>47</v>
      </c>
      <c r="H246" s="5">
        <v>23</v>
      </c>
      <c r="J246" s="5">
        <v>20</v>
      </c>
      <c r="K246" s="2" t="s">
        <v>365</v>
      </c>
      <c r="L246" s="5">
        <v>100</v>
      </c>
      <c r="M246" s="5">
        <v>0</v>
      </c>
      <c r="N246" s="5">
        <v>0</v>
      </c>
      <c r="O246" s="5">
        <v>0</v>
      </c>
      <c r="P246" s="5">
        <v>0</v>
      </c>
      <c r="Q246" s="2">
        <v>9</v>
      </c>
      <c r="R246" s="2"/>
      <c r="S246" s="2"/>
      <c r="T246" s="2"/>
      <c r="U246" s="2"/>
      <c r="V246" s="2" t="s">
        <v>105</v>
      </c>
      <c r="W246" s="2" t="s">
        <v>361</v>
      </c>
      <c r="X246" s="5" t="s">
        <v>362</v>
      </c>
      <c r="Y246" s="5" t="s">
        <v>33</v>
      </c>
      <c r="Z246" s="2" t="s">
        <v>45</v>
      </c>
      <c r="AA246" s="5" t="s">
        <v>16</v>
      </c>
      <c r="AB246" s="2" t="s">
        <v>363</v>
      </c>
      <c r="AC246" s="5" t="s">
        <v>364</v>
      </c>
      <c r="AD246" s="5"/>
      <c r="AE246" s="2"/>
      <c r="AF246" s="2"/>
      <c r="AG246" s="2"/>
      <c r="AH246" s="2"/>
      <c r="AI246" s="2"/>
      <c r="AJ246" s="2"/>
      <c r="AK246" s="2"/>
      <c r="AL246" s="2" t="str">
        <f t="shared" si="4"/>
        <v>Yes</v>
      </c>
    </row>
    <row r="247" spans="1:38" ht="51.75" x14ac:dyDescent="0.25">
      <c r="A247" s="2" t="s">
        <v>114</v>
      </c>
      <c r="B247" s="2" t="s">
        <v>115</v>
      </c>
      <c r="C247" s="70" t="s">
        <v>310</v>
      </c>
      <c r="D247" s="2"/>
      <c r="E247" s="2"/>
      <c r="F247" s="2"/>
      <c r="G247" s="2"/>
      <c r="H247" s="2"/>
      <c r="I247" s="2"/>
      <c r="J247" s="2">
        <v>5</v>
      </c>
      <c r="K247" s="2" t="s">
        <v>113</v>
      </c>
      <c r="L247" s="70">
        <v>100</v>
      </c>
      <c r="M247" s="70">
        <v>0</v>
      </c>
      <c r="N247" s="70">
        <v>0</v>
      </c>
      <c r="O247" s="70">
        <v>0</v>
      </c>
      <c r="P247" s="70">
        <v>0</v>
      </c>
      <c r="Q247" s="2">
        <v>1</v>
      </c>
      <c r="R247" s="2"/>
      <c r="S247" s="2"/>
      <c r="T247" s="2"/>
      <c r="U247" s="2"/>
      <c r="V247" s="2"/>
      <c r="W247" s="2" t="s">
        <v>115</v>
      </c>
      <c r="X247" s="2"/>
      <c r="Y247" s="2" t="s">
        <v>12</v>
      </c>
      <c r="Z247" s="2"/>
      <c r="AA247" s="2" t="s">
        <v>16</v>
      </c>
      <c r="AB247" s="2"/>
      <c r="AC247" s="5" t="s">
        <v>164</v>
      </c>
      <c r="AD247" s="2"/>
      <c r="AE247" s="2"/>
      <c r="AF247" s="2"/>
      <c r="AG247" s="2"/>
      <c r="AH247" s="2"/>
      <c r="AI247" s="2"/>
      <c r="AJ247" s="2"/>
      <c r="AK247" s="2"/>
      <c r="AL247" s="2" t="str">
        <f t="shared" si="4"/>
        <v>Yes</v>
      </c>
    </row>
    <row r="248" spans="1:38" ht="332.25" x14ac:dyDescent="0.25">
      <c r="A248" s="2" t="s">
        <v>98</v>
      </c>
      <c r="B248" s="2" t="s">
        <v>99</v>
      </c>
      <c r="C248" s="2" t="s">
        <v>312</v>
      </c>
      <c r="D248" s="2">
        <v>1</v>
      </c>
      <c r="E248" s="2">
        <v>20.6</v>
      </c>
      <c r="F248" s="2">
        <v>20.6</v>
      </c>
      <c r="G248" s="2">
        <f>E248/D248</f>
        <v>20.6</v>
      </c>
      <c r="H248" s="2"/>
      <c r="I248" s="2"/>
      <c r="J248" s="2">
        <v>5</v>
      </c>
      <c r="K248" s="2" t="s">
        <v>100</v>
      </c>
      <c r="L248" s="2">
        <v>100</v>
      </c>
      <c r="M248" s="2">
        <v>0</v>
      </c>
      <c r="N248" s="2">
        <v>0</v>
      </c>
      <c r="O248" s="2">
        <v>0</v>
      </c>
      <c r="P248" s="2">
        <v>0</v>
      </c>
      <c r="Q248" s="2">
        <v>1</v>
      </c>
      <c r="R248" s="2"/>
      <c r="S248" s="2"/>
      <c r="T248" s="2"/>
      <c r="U248" s="2"/>
      <c r="V248" s="2"/>
      <c r="W248" s="2" t="s">
        <v>99</v>
      </c>
      <c r="X248" s="2" t="s">
        <v>101</v>
      </c>
      <c r="Y248" s="2" t="s">
        <v>12</v>
      </c>
      <c r="Z248" s="2" t="s">
        <v>37</v>
      </c>
      <c r="AA248" s="2" t="s">
        <v>16</v>
      </c>
      <c r="AB248" s="2" t="s">
        <v>1287</v>
      </c>
      <c r="AC248" s="5" t="s">
        <v>734</v>
      </c>
      <c r="AD248" s="2">
        <v>80000</v>
      </c>
      <c r="AE248" s="2" t="s">
        <v>735</v>
      </c>
      <c r="AF248" s="2" t="s">
        <v>1288</v>
      </c>
      <c r="AG248" s="2">
        <v>1350</v>
      </c>
      <c r="AH248" s="2"/>
      <c r="AI248" s="2"/>
      <c r="AJ248" s="2"/>
      <c r="AK248" s="2"/>
      <c r="AL248" s="2" t="str">
        <f t="shared" si="4"/>
        <v>Yes</v>
      </c>
    </row>
    <row r="249" spans="1:38" ht="115.5" x14ac:dyDescent="0.25">
      <c r="A249" s="2" t="s">
        <v>75</v>
      </c>
      <c r="B249" s="2" t="s">
        <v>76</v>
      </c>
      <c r="C249" s="2" t="s">
        <v>308</v>
      </c>
      <c r="D249" s="2">
        <v>2</v>
      </c>
      <c r="E249" s="2">
        <v>1438.5</v>
      </c>
      <c r="F249" s="2">
        <f>E249-499</f>
        <v>939.5</v>
      </c>
      <c r="G249" s="2">
        <f>E249/D249</f>
        <v>719.25</v>
      </c>
      <c r="H249" s="2">
        <v>100</v>
      </c>
      <c r="I249" s="2" t="s">
        <v>78</v>
      </c>
      <c r="J249" s="2"/>
      <c r="K249" s="2" t="s">
        <v>2024</v>
      </c>
      <c r="L249" s="2">
        <v>0</v>
      </c>
      <c r="M249" s="2">
        <v>0</v>
      </c>
      <c r="N249" s="2">
        <v>0</v>
      </c>
      <c r="O249" s="2">
        <v>0</v>
      </c>
      <c r="P249" s="2">
        <v>100</v>
      </c>
      <c r="Q249" s="2"/>
      <c r="R249" s="2"/>
      <c r="S249" s="2"/>
      <c r="T249" s="2"/>
      <c r="U249" s="2">
        <v>1</v>
      </c>
      <c r="V249" s="2"/>
      <c r="W249" s="2" t="s">
        <v>77</v>
      </c>
      <c r="X249" s="2" t="s">
        <v>498</v>
      </c>
      <c r="Y249" s="2" t="s">
        <v>500</v>
      </c>
      <c r="Z249" s="2"/>
      <c r="AA249" s="2" t="s">
        <v>17</v>
      </c>
      <c r="AB249" s="2"/>
      <c r="AC249" s="5" t="s">
        <v>499</v>
      </c>
      <c r="AD249" s="2"/>
      <c r="AE249" s="2"/>
      <c r="AF249" s="2"/>
      <c r="AG249" s="2"/>
      <c r="AH249" s="2"/>
      <c r="AI249" s="2"/>
      <c r="AJ249" s="2"/>
      <c r="AK249" s="2"/>
      <c r="AL249" s="2" t="str">
        <f t="shared" si="4"/>
        <v>Yes</v>
      </c>
    </row>
    <row r="250" spans="1:38" ht="409.5" x14ac:dyDescent="0.25">
      <c r="A250" s="5" t="s">
        <v>783</v>
      </c>
      <c r="B250" s="5" t="s">
        <v>783</v>
      </c>
      <c r="C250" s="5" t="s">
        <v>306</v>
      </c>
      <c r="D250" s="5">
        <v>1</v>
      </c>
      <c r="E250" s="5">
        <v>45</v>
      </c>
      <c r="F250" s="5">
        <v>45</v>
      </c>
      <c r="G250" s="5">
        <v>45</v>
      </c>
      <c r="J250" s="5">
        <v>47</v>
      </c>
      <c r="K250" s="2" t="s">
        <v>895</v>
      </c>
      <c r="L250" s="5">
        <v>100</v>
      </c>
      <c r="M250" s="5">
        <v>0</v>
      </c>
      <c r="N250" s="5">
        <v>0</v>
      </c>
      <c r="O250" s="5">
        <v>0</v>
      </c>
      <c r="P250" s="5">
        <v>0</v>
      </c>
      <c r="Q250" s="5">
        <v>3</v>
      </c>
      <c r="U250" s="69"/>
      <c r="V250" s="70" t="s">
        <v>550</v>
      </c>
      <c r="W250" s="70" t="s">
        <v>892</v>
      </c>
      <c r="X250" s="70" t="s">
        <v>894</v>
      </c>
      <c r="Y250" s="70" t="s">
        <v>12</v>
      </c>
      <c r="Z250" s="70" t="s">
        <v>706</v>
      </c>
      <c r="AA250" s="70" t="s">
        <v>16</v>
      </c>
      <c r="AB250" s="70" t="s">
        <v>897</v>
      </c>
      <c r="AC250" s="69" t="s">
        <v>896</v>
      </c>
      <c r="AD250" s="69">
        <v>130000</v>
      </c>
      <c r="AE250" s="69" t="s">
        <v>893</v>
      </c>
      <c r="AF250" s="69">
        <v>4500</v>
      </c>
      <c r="AG250" s="69">
        <v>5500</v>
      </c>
      <c r="AH250" s="69"/>
      <c r="AI250" s="69"/>
      <c r="AJ250" s="69"/>
      <c r="AK250" s="69"/>
      <c r="AL250" s="2" t="str">
        <f t="shared" si="4"/>
        <v>Yes</v>
      </c>
    </row>
    <row r="251" spans="1:38" ht="120" x14ac:dyDescent="0.25">
      <c r="A251" s="5" t="s">
        <v>776</v>
      </c>
      <c r="B251" s="5" t="s">
        <v>842</v>
      </c>
      <c r="C251" s="2" t="s">
        <v>308</v>
      </c>
      <c r="D251" s="5">
        <v>1</v>
      </c>
      <c r="E251" s="5">
        <v>40</v>
      </c>
      <c r="F251" s="5">
        <v>40</v>
      </c>
      <c r="G251" s="5">
        <v>40</v>
      </c>
      <c r="J251" s="5">
        <v>25</v>
      </c>
      <c r="K251" s="2" t="s">
        <v>846</v>
      </c>
      <c r="L251" s="5">
        <v>100</v>
      </c>
      <c r="M251" s="5">
        <v>0</v>
      </c>
      <c r="N251" s="5">
        <v>0</v>
      </c>
      <c r="O251" s="5">
        <v>0</v>
      </c>
      <c r="P251" s="5">
        <v>0</v>
      </c>
      <c r="U251" s="69"/>
      <c r="V251" s="69"/>
      <c r="W251" s="70" t="s">
        <v>843</v>
      </c>
      <c r="X251" s="69"/>
      <c r="Y251" s="69" t="s">
        <v>12</v>
      </c>
      <c r="Z251" s="70" t="s">
        <v>706</v>
      </c>
      <c r="AA251" s="70" t="s">
        <v>16</v>
      </c>
      <c r="AB251" s="69" t="s">
        <v>844</v>
      </c>
      <c r="AC251" s="72" t="s">
        <v>847</v>
      </c>
      <c r="AD251" s="69">
        <v>45000</v>
      </c>
      <c r="AE251" s="69" t="s">
        <v>845</v>
      </c>
      <c r="AF251" s="69">
        <v>3000</v>
      </c>
      <c r="AG251" s="69"/>
      <c r="AH251" s="69"/>
      <c r="AI251" s="69"/>
      <c r="AJ251" s="69"/>
      <c r="AK251" s="69"/>
      <c r="AL251" s="2" t="str">
        <f t="shared" si="4"/>
        <v>Yes</v>
      </c>
    </row>
    <row r="252" spans="1:38" ht="45" x14ac:dyDescent="0.25">
      <c r="A252" s="5" t="s">
        <v>769</v>
      </c>
      <c r="B252" s="5" t="s">
        <v>796</v>
      </c>
      <c r="C252" s="5" t="s">
        <v>306</v>
      </c>
      <c r="D252" s="5">
        <v>1</v>
      </c>
      <c r="E252" s="5">
        <v>20</v>
      </c>
      <c r="F252" s="5">
        <v>20</v>
      </c>
      <c r="G252" s="5">
        <v>20</v>
      </c>
      <c r="J252" s="5">
        <v>19</v>
      </c>
      <c r="K252" s="2" t="s">
        <v>798</v>
      </c>
      <c r="L252" s="5">
        <v>100</v>
      </c>
      <c r="M252" s="5">
        <v>0</v>
      </c>
      <c r="N252" s="5">
        <v>0</v>
      </c>
      <c r="O252" s="5">
        <v>0</v>
      </c>
      <c r="P252" s="5">
        <v>0</v>
      </c>
      <c r="Q252" s="5">
        <v>1</v>
      </c>
      <c r="U252" s="69"/>
      <c r="V252" s="69"/>
      <c r="W252" s="70" t="s">
        <v>797</v>
      </c>
      <c r="X252" s="69"/>
      <c r="Y252" s="70" t="s">
        <v>12</v>
      </c>
      <c r="Z252" s="69"/>
      <c r="AA252" s="70" t="s">
        <v>16</v>
      </c>
      <c r="AB252" s="69" t="s">
        <v>2071</v>
      </c>
      <c r="AC252" s="73" t="s">
        <v>800</v>
      </c>
      <c r="AD252" s="70">
        <v>40000</v>
      </c>
      <c r="AE252" s="69" t="s">
        <v>799</v>
      </c>
      <c r="AF252" s="70">
        <v>2500</v>
      </c>
      <c r="AG252" s="70">
        <v>2000</v>
      </c>
      <c r="AH252" s="69"/>
      <c r="AI252" s="69"/>
      <c r="AJ252" s="69"/>
      <c r="AK252" s="69"/>
      <c r="AL252" s="2" t="str">
        <f t="shared" si="4"/>
        <v>Yes</v>
      </c>
    </row>
    <row r="253" spans="1:38" ht="217.5" x14ac:dyDescent="0.25">
      <c r="A253" s="2" t="s">
        <v>61</v>
      </c>
      <c r="B253" s="2" t="s">
        <v>62</v>
      </c>
      <c r="C253" s="2" t="s">
        <v>308</v>
      </c>
      <c r="D253" s="2">
        <v>1</v>
      </c>
      <c r="E253" s="2">
        <v>97</v>
      </c>
      <c r="F253" s="2">
        <v>97</v>
      </c>
      <c r="G253" s="2">
        <f>E253/D253</f>
        <v>97</v>
      </c>
      <c r="H253" s="2">
        <v>50</v>
      </c>
      <c r="I253" s="2" t="s">
        <v>63</v>
      </c>
      <c r="J253" s="2">
        <v>45</v>
      </c>
      <c r="K253" s="2" t="s">
        <v>841</v>
      </c>
      <c r="L253" s="2">
        <v>7</v>
      </c>
      <c r="M253" s="2">
        <v>73</v>
      </c>
      <c r="N253" s="2">
        <v>20</v>
      </c>
      <c r="O253" s="2">
        <v>0</v>
      </c>
      <c r="P253" s="2">
        <v>0</v>
      </c>
      <c r="Q253" s="2">
        <v>1</v>
      </c>
      <c r="R253" s="2">
        <v>11</v>
      </c>
      <c r="S253" s="2">
        <v>3</v>
      </c>
      <c r="T253" s="2"/>
      <c r="U253" s="2"/>
      <c r="V253" s="2" t="s">
        <v>839</v>
      </c>
      <c r="W253" s="2" t="s">
        <v>62</v>
      </c>
      <c r="X253" s="2" t="s">
        <v>64</v>
      </c>
      <c r="Y253" s="2" t="s">
        <v>153</v>
      </c>
      <c r="Z253" s="2" t="s">
        <v>578</v>
      </c>
      <c r="AA253" s="2" t="s">
        <v>17</v>
      </c>
      <c r="AB253" s="2" t="s">
        <v>838</v>
      </c>
      <c r="AC253" s="5" t="s">
        <v>840</v>
      </c>
      <c r="AD253" s="2"/>
      <c r="AE253" s="2" t="s">
        <v>1289</v>
      </c>
      <c r="AF253" s="2">
        <v>5700</v>
      </c>
      <c r="AG253" s="2">
        <v>8300</v>
      </c>
      <c r="AH253" s="2"/>
      <c r="AI253" s="2"/>
      <c r="AJ253" s="2"/>
      <c r="AK253" s="2"/>
      <c r="AL253" s="2" t="str">
        <f t="shared" si="4"/>
        <v>Yes</v>
      </c>
    </row>
    <row r="254" spans="1:38" ht="102.75" x14ac:dyDescent="0.25">
      <c r="A254" s="2" t="s">
        <v>463</v>
      </c>
      <c r="B254" s="69" t="s">
        <v>1992</v>
      </c>
      <c r="C254" s="2" t="s">
        <v>308</v>
      </c>
      <c r="D254" s="5">
        <v>1</v>
      </c>
      <c r="E254" s="5">
        <v>999</v>
      </c>
      <c r="F254" s="5">
        <v>999</v>
      </c>
      <c r="G254" s="5">
        <f>E254/D254</f>
        <v>999</v>
      </c>
      <c r="J254" s="5">
        <f>261/4</f>
        <v>65.25</v>
      </c>
      <c r="K254" s="2" t="s">
        <v>1996</v>
      </c>
      <c r="L254" s="2">
        <v>0</v>
      </c>
      <c r="M254" s="5">
        <v>0</v>
      </c>
      <c r="N254" s="5">
        <v>0</v>
      </c>
      <c r="O254" s="5">
        <v>0</v>
      </c>
      <c r="P254" s="69">
        <v>100</v>
      </c>
      <c r="Q254" s="70"/>
      <c r="R254" s="70"/>
      <c r="S254" s="70"/>
      <c r="T254" s="70"/>
      <c r="U254" s="70">
        <v>1</v>
      </c>
      <c r="V254" s="2" t="s">
        <v>469</v>
      </c>
      <c r="W254" s="2" t="s">
        <v>458</v>
      </c>
      <c r="X254" s="5"/>
      <c r="Y254" s="2" t="s">
        <v>464</v>
      </c>
      <c r="Z254" s="69"/>
      <c r="AA254" s="5" t="s">
        <v>17</v>
      </c>
      <c r="AB254" s="74" t="s">
        <v>1997</v>
      </c>
      <c r="AC254" s="69" t="s">
        <v>1994</v>
      </c>
      <c r="AD254" s="69"/>
      <c r="AE254" s="70"/>
      <c r="AF254" s="70"/>
      <c r="AG254" s="70"/>
      <c r="AH254" s="70"/>
      <c r="AI254" s="70"/>
      <c r="AJ254" s="70"/>
      <c r="AK254" s="70"/>
      <c r="AL254" s="2" t="str">
        <f t="shared" si="4"/>
        <v>No</v>
      </c>
    </row>
    <row r="255" spans="1:38" ht="217.5" x14ac:dyDescent="0.25">
      <c r="A255" s="2" t="s">
        <v>21</v>
      </c>
      <c r="B255" s="2" t="s">
        <v>23</v>
      </c>
      <c r="C255" s="2" t="s">
        <v>306</v>
      </c>
      <c r="D255" s="2">
        <v>1</v>
      </c>
      <c r="E255" s="2">
        <v>47</v>
      </c>
      <c r="F255" s="2">
        <v>47</v>
      </c>
      <c r="G255" s="2">
        <f>E255/D255</f>
        <v>47</v>
      </c>
      <c r="H255" s="2">
        <v>40</v>
      </c>
      <c r="I255" s="2"/>
      <c r="J255" s="2">
        <v>22</v>
      </c>
      <c r="K255" s="2" t="s">
        <v>383</v>
      </c>
      <c r="L255" s="2">
        <v>100</v>
      </c>
      <c r="M255" s="2">
        <v>0</v>
      </c>
      <c r="N255" s="2">
        <v>0</v>
      </c>
      <c r="O255" s="2">
        <v>0</v>
      </c>
      <c r="P255" s="2">
        <v>0</v>
      </c>
      <c r="Q255" s="2">
        <v>6</v>
      </c>
      <c r="R255" s="2"/>
      <c r="S255" s="2"/>
      <c r="T255" s="2"/>
      <c r="U255" s="2"/>
      <c r="V255" s="2" t="s">
        <v>28</v>
      </c>
      <c r="W255" s="2" t="s">
        <v>25</v>
      </c>
      <c r="X255" s="2" t="s">
        <v>26</v>
      </c>
      <c r="Y255" s="2" t="s">
        <v>33</v>
      </c>
      <c r="Z255" s="2"/>
      <c r="AA255" s="2" t="s">
        <v>16</v>
      </c>
      <c r="AB255" s="2" t="s">
        <v>32</v>
      </c>
      <c r="AC255" s="5" t="s">
        <v>164</v>
      </c>
      <c r="AD255" s="2"/>
      <c r="AE255" s="2" t="s">
        <v>749</v>
      </c>
      <c r="AF255" s="2" t="s">
        <v>750</v>
      </c>
      <c r="AG255" s="2"/>
      <c r="AH255" s="2"/>
      <c r="AI255" s="2"/>
      <c r="AJ255" s="2"/>
      <c r="AK255" s="2"/>
      <c r="AL255" s="2" t="str">
        <f t="shared" si="4"/>
        <v>Yes</v>
      </c>
    </row>
    <row r="256" spans="1:38" ht="90" x14ac:dyDescent="0.25">
      <c r="A256" s="5" t="s">
        <v>2015</v>
      </c>
      <c r="B256" s="5" t="s">
        <v>670</v>
      </c>
      <c r="C256" s="2" t="s">
        <v>309</v>
      </c>
      <c r="D256" s="5">
        <v>1</v>
      </c>
      <c r="E256" s="5">
        <v>1019</v>
      </c>
      <c r="F256" s="5">
        <v>1019</v>
      </c>
      <c r="G256" s="5">
        <f>E256/D256</f>
        <v>1019</v>
      </c>
      <c r="K256" s="2" t="s">
        <v>2017</v>
      </c>
      <c r="L256" s="5">
        <v>100</v>
      </c>
      <c r="M256" s="5">
        <v>0</v>
      </c>
      <c r="N256" s="5">
        <v>0</v>
      </c>
      <c r="O256" s="5">
        <v>0</v>
      </c>
      <c r="P256" s="5">
        <v>0</v>
      </c>
      <c r="Q256" s="5">
        <v>23</v>
      </c>
      <c r="U256" s="69"/>
      <c r="V256" s="70" t="s">
        <v>671</v>
      </c>
      <c r="W256" s="70" t="s">
        <v>668</v>
      </c>
      <c r="X256" s="70" t="s">
        <v>669</v>
      </c>
      <c r="Y256" s="69" t="s">
        <v>12</v>
      </c>
      <c r="Z256" s="70" t="s">
        <v>667</v>
      </c>
      <c r="AA256" s="70" t="s">
        <v>17</v>
      </c>
      <c r="AB256" s="69" t="s">
        <v>672</v>
      </c>
      <c r="AC256" s="69" t="s">
        <v>2016</v>
      </c>
      <c r="AD256" s="69"/>
      <c r="AE256" s="69"/>
      <c r="AF256" s="69"/>
      <c r="AG256" s="69"/>
      <c r="AH256" s="69"/>
      <c r="AI256" s="69"/>
      <c r="AJ256" s="69"/>
      <c r="AK256" s="69"/>
      <c r="AL256" s="2" t="str">
        <f t="shared" si="4"/>
        <v>Yes</v>
      </c>
    </row>
    <row r="257" spans="1:38" ht="45" x14ac:dyDescent="0.25">
      <c r="A257" s="70" t="s">
        <v>1436</v>
      </c>
      <c r="B257" s="70" t="s">
        <v>1436</v>
      </c>
      <c r="C257" s="75" t="s">
        <v>308</v>
      </c>
      <c r="D257" s="69">
        <v>1</v>
      </c>
      <c r="E257" s="69">
        <v>19.98</v>
      </c>
      <c r="F257" s="69">
        <v>19.98</v>
      </c>
      <c r="G257" s="69">
        <v>19.98</v>
      </c>
      <c r="J257" s="69">
        <v>3</v>
      </c>
      <c r="K257" s="75" t="s">
        <v>1531</v>
      </c>
      <c r="L257" s="75">
        <v>100</v>
      </c>
      <c r="M257" s="5">
        <v>0</v>
      </c>
      <c r="N257" s="5">
        <v>0</v>
      </c>
      <c r="O257" s="5">
        <v>0</v>
      </c>
      <c r="P257" s="5">
        <v>0</v>
      </c>
      <c r="U257" s="69"/>
      <c r="V257" s="70" t="s">
        <v>1061</v>
      </c>
      <c r="W257" s="70" t="s">
        <v>1530</v>
      </c>
      <c r="X257" s="69" t="s">
        <v>1532</v>
      </c>
      <c r="Y257" s="69" t="s">
        <v>12</v>
      </c>
      <c r="Z257" s="69"/>
      <c r="AA257" s="70" t="s">
        <v>16</v>
      </c>
      <c r="AB257" s="69"/>
      <c r="AC257" s="69" t="s">
        <v>1533</v>
      </c>
      <c r="AD257" s="69"/>
      <c r="AE257" s="69"/>
      <c r="AF257" s="69"/>
      <c r="AG257" s="69"/>
      <c r="AH257" s="69"/>
      <c r="AI257" s="69">
        <v>19.98</v>
      </c>
      <c r="AJ257" s="69">
        <v>1</v>
      </c>
      <c r="AK257" s="69">
        <v>3</v>
      </c>
      <c r="AL257" s="2" t="str">
        <f t="shared" si="4"/>
        <v>Yes</v>
      </c>
    </row>
    <row r="258" spans="1:38" ht="77.25" customHeight="1" x14ac:dyDescent="0.25">
      <c r="A258" s="70" t="s">
        <v>761</v>
      </c>
      <c r="B258" s="70" t="s">
        <v>422</v>
      </c>
      <c r="C258" s="70" t="s">
        <v>308</v>
      </c>
      <c r="D258" s="70">
        <v>1</v>
      </c>
      <c r="E258" s="70">
        <v>70</v>
      </c>
      <c r="F258" s="69">
        <f>E258-4</f>
        <v>66</v>
      </c>
      <c r="G258" s="70">
        <v>70</v>
      </c>
      <c r="H258" s="70"/>
      <c r="I258" s="70"/>
      <c r="J258" s="70">
        <v>375</v>
      </c>
      <c r="K258" s="70" t="s">
        <v>767</v>
      </c>
      <c r="L258" s="70"/>
      <c r="M258" s="70"/>
      <c r="N258" s="70"/>
      <c r="O258" s="70"/>
      <c r="P258" s="70"/>
      <c r="Q258" s="70"/>
      <c r="R258" s="70"/>
      <c r="S258" s="70"/>
      <c r="T258" s="70"/>
      <c r="U258" s="69"/>
      <c r="V258" s="70"/>
      <c r="W258" s="70" t="s">
        <v>763</v>
      </c>
      <c r="X258" s="70" t="s">
        <v>766</v>
      </c>
      <c r="Y258" s="70" t="s">
        <v>762</v>
      </c>
      <c r="Z258" s="70"/>
      <c r="AA258" s="70" t="s">
        <v>17</v>
      </c>
      <c r="AB258" s="70"/>
      <c r="AC258" s="69" t="s">
        <v>765</v>
      </c>
      <c r="AD258" s="70">
        <v>95000</v>
      </c>
      <c r="AE258" s="70" t="s">
        <v>764</v>
      </c>
      <c r="AF258" s="70">
        <v>15400</v>
      </c>
      <c r="AG258" s="70">
        <v>4300</v>
      </c>
      <c r="AH258" s="70"/>
      <c r="AI258" s="70"/>
      <c r="AJ258" s="70"/>
      <c r="AK258" s="70"/>
      <c r="AL258" s="2" t="str">
        <f t="shared" si="4"/>
        <v>No</v>
      </c>
    </row>
    <row r="259" spans="1:38" ht="60" x14ac:dyDescent="0.25">
      <c r="A259" s="5" t="s">
        <v>908</v>
      </c>
      <c r="B259" s="5" t="s">
        <v>588</v>
      </c>
      <c r="C259" s="2" t="s">
        <v>308</v>
      </c>
      <c r="D259" s="5">
        <v>1</v>
      </c>
      <c r="E259" s="5">
        <v>52</v>
      </c>
      <c r="F259" s="5">
        <v>52</v>
      </c>
      <c r="G259" s="5">
        <v>52</v>
      </c>
      <c r="J259" s="5">
        <v>70</v>
      </c>
      <c r="K259" s="2" t="s">
        <v>907</v>
      </c>
      <c r="L259" s="5">
        <v>0</v>
      </c>
      <c r="M259" s="5">
        <v>0</v>
      </c>
      <c r="N259" s="5">
        <v>0</v>
      </c>
      <c r="O259" s="5">
        <v>100</v>
      </c>
      <c r="P259" s="5">
        <v>0</v>
      </c>
      <c r="T259" s="5">
        <v>1</v>
      </c>
      <c r="U259" s="69"/>
      <c r="V259" s="69"/>
      <c r="W259" s="70" t="s">
        <v>904</v>
      </c>
      <c r="X259" s="69"/>
      <c r="Y259" s="69" t="s">
        <v>12</v>
      </c>
      <c r="Z259" s="69"/>
      <c r="AA259" s="70" t="s">
        <v>17</v>
      </c>
      <c r="AB259" s="69"/>
      <c r="AC259" s="73" t="s">
        <v>905</v>
      </c>
      <c r="AD259" s="69">
        <v>64000</v>
      </c>
      <c r="AE259" s="69" t="s">
        <v>906</v>
      </c>
      <c r="AF259" s="69">
        <v>7500</v>
      </c>
      <c r="AG259" s="69">
        <v>7400</v>
      </c>
      <c r="AH259" s="69"/>
      <c r="AI259" s="69"/>
      <c r="AJ259" s="69"/>
      <c r="AK259" s="69"/>
      <c r="AL259" s="2" t="str">
        <f t="shared" ref="AL259:AL322" si="5">IF(OR(ISNUMBER(SEARCH("school", K259)), ISNUMBER(SEARCH("others", K259)), ISNUMBER(SEARCH("town hall", K259)), ISNUMBER(SEARCH("municipality", K259)),ISNUMBER(SEARCH("gym", K259)),ISNUMBER(SEARCH("sports", K259)),ISNUMBER(SEARCH("university", K259)),ISNUMBER(SEARCH("social center", K259)),ISNUMBER(SEARCH("warehouse", K259)),ISNUMBER(SEARCH("kindergarden", K259)),ISNUMBER(SEARCH("library", K259)),ISNUMBER(SEARCH("private", K259)),ISNUMBER(SEARCH("condominium", K259)),ISNUMBER(SEARCH("commercial", K259)),ISNUMBER(SEARCH("shop", K259)),ISNUMBER(SEARCH("comm", K259)),ISNUMBER(SEARCH("market", K259)),ISNUMBER(SEARCH("supermarket", K259)),ISNUMBER(SEARCH("hotel", K259)),ISNUMBER(SEARCH("industrial", K259)),ISNUMBER(SEARCH("farm", K259)),ISNUMBER(SEARCH("office", K259)),ISNUMBER(SEARCH("offices", K259)),ISNUMBER(SEARCH("church", K259)),ISNUMBER(SEARCH("canteen", K259)),ISNUMBER(SEARCH("educational", K259)), ISNUMBER(SEARCH("waste", K259)),ISNUMBER(SEARCH("social", K259)),ISNUMBER(SEARCH("sport/complex", K259)),ISNUMBER(SEARCH("utility", K259)),ISNUMBER(SEARCH("villa", K259)),ISNUMBER(SEARCH("prosumer/park", K259)),ISNUMBER(SEARCH("police", K259))),"Yes", "No")</f>
        <v>No</v>
      </c>
    </row>
    <row r="260" spans="1:38" ht="75" x14ac:dyDescent="0.25">
      <c r="A260" s="2" t="s">
        <v>786</v>
      </c>
      <c r="B260" s="5" t="s">
        <v>588</v>
      </c>
      <c r="C260" s="2" t="s">
        <v>308</v>
      </c>
      <c r="D260" s="5">
        <v>1</v>
      </c>
      <c r="E260" s="5">
        <v>50</v>
      </c>
      <c r="F260" s="5">
        <v>50</v>
      </c>
      <c r="G260" s="5">
        <v>50</v>
      </c>
      <c r="J260" s="5">
        <v>14</v>
      </c>
      <c r="K260" s="2" t="s">
        <v>924</v>
      </c>
      <c r="L260" s="5">
        <v>0</v>
      </c>
      <c r="M260" s="5">
        <v>0</v>
      </c>
      <c r="N260" s="5">
        <v>0</v>
      </c>
      <c r="O260" s="5">
        <v>100</v>
      </c>
      <c r="P260" s="5">
        <v>0</v>
      </c>
      <c r="U260" s="69"/>
      <c r="V260" s="69"/>
      <c r="W260" s="70" t="s">
        <v>922</v>
      </c>
      <c r="X260" s="70" t="s">
        <v>923</v>
      </c>
      <c r="Y260" s="69" t="s">
        <v>12</v>
      </c>
      <c r="Z260" s="69"/>
      <c r="AA260" s="70" t="s">
        <v>17</v>
      </c>
      <c r="AB260" s="69" t="s">
        <v>921</v>
      </c>
      <c r="AC260" s="72" t="s">
        <v>925</v>
      </c>
      <c r="AD260" s="69">
        <v>75000</v>
      </c>
      <c r="AE260" s="69" t="s">
        <v>920</v>
      </c>
      <c r="AF260" s="69">
        <v>5500</v>
      </c>
      <c r="AG260" s="69">
        <v>4000</v>
      </c>
      <c r="AH260" s="69"/>
      <c r="AI260" s="69"/>
      <c r="AJ260" s="69"/>
      <c r="AK260" s="69"/>
      <c r="AL260" s="2" t="str">
        <f t="shared" si="5"/>
        <v>No</v>
      </c>
    </row>
    <row r="261" spans="1:38" ht="409.6" x14ac:dyDescent="0.25">
      <c r="A261" s="2" t="s">
        <v>1052</v>
      </c>
      <c r="B261" s="5" t="s">
        <v>1058</v>
      </c>
      <c r="C261" s="5" t="s">
        <v>306</v>
      </c>
      <c r="D261" s="5">
        <v>1</v>
      </c>
      <c r="E261" s="5">
        <v>87</v>
      </c>
      <c r="F261" s="5">
        <v>87</v>
      </c>
      <c r="G261" s="2">
        <f>E261/D261</f>
        <v>87</v>
      </c>
      <c r="H261" s="5">
        <v>24.3</v>
      </c>
      <c r="J261" s="5">
        <v>40</v>
      </c>
      <c r="K261" s="2" t="s">
        <v>1053</v>
      </c>
      <c r="L261" s="5">
        <v>0</v>
      </c>
      <c r="M261" s="5">
        <v>0</v>
      </c>
      <c r="N261" s="5">
        <v>0</v>
      </c>
      <c r="O261" s="5">
        <v>100</v>
      </c>
      <c r="P261" s="5">
        <v>0</v>
      </c>
      <c r="Q261" s="2"/>
      <c r="R261" s="2"/>
      <c r="S261" s="2"/>
      <c r="T261" s="2">
        <v>1</v>
      </c>
      <c r="U261" s="2"/>
      <c r="V261" s="2" t="s">
        <v>1055</v>
      </c>
      <c r="W261" s="2" t="s">
        <v>299</v>
      </c>
      <c r="X261" s="2" t="s">
        <v>1054</v>
      </c>
      <c r="Y261" s="5" t="s">
        <v>12</v>
      </c>
      <c r="Z261" s="2" t="s">
        <v>37</v>
      </c>
      <c r="AA261" s="5" t="s">
        <v>16</v>
      </c>
      <c r="AB261" s="2" t="s">
        <v>910</v>
      </c>
      <c r="AC261" s="5" t="s">
        <v>1056</v>
      </c>
      <c r="AD261" s="5">
        <v>180000</v>
      </c>
      <c r="AE261" s="2" t="s">
        <v>1057</v>
      </c>
      <c r="AF261" s="2">
        <v>3000</v>
      </c>
      <c r="AG261" s="2">
        <v>12000</v>
      </c>
      <c r="AH261" s="2"/>
      <c r="AI261" s="2"/>
      <c r="AJ261" s="2"/>
      <c r="AK261" s="2"/>
      <c r="AL261" s="2" t="str">
        <f t="shared" si="5"/>
        <v>Yes</v>
      </c>
    </row>
    <row r="262" spans="1:38" ht="64.5" x14ac:dyDescent="0.25">
      <c r="A262" s="5" t="s">
        <v>316</v>
      </c>
      <c r="B262" s="2" t="s">
        <v>366</v>
      </c>
      <c r="C262" s="2" t="s">
        <v>308</v>
      </c>
      <c r="D262" s="5">
        <v>1</v>
      </c>
      <c r="E262" s="5">
        <v>53</v>
      </c>
      <c r="F262" s="5">
        <v>53</v>
      </c>
      <c r="G262" s="2">
        <f>E262/D262</f>
        <v>53</v>
      </c>
      <c r="J262" s="5">
        <v>40</v>
      </c>
      <c r="K262" s="2" t="s">
        <v>531</v>
      </c>
      <c r="L262" s="5">
        <v>0</v>
      </c>
      <c r="M262" s="5">
        <v>0</v>
      </c>
      <c r="N262" s="5">
        <v>0</v>
      </c>
      <c r="O262" s="5">
        <v>100</v>
      </c>
      <c r="P262" s="5">
        <v>0</v>
      </c>
      <c r="Q262" s="2"/>
      <c r="R262" s="2"/>
      <c r="S262" s="2"/>
      <c r="T262" s="2">
        <v>1</v>
      </c>
      <c r="U262" s="2"/>
      <c r="V262" s="5"/>
      <c r="W262" s="2" t="s">
        <v>317</v>
      </c>
      <c r="X262" s="2" t="s">
        <v>318</v>
      </c>
      <c r="Y262" s="5" t="s">
        <v>12</v>
      </c>
      <c r="Z262" s="5"/>
      <c r="AA262" s="5" t="s">
        <v>16</v>
      </c>
      <c r="AB262" s="5" t="s">
        <v>343</v>
      </c>
      <c r="AC262" s="5" t="s">
        <v>352</v>
      </c>
      <c r="AD262" s="5"/>
      <c r="AE262" s="2"/>
      <c r="AF262" s="2"/>
      <c r="AG262" s="2"/>
      <c r="AH262" s="2"/>
      <c r="AI262" s="2"/>
      <c r="AJ262" s="2"/>
      <c r="AK262" s="2"/>
      <c r="AL262" s="2" t="str">
        <f t="shared" si="5"/>
        <v>Yes</v>
      </c>
    </row>
    <row r="263" spans="1:38" ht="77.25" x14ac:dyDescent="0.25">
      <c r="A263" s="2" t="s">
        <v>201</v>
      </c>
      <c r="B263" s="2" t="s">
        <v>145</v>
      </c>
      <c r="C263" s="70" t="s">
        <v>306</v>
      </c>
      <c r="D263" s="2">
        <v>1</v>
      </c>
      <c r="E263" s="2">
        <v>20</v>
      </c>
      <c r="F263" s="2">
        <v>20</v>
      </c>
      <c r="G263" s="2">
        <f>E263/D263</f>
        <v>20</v>
      </c>
      <c r="H263" s="2"/>
      <c r="I263" s="2"/>
      <c r="J263" s="2">
        <v>9</v>
      </c>
      <c r="K263" s="2" t="s">
        <v>203</v>
      </c>
      <c r="L263" s="70">
        <v>0</v>
      </c>
      <c r="M263" s="70">
        <v>0</v>
      </c>
      <c r="N263" s="70">
        <v>0</v>
      </c>
      <c r="O263" s="70">
        <v>100</v>
      </c>
      <c r="P263" s="70">
        <v>0</v>
      </c>
      <c r="Q263" s="2"/>
      <c r="R263" s="2"/>
      <c r="S263" s="2"/>
      <c r="T263" s="2">
        <v>1</v>
      </c>
      <c r="U263" s="2"/>
      <c r="V263" s="2" t="s">
        <v>202</v>
      </c>
      <c r="W263" s="2" t="s">
        <v>1232</v>
      </c>
      <c r="X263" s="2" t="s">
        <v>1231</v>
      </c>
      <c r="Y263" s="2" t="s">
        <v>12</v>
      </c>
      <c r="Z263" s="2" t="s">
        <v>45</v>
      </c>
      <c r="AA263" s="2" t="s">
        <v>16</v>
      </c>
      <c r="AB263" s="2" t="s">
        <v>27</v>
      </c>
      <c r="AC263" s="5" t="s">
        <v>1113</v>
      </c>
      <c r="AD263" s="2"/>
      <c r="AE263" s="2" t="s">
        <v>2053</v>
      </c>
      <c r="AF263" s="2"/>
      <c r="AG263" s="2"/>
      <c r="AH263" s="2"/>
      <c r="AI263" s="2"/>
      <c r="AJ263" s="2"/>
      <c r="AK263" s="2"/>
      <c r="AL263" s="2" t="str">
        <f t="shared" si="5"/>
        <v>Yes</v>
      </c>
    </row>
    <row r="264" spans="1:38" ht="30" x14ac:dyDescent="0.25">
      <c r="A264" s="70" t="s">
        <v>1468</v>
      </c>
      <c r="B264" s="70" t="s">
        <v>1470</v>
      </c>
      <c r="C264" s="5" t="s">
        <v>306</v>
      </c>
      <c r="D264" s="69">
        <v>1</v>
      </c>
      <c r="E264" s="69">
        <v>58.05</v>
      </c>
      <c r="F264" s="69">
        <v>58.05</v>
      </c>
      <c r="G264" s="69">
        <v>58.05</v>
      </c>
      <c r="J264" s="69">
        <v>20</v>
      </c>
      <c r="K264" s="75" t="s">
        <v>1472</v>
      </c>
      <c r="L264" s="75">
        <v>0</v>
      </c>
      <c r="M264" s="5">
        <v>100</v>
      </c>
      <c r="N264" s="5">
        <v>0</v>
      </c>
      <c r="O264" s="5">
        <v>0</v>
      </c>
      <c r="P264" s="5">
        <v>0</v>
      </c>
      <c r="U264" s="69"/>
      <c r="V264" s="70" t="s">
        <v>1471</v>
      </c>
      <c r="W264" s="69" t="s">
        <v>234</v>
      </c>
      <c r="X264" s="69"/>
      <c r="Y264" s="69" t="s">
        <v>12</v>
      </c>
      <c r="Z264" s="70" t="s">
        <v>578</v>
      </c>
      <c r="AA264" s="70" t="s">
        <v>16</v>
      </c>
      <c r="AB264" s="69"/>
      <c r="AC264" s="69" t="s">
        <v>1469</v>
      </c>
      <c r="AD264" s="69"/>
      <c r="AE264" s="69"/>
      <c r="AF264" s="69"/>
      <c r="AG264" s="69"/>
      <c r="AH264" s="69"/>
      <c r="AI264" s="69">
        <v>47</v>
      </c>
      <c r="AJ264" s="69">
        <v>1</v>
      </c>
      <c r="AK264" s="69">
        <v>12</v>
      </c>
      <c r="AL264" s="2" t="str">
        <f t="shared" si="5"/>
        <v>Yes</v>
      </c>
    </row>
    <row r="265" spans="1:38" ht="39" x14ac:dyDescent="0.25">
      <c r="A265" s="2" t="s">
        <v>256</v>
      </c>
      <c r="B265" s="2" t="s">
        <v>182</v>
      </c>
      <c r="C265" s="70" t="s">
        <v>306</v>
      </c>
      <c r="D265" s="2">
        <v>1</v>
      </c>
      <c r="E265" s="2">
        <v>1300</v>
      </c>
      <c r="F265" s="2">
        <v>1300</v>
      </c>
      <c r="G265" s="2">
        <f>E265/D265</f>
        <v>1300</v>
      </c>
      <c r="H265" s="2"/>
      <c r="I265" s="2"/>
      <c r="J265" s="2">
        <v>400</v>
      </c>
      <c r="K265" s="2" t="s">
        <v>396</v>
      </c>
      <c r="L265" s="70">
        <v>0</v>
      </c>
      <c r="M265" s="70">
        <v>0</v>
      </c>
      <c r="N265" s="70">
        <v>23</v>
      </c>
      <c r="O265" s="70">
        <v>0</v>
      </c>
      <c r="P265" s="70">
        <v>77</v>
      </c>
      <c r="Q265" s="2"/>
      <c r="R265" s="2"/>
      <c r="S265" s="2">
        <v>1</v>
      </c>
      <c r="T265" s="2"/>
      <c r="U265" s="2">
        <v>1</v>
      </c>
      <c r="V265" s="2" t="s">
        <v>28</v>
      </c>
      <c r="W265" s="2" t="s">
        <v>204</v>
      </c>
      <c r="X265" s="2" t="s">
        <v>205</v>
      </c>
      <c r="Y265" s="2" t="s">
        <v>12</v>
      </c>
      <c r="Z265" s="2" t="s">
        <v>206</v>
      </c>
      <c r="AA265" s="2" t="s">
        <v>17</v>
      </c>
      <c r="AB265" s="2" t="s">
        <v>207</v>
      </c>
      <c r="AC265" s="5" t="s">
        <v>247</v>
      </c>
      <c r="AD265" s="2"/>
      <c r="AE265" s="2"/>
      <c r="AF265" s="2"/>
      <c r="AG265" s="2"/>
      <c r="AH265" s="2"/>
      <c r="AI265" s="2"/>
      <c r="AJ265" s="2"/>
      <c r="AK265" s="2"/>
      <c r="AL265" s="2" t="str">
        <f t="shared" si="5"/>
        <v>Yes</v>
      </c>
    </row>
    <row r="266" spans="1:38" ht="30" x14ac:dyDescent="0.25">
      <c r="A266" s="70" t="s">
        <v>1404</v>
      </c>
      <c r="B266" s="70" t="s">
        <v>1404</v>
      </c>
      <c r="C266" s="5" t="s">
        <v>306</v>
      </c>
      <c r="D266" s="69">
        <v>1</v>
      </c>
      <c r="E266" s="69">
        <v>5.25</v>
      </c>
      <c r="F266" s="69">
        <v>5.25</v>
      </c>
      <c r="G266" s="69">
        <v>5.25</v>
      </c>
      <c r="J266" s="69">
        <v>2</v>
      </c>
      <c r="K266" s="75" t="s">
        <v>1475</v>
      </c>
      <c r="L266" s="75">
        <v>0</v>
      </c>
      <c r="M266" s="5">
        <v>100</v>
      </c>
      <c r="N266" s="5">
        <v>0</v>
      </c>
      <c r="O266" s="5">
        <v>0</v>
      </c>
      <c r="P266" s="5">
        <v>0</v>
      </c>
      <c r="U266" s="69"/>
      <c r="V266" s="69"/>
      <c r="W266" s="69"/>
      <c r="X266" s="69"/>
      <c r="Y266" s="69" t="s">
        <v>12</v>
      </c>
      <c r="Z266" s="69"/>
      <c r="AA266" s="70" t="s">
        <v>16</v>
      </c>
      <c r="AB266" s="69"/>
      <c r="AC266" s="69" t="s">
        <v>1296</v>
      </c>
      <c r="AD266" s="69"/>
      <c r="AE266" s="69"/>
      <c r="AF266" s="69"/>
      <c r="AG266" s="69"/>
      <c r="AH266" s="69"/>
      <c r="AI266" s="69">
        <v>5.25</v>
      </c>
      <c r="AJ266" s="69">
        <v>1</v>
      </c>
      <c r="AK266" s="69">
        <v>2</v>
      </c>
      <c r="AL266" s="2" t="str">
        <f t="shared" si="5"/>
        <v>Yes</v>
      </c>
    </row>
    <row r="267" spans="1:38" ht="75" x14ac:dyDescent="0.25">
      <c r="A267" s="70" t="s">
        <v>1437</v>
      </c>
      <c r="B267" s="70" t="s">
        <v>1437</v>
      </c>
      <c r="C267" s="75" t="s">
        <v>308</v>
      </c>
      <c r="D267" s="69">
        <v>2</v>
      </c>
      <c r="E267" s="69">
        <f>10.1+10.1</f>
        <v>20.2</v>
      </c>
      <c r="F267" s="69">
        <f>10.1+10.1</f>
        <v>20.2</v>
      </c>
      <c r="G267" s="69">
        <v>10.1</v>
      </c>
      <c r="J267" s="69">
        <f>4+7</f>
        <v>11</v>
      </c>
      <c r="K267" s="75" t="s">
        <v>1536</v>
      </c>
      <c r="L267" s="75">
        <v>100</v>
      </c>
      <c r="M267" s="5">
        <v>0</v>
      </c>
      <c r="N267" s="5">
        <v>0</v>
      </c>
      <c r="O267" s="5">
        <v>0</v>
      </c>
      <c r="P267" s="5">
        <v>0</v>
      </c>
      <c r="Q267" s="5">
        <v>2</v>
      </c>
      <c r="U267" s="69"/>
      <c r="V267" s="70" t="s">
        <v>1538</v>
      </c>
      <c r="W267" s="70" t="s">
        <v>1534</v>
      </c>
      <c r="X267" s="70" t="s">
        <v>1535</v>
      </c>
      <c r="Y267" s="69" t="s">
        <v>12</v>
      </c>
      <c r="Z267" s="69"/>
      <c r="AA267" s="70" t="s">
        <v>16</v>
      </c>
      <c r="AB267" s="69"/>
      <c r="AC267" s="69" t="s">
        <v>1537</v>
      </c>
      <c r="AD267" s="69"/>
      <c r="AE267" s="69"/>
      <c r="AF267" s="69"/>
      <c r="AG267" s="69"/>
      <c r="AH267" s="69"/>
      <c r="AI267" s="69">
        <f>10.1+10.1</f>
        <v>20.2</v>
      </c>
      <c r="AJ267" s="69">
        <v>2</v>
      </c>
      <c r="AK267" s="69">
        <f>4+7</f>
        <v>11</v>
      </c>
      <c r="AL267" s="2" t="str">
        <f t="shared" si="5"/>
        <v>Yes</v>
      </c>
    </row>
    <row r="268" spans="1:38" ht="120" x14ac:dyDescent="0.25">
      <c r="A268" s="70" t="s">
        <v>1324</v>
      </c>
      <c r="B268" s="2" t="s">
        <v>1695</v>
      </c>
      <c r="C268" s="5" t="s">
        <v>306</v>
      </c>
      <c r="D268" s="5">
        <v>1</v>
      </c>
      <c r="E268" s="5">
        <f>100+60</f>
        <v>160</v>
      </c>
      <c r="F268" s="5">
        <f>100+60</f>
        <v>160</v>
      </c>
      <c r="G268" s="5">
        <f>100+60</f>
        <v>160</v>
      </c>
      <c r="J268" s="5">
        <v>107</v>
      </c>
      <c r="K268" s="2" t="s">
        <v>1698</v>
      </c>
      <c r="L268" s="5">
        <v>100</v>
      </c>
      <c r="M268" s="5">
        <v>0</v>
      </c>
      <c r="N268" s="5">
        <v>0</v>
      </c>
      <c r="O268" s="5">
        <v>0</v>
      </c>
      <c r="P268" s="5">
        <v>0</v>
      </c>
      <c r="Q268" s="5">
        <v>2</v>
      </c>
      <c r="U268" s="69"/>
      <c r="V268" s="70" t="s">
        <v>1696</v>
      </c>
      <c r="W268" s="70" t="s">
        <v>1691</v>
      </c>
      <c r="X268" s="70" t="s">
        <v>1692</v>
      </c>
      <c r="Y268" s="70" t="s">
        <v>12</v>
      </c>
      <c r="Z268" s="70" t="s">
        <v>283</v>
      </c>
      <c r="AA268" s="70" t="s">
        <v>16</v>
      </c>
      <c r="AB268" s="70" t="s">
        <v>1697</v>
      </c>
      <c r="AC268" s="72" t="s">
        <v>1693</v>
      </c>
      <c r="AD268" s="69">
        <f>100000+65000</f>
        <v>165000</v>
      </c>
      <c r="AE268" s="70" t="s">
        <v>1694</v>
      </c>
      <c r="AF268" s="69">
        <f>2000+1000</f>
        <v>3000</v>
      </c>
      <c r="AG268" s="69">
        <f>7000+3500</f>
        <v>10500</v>
      </c>
      <c r="AH268" s="69">
        <f>3000+3000</f>
        <v>6000</v>
      </c>
      <c r="AI268" s="69"/>
      <c r="AJ268" s="69"/>
      <c r="AK268" s="69"/>
      <c r="AL268" s="2" t="str">
        <f t="shared" si="5"/>
        <v>Yes</v>
      </c>
    </row>
    <row r="269" spans="1:38" ht="45" customHeight="1" x14ac:dyDescent="0.25">
      <c r="A269" s="2" t="s">
        <v>1563</v>
      </c>
      <c r="B269" s="70" t="s">
        <v>1443</v>
      </c>
      <c r="C269" s="75" t="s">
        <v>312</v>
      </c>
      <c r="D269" s="69">
        <v>1</v>
      </c>
      <c r="E269" s="5">
        <v>10</v>
      </c>
      <c r="F269" s="5">
        <v>10</v>
      </c>
      <c r="G269" s="5">
        <v>10</v>
      </c>
      <c r="J269" s="69">
        <v>4</v>
      </c>
      <c r="K269" s="2" t="s">
        <v>1560</v>
      </c>
      <c r="L269" s="5">
        <v>100</v>
      </c>
      <c r="M269" s="5">
        <v>0</v>
      </c>
      <c r="N269" s="5">
        <v>0</v>
      </c>
      <c r="O269" s="5">
        <v>0</v>
      </c>
      <c r="P269" s="5">
        <v>0</v>
      </c>
      <c r="Q269" s="5">
        <v>1</v>
      </c>
      <c r="U269" s="69"/>
      <c r="V269" s="69"/>
      <c r="W269" s="70" t="s">
        <v>1562</v>
      </c>
      <c r="X269" s="69" t="s">
        <v>1561</v>
      </c>
      <c r="Y269" s="69" t="s">
        <v>12</v>
      </c>
      <c r="Z269" s="69"/>
      <c r="AA269" s="70" t="s">
        <v>17</v>
      </c>
      <c r="AB269" s="69"/>
      <c r="AC269" s="72" t="s">
        <v>1557</v>
      </c>
      <c r="AD269" s="69"/>
      <c r="AE269" s="69"/>
      <c r="AF269" s="69"/>
      <c r="AG269" s="69"/>
      <c r="AH269" s="69"/>
      <c r="AI269" s="69">
        <v>10</v>
      </c>
      <c r="AJ269" s="69">
        <v>1</v>
      </c>
      <c r="AK269" s="69">
        <v>4</v>
      </c>
      <c r="AL269" s="2" t="str">
        <f t="shared" si="5"/>
        <v>Yes</v>
      </c>
    </row>
    <row r="270" spans="1:38" ht="90" x14ac:dyDescent="0.25">
      <c r="A270" s="70" t="s">
        <v>444</v>
      </c>
      <c r="B270" s="70" t="s">
        <v>445</v>
      </c>
      <c r="C270" s="70" t="s">
        <v>306</v>
      </c>
      <c r="D270" s="70">
        <v>1</v>
      </c>
      <c r="E270" s="70">
        <v>188</v>
      </c>
      <c r="F270" s="70">
        <v>188</v>
      </c>
      <c r="G270" s="70">
        <v>188</v>
      </c>
      <c r="H270" s="70"/>
      <c r="I270" s="70"/>
      <c r="J270" s="70"/>
      <c r="K270" s="70" t="s">
        <v>446</v>
      </c>
      <c r="L270" s="70">
        <v>100</v>
      </c>
      <c r="M270" s="70">
        <v>0</v>
      </c>
      <c r="N270" s="70">
        <v>0</v>
      </c>
      <c r="O270" s="70">
        <v>0</v>
      </c>
      <c r="P270" s="70">
        <v>0</v>
      </c>
      <c r="Q270" s="2"/>
      <c r="R270" s="2"/>
      <c r="S270" s="2"/>
      <c r="T270" s="2"/>
      <c r="U270" s="2"/>
      <c r="V270" s="70" t="s">
        <v>448</v>
      </c>
      <c r="W270" s="70" t="s">
        <v>443</v>
      </c>
      <c r="X270" s="70" t="s">
        <v>447</v>
      </c>
      <c r="Y270" s="5" t="s">
        <v>12</v>
      </c>
      <c r="Z270" s="70"/>
      <c r="AA270" s="70" t="s">
        <v>16</v>
      </c>
      <c r="AB270" s="70"/>
      <c r="AC270" s="71" t="s">
        <v>452</v>
      </c>
      <c r="AD270" s="70"/>
      <c r="AE270" s="2"/>
      <c r="AF270" s="2"/>
      <c r="AG270" s="2"/>
      <c r="AH270" s="2"/>
      <c r="AI270" s="2"/>
      <c r="AJ270" s="2"/>
      <c r="AK270" s="2"/>
      <c r="AL270" s="2" t="str">
        <f t="shared" si="5"/>
        <v>Yes</v>
      </c>
    </row>
    <row r="271" spans="1:38" ht="102.75" x14ac:dyDescent="0.25">
      <c r="A271" s="2" t="s">
        <v>459</v>
      </c>
      <c r="B271" s="2" t="s">
        <v>2029</v>
      </c>
      <c r="C271" s="2" t="s">
        <v>308</v>
      </c>
      <c r="D271" s="5">
        <v>1</v>
      </c>
      <c r="E271" s="5">
        <v>1998</v>
      </c>
      <c r="F271" s="5">
        <v>1998</v>
      </c>
      <c r="G271" s="5">
        <f>E271/D271</f>
        <v>1998</v>
      </c>
      <c r="H271" s="5">
        <v>11</v>
      </c>
      <c r="J271" s="5">
        <f>261/4</f>
        <v>65.25</v>
      </c>
      <c r="K271" s="2" t="s">
        <v>1993</v>
      </c>
      <c r="L271" s="5">
        <v>50</v>
      </c>
      <c r="M271" s="5">
        <v>0</v>
      </c>
      <c r="N271" s="5">
        <v>0</v>
      </c>
      <c r="O271" s="5">
        <v>0</v>
      </c>
      <c r="P271" s="69">
        <v>50</v>
      </c>
      <c r="Q271" s="70"/>
      <c r="R271" s="70"/>
      <c r="S271" s="70"/>
      <c r="T271" s="70"/>
      <c r="U271" s="70"/>
      <c r="V271" s="2" t="s">
        <v>469</v>
      </c>
      <c r="W271" s="2" t="s">
        <v>458</v>
      </c>
      <c r="X271" s="5"/>
      <c r="Y271" s="5" t="s">
        <v>12</v>
      </c>
      <c r="Z271" s="69"/>
      <c r="AA271" s="5" t="s">
        <v>17</v>
      </c>
      <c r="AB271" s="74" t="s">
        <v>1997</v>
      </c>
      <c r="AC271" s="69" t="s">
        <v>1994</v>
      </c>
      <c r="AD271" s="69"/>
      <c r="AE271" s="70"/>
      <c r="AF271" s="70"/>
      <c r="AG271" s="70"/>
      <c r="AH271" s="70"/>
      <c r="AI271" s="70"/>
      <c r="AJ271" s="70"/>
      <c r="AK271" s="70"/>
      <c r="AL271" s="2" t="str">
        <f t="shared" si="5"/>
        <v>Yes</v>
      </c>
    </row>
    <row r="272" spans="1:38" ht="64.5" x14ac:dyDescent="0.25">
      <c r="A272" s="5" t="s">
        <v>772</v>
      </c>
      <c r="B272" s="2" t="s">
        <v>816</v>
      </c>
      <c r="C272" s="5" t="s">
        <v>306</v>
      </c>
      <c r="D272" s="5">
        <v>1</v>
      </c>
      <c r="E272" s="5">
        <v>30</v>
      </c>
      <c r="F272" s="5">
        <v>30</v>
      </c>
      <c r="H272" s="5">
        <v>49</v>
      </c>
      <c r="J272" s="5">
        <v>100</v>
      </c>
      <c r="K272" s="2" t="s">
        <v>823</v>
      </c>
      <c r="P272" s="69"/>
      <c r="U272" s="69"/>
      <c r="V272" s="70" t="s">
        <v>820</v>
      </c>
      <c r="W272" s="69" t="s">
        <v>819</v>
      </c>
      <c r="X272" s="70" t="s">
        <v>822</v>
      </c>
      <c r="Y272" s="69" t="s">
        <v>12</v>
      </c>
      <c r="Z272" s="70" t="s">
        <v>283</v>
      </c>
      <c r="AA272" s="69" t="s">
        <v>17</v>
      </c>
      <c r="AB272" s="69" t="s">
        <v>817</v>
      </c>
      <c r="AC272" s="69" t="s">
        <v>821</v>
      </c>
      <c r="AD272" s="69">
        <v>250000</v>
      </c>
      <c r="AE272" s="69" t="s">
        <v>818</v>
      </c>
      <c r="AF272" s="69">
        <v>6000</v>
      </c>
      <c r="AG272" s="69">
        <v>35000</v>
      </c>
      <c r="AH272" s="69"/>
      <c r="AI272" s="69"/>
      <c r="AJ272" s="69"/>
      <c r="AK272" s="69"/>
      <c r="AL272" s="2" t="str">
        <f t="shared" si="5"/>
        <v>No</v>
      </c>
    </row>
    <row r="273" spans="1:38" ht="26.25" x14ac:dyDescent="0.25">
      <c r="A273" s="2" t="s">
        <v>240</v>
      </c>
      <c r="B273" s="2" t="s">
        <v>239</v>
      </c>
      <c r="C273" s="70" t="s">
        <v>306</v>
      </c>
      <c r="D273" s="2"/>
      <c r="E273" s="2"/>
      <c r="F273" s="70"/>
      <c r="G273" s="2"/>
      <c r="H273" s="2"/>
      <c r="I273" s="2"/>
      <c r="J273" s="2"/>
      <c r="L273" s="70"/>
      <c r="M273" s="70"/>
      <c r="N273" s="70"/>
      <c r="O273" s="70"/>
      <c r="P273" s="70"/>
      <c r="U273" s="70"/>
      <c r="V273" s="2" t="s">
        <v>157</v>
      </c>
      <c r="W273" s="2" t="s">
        <v>239</v>
      </c>
      <c r="X273" s="2"/>
      <c r="Y273" s="2" t="s">
        <v>12</v>
      </c>
      <c r="Z273" s="2"/>
      <c r="AA273" s="2" t="s">
        <v>17</v>
      </c>
      <c r="AB273" s="2"/>
      <c r="AC273" s="5" t="s">
        <v>247</v>
      </c>
      <c r="AD273" s="2"/>
      <c r="AE273" s="69"/>
      <c r="AF273" s="69"/>
      <c r="AG273" s="69"/>
      <c r="AH273" s="69"/>
      <c r="AI273" s="69"/>
      <c r="AJ273" s="69"/>
      <c r="AK273" s="69"/>
      <c r="AL273" s="2" t="str">
        <f t="shared" si="5"/>
        <v>No</v>
      </c>
    </row>
    <row r="274" spans="1:38" ht="26.25" x14ac:dyDescent="0.25">
      <c r="A274" s="2" t="s">
        <v>241</v>
      </c>
      <c r="B274" s="2" t="s">
        <v>239</v>
      </c>
      <c r="C274" s="70" t="s">
        <v>306</v>
      </c>
      <c r="D274" s="2"/>
      <c r="E274" s="2"/>
      <c r="F274" s="70"/>
      <c r="G274" s="2"/>
      <c r="H274" s="2"/>
      <c r="I274" s="2"/>
      <c r="J274" s="2"/>
      <c r="L274" s="70"/>
      <c r="M274" s="70"/>
      <c r="N274" s="70"/>
      <c r="O274" s="70"/>
      <c r="P274" s="70"/>
      <c r="U274" s="70"/>
      <c r="V274" s="2" t="s">
        <v>157</v>
      </c>
      <c r="W274" s="2" t="s">
        <v>239</v>
      </c>
      <c r="X274" s="2"/>
      <c r="Y274" s="2" t="s">
        <v>12</v>
      </c>
      <c r="Z274" s="2"/>
      <c r="AA274" s="2" t="s">
        <v>17</v>
      </c>
      <c r="AB274" s="2"/>
      <c r="AC274" s="5" t="s">
        <v>247</v>
      </c>
      <c r="AD274" s="2"/>
      <c r="AE274" s="69"/>
      <c r="AF274" s="69"/>
      <c r="AG274" s="69"/>
      <c r="AH274" s="69"/>
      <c r="AI274" s="69"/>
      <c r="AJ274" s="69"/>
      <c r="AK274" s="69"/>
      <c r="AL274" s="2" t="str">
        <f t="shared" si="5"/>
        <v>No</v>
      </c>
    </row>
    <row r="275" spans="1:38" ht="26.25" x14ac:dyDescent="0.25">
      <c r="A275" s="2" t="s">
        <v>242</v>
      </c>
      <c r="B275" s="2" t="s">
        <v>239</v>
      </c>
      <c r="C275" s="70" t="s">
        <v>306</v>
      </c>
      <c r="D275" s="2"/>
      <c r="E275" s="2"/>
      <c r="F275" s="70"/>
      <c r="G275" s="2"/>
      <c r="H275" s="2"/>
      <c r="I275" s="2"/>
      <c r="J275" s="2"/>
      <c r="L275" s="70"/>
      <c r="M275" s="70"/>
      <c r="N275" s="70"/>
      <c r="O275" s="70"/>
      <c r="P275" s="70"/>
      <c r="Q275" s="70"/>
      <c r="R275" s="70"/>
      <c r="S275" s="70"/>
      <c r="T275" s="70"/>
      <c r="U275" s="70"/>
      <c r="V275" s="2" t="s">
        <v>157</v>
      </c>
      <c r="W275" s="2" t="s">
        <v>239</v>
      </c>
      <c r="X275" s="2"/>
      <c r="Y275" s="2" t="s">
        <v>12</v>
      </c>
      <c r="Z275" s="2"/>
      <c r="AA275" s="2" t="s">
        <v>17</v>
      </c>
      <c r="AB275" s="2"/>
      <c r="AC275" s="5" t="s">
        <v>247</v>
      </c>
      <c r="AD275" s="2"/>
      <c r="AE275" s="70"/>
      <c r="AF275" s="70"/>
      <c r="AG275" s="70"/>
      <c r="AH275" s="70"/>
      <c r="AI275" s="70"/>
      <c r="AJ275" s="70"/>
      <c r="AK275" s="70"/>
      <c r="AL275" s="2" t="str">
        <f t="shared" si="5"/>
        <v>No</v>
      </c>
    </row>
    <row r="276" spans="1:38" ht="26.25" x14ac:dyDescent="0.25">
      <c r="A276" s="2" t="s">
        <v>243</v>
      </c>
      <c r="B276" s="2" t="s">
        <v>239</v>
      </c>
      <c r="C276" s="70" t="s">
        <v>306</v>
      </c>
      <c r="D276" s="70"/>
      <c r="E276" s="70"/>
      <c r="F276" s="70"/>
      <c r="G276" s="2"/>
      <c r="H276" s="70"/>
      <c r="I276" s="70"/>
      <c r="J276" s="70"/>
      <c r="L276" s="70"/>
      <c r="M276" s="70"/>
      <c r="N276" s="70"/>
      <c r="O276" s="70"/>
      <c r="P276" s="70"/>
      <c r="Q276" s="70"/>
      <c r="R276" s="70"/>
      <c r="S276" s="70"/>
      <c r="T276" s="70"/>
      <c r="U276" s="70"/>
      <c r="V276" s="2" t="s">
        <v>157</v>
      </c>
      <c r="W276" s="2" t="s">
        <v>239</v>
      </c>
      <c r="X276" s="70"/>
      <c r="Y276" s="2" t="s">
        <v>12</v>
      </c>
      <c r="Z276" s="2"/>
      <c r="AA276" s="2" t="s">
        <v>17</v>
      </c>
      <c r="AB276" s="2"/>
      <c r="AC276" s="5" t="s">
        <v>247</v>
      </c>
      <c r="AD276" s="2"/>
      <c r="AE276" s="70"/>
      <c r="AF276" s="70"/>
      <c r="AG276" s="70"/>
      <c r="AH276" s="70"/>
      <c r="AI276" s="70"/>
      <c r="AJ276" s="70"/>
      <c r="AK276" s="70"/>
      <c r="AL276" s="2" t="str">
        <f t="shared" si="5"/>
        <v>No</v>
      </c>
    </row>
    <row r="277" spans="1:38" ht="26.25" x14ac:dyDescent="0.25">
      <c r="A277" s="2" t="s">
        <v>244</v>
      </c>
      <c r="B277" s="2" t="s">
        <v>239</v>
      </c>
      <c r="C277" s="70" t="s">
        <v>306</v>
      </c>
      <c r="D277" s="2"/>
      <c r="E277" s="2"/>
      <c r="F277" s="70"/>
      <c r="G277" s="2"/>
      <c r="H277" s="2"/>
      <c r="I277" s="2"/>
      <c r="J277" s="2"/>
      <c r="L277" s="70"/>
      <c r="M277" s="70"/>
      <c r="N277" s="70"/>
      <c r="O277" s="70"/>
      <c r="P277" s="70"/>
      <c r="Q277" s="70"/>
      <c r="R277" s="70"/>
      <c r="S277" s="70"/>
      <c r="T277" s="70"/>
      <c r="U277" s="70"/>
      <c r="V277" s="2" t="s">
        <v>157</v>
      </c>
      <c r="W277" s="2" t="s">
        <v>239</v>
      </c>
      <c r="X277" s="2"/>
      <c r="Y277" s="2" t="s">
        <v>12</v>
      </c>
      <c r="Z277" s="2"/>
      <c r="AA277" s="2" t="s">
        <v>17</v>
      </c>
      <c r="AB277" s="2"/>
      <c r="AC277" s="5" t="s">
        <v>247</v>
      </c>
      <c r="AD277" s="2"/>
      <c r="AE277" s="70"/>
      <c r="AF277" s="70"/>
      <c r="AG277" s="70"/>
      <c r="AH277" s="70"/>
      <c r="AI277" s="70"/>
      <c r="AJ277" s="70"/>
      <c r="AK277" s="70"/>
      <c r="AL277" s="2" t="str">
        <f t="shared" si="5"/>
        <v>No</v>
      </c>
    </row>
    <row r="278" spans="1:38" ht="179.25" x14ac:dyDescent="0.25">
      <c r="A278" s="5" t="s">
        <v>282</v>
      </c>
      <c r="B278" s="2" t="s">
        <v>286</v>
      </c>
      <c r="C278" s="5" t="s">
        <v>306</v>
      </c>
      <c r="F278" s="69"/>
      <c r="G278" s="2"/>
      <c r="P278" s="69"/>
      <c r="Q278" s="70"/>
      <c r="R278" s="70"/>
      <c r="S278" s="70"/>
      <c r="T278" s="70"/>
      <c r="U278" s="69"/>
      <c r="V278" s="5"/>
      <c r="W278" s="2" t="s">
        <v>284</v>
      </c>
      <c r="X278" s="2" t="s">
        <v>285</v>
      </c>
      <c r="Y278" s="5"/>
      <c r="Z278" s="5" t="s">
        <v>283</v>
      </c>
      <c r="AA278" s="5" t="s">
        <v>17</v>
      </c>
      <c r="AB278" s="2" t="s">
        <v>298</v>
      </c>
      <c r="AC278" s="5" t="s">
        <v>287</v>
      </c>
      <c r="AD278" s="5"/>
      <c r="AE278" s="70"/>
      <c r="AF278" s="70"/>
      <c r="AG278" s="70"/>
      <c r="AH278" s="70"/>
      <c r="AI278" s="70"/>
      <c r="AJ278" s="70"/>
      <c r="AK278" s="70"/>
      <c r="AL278" s="2" t="str">
        <f t="shared" si="5"/>
        <v>No</v>
      </c>
    </row>
    <row r="279" spans="1:38" ht="294" x14ac:dyDescent="0.25">
      <c r="A279" s="5" t="s">
        <v>288</v>
      </c>
      <c r="B279" s="2" t="s">
        <v>289</v>
      </c>
      <c r="C279" s="5" t="s">
        <v>306</v>
      </c>
      <c r="F279" s="69"/>
      <c r="G279" s="2"/>
      <c r="P279" s="69"/>
      <c r="Q279" s="70"/>
      <c r="R279" s="70"/>
      <c r="S279" s="70"/>
      <c r="T279" s="70"/>
      <c r="U279" s="69"/>
      <c r="V279" s="5"/>
      <c r="W279" s="5"/>
      <c r="X279" s="5"/>
      <c r="Y279" s="5"/>
      <c r="Z279" s="5" t="s">
        <v>283</v>
      </c>
      <c r="AA279" s="5" t="s">
        <v>17</v>
      </c>
      <c r="AB279" s="2" t="s">
        <v>298</v>
      </c>
      <c r="AC279" s="72" t="s">
        <v>287</v>
      </c>
      <c r="AD279" s="5"/>
      <c r="AE279" s="70"/>
      <c r="AF279" s="70"/>
      <c r="AG279" s="70"/>
      <c r="AH279" s="70"/>
      <c r="AI279" s="70"/>
      <c r="AJ279" s="70"/>
      <c r="AK279" s="70"/>
      <c r="AL279" s="2" t="str">
        <f t="shared" si="5"/>
        <v>No</v>
      </c>
    </row>
    <row r="280" spans="1:38" ht="128.25" x14ac:dyDescent="0.25">
      <c r="A280" s="5" t="s">
        <v>290</v>
      </c>
      <c r="B280" s="2" t="s">
        <v>292</v>
      </c>
      <c r="C280" s="5" t="s">
        <v>306</v>
      </c>
      <c r="F280" s="69"/>
      <c r="G280" s="2"/>
      <c r="P280" s="69"/>
      <c r="U280" s="69"/>
      <c r="V280" s="5"/>
      <c r="W280" s="2" t="s">
        <v>291</v>
      </c>
      <c r="X280" s="5"/>
      <c r="Y280" s="5"/>
      <c r="Z280" s="5" t="s">
        <v>283</v>
      </c>
      <c r="AA280" s="5" t="s">
        <v>17</v>
      </c>
      <c r="AB280" s="2" t="s">
        <v>298</v>
      </c>
      <c r="AC280" s="5" t="s">
        <v>287</v>
      </c>
      <c r="AD280" s="5"/>
      <c r="AE280" s="69"/>
      <c r="AF280" s="69"/>
      <c r="AG280" s="69"/>
      <c r="AH280" s="69"/>
      <c r="AI280" s="69"/>
      <c r="AJ280" s="69"/>
      <c r="AK280" s="69"/>
      <c r="AL280" s="2" t="str">
        <f t="shared" si="5"/>
        <v>No</v>
      </c>
    </row>
    <row r="281" spans="1:38" ht="77.25" x14ac:dyDescent="0.25">
      <c r="A281" s="2" t="s">
        <v>327</v>
      </c>
      <c r="B281" s="5" t="s">
        <v>328</v>
      </c>
      <c r="C281" s="2" t="s">
        <v>308</v>
      </c>
      <c r="F281" s="69"/>
      <c r="G281" s="2"/>
      <c r="P281" s="69"/>
      <c r="U281" s="69"/>
      <c r="V281" s="5"/>
      <c r="W281" s="2" t="s">
        <v>329</v>
      </c>
      <c r="X281" s="5"/>
      <c r="Y281" s="5" t="s">
        <v>12</v>
      </c>
      <c r="Z281" s="5"/>
      <c r="AA281" s="5" t="s">
        <v>17</v>
      </c>
      <c r="AB281" s="5"/>
      <c r="AC281" s="5" t="s">
        <v>352</v>
      </c>
      <c r="AD281" s="5"/>
      <c r="AE281" s="69"/>
      <c r="AF281" s="69"/>
      <c r="AG281" s="69"/>
      <c r="AH281" s="69"/>
      <c r="AI281" s="69"/>
      <c r="AJ281" s="69"/>
      <c r="AK281" s="69"/>
      <c r="AL281" s="2" t="str">
        <f t="shared" si="5"/>
        <v>No</v>
      </c>
    </row>
    <row r="282" spans="1:38" ht="39" x14ac:dyDescent="0.25">
      <c r="A282" s="2" t="s">
        <v>355</v>
      </c>
      <c r="B282" s="2" t="s">
        <v>336</v>
      </c>
      <c r="C282" s="5" t="s">
        <v>306</v>
      </c>
      <c r="F282" s="69"/>
      <c r="G282" s="2"/>
      <c r="P282" s="69"/>
      <c r="U282" s="69"/>
      <c r="V282" s="5"/>
      <c r="W282" s="5" t="s">
        <v>337</v>
      </c>
      <c r="X282" s="5"/>
      <c r="Y282" s="5"/>
      <c r="Z282" s="5"/>
      <c r="AA282" s="5" t="s">
        <v>17</v>
      </c>
      <c r="AB282" s="5"/>
      <c r="AC282" s="5" t="s">
        <v>352</v>
      </c>
      <c r="AD282" s="5"/>
      <c r="AE282" s="69"/>
      <c r="AF282" s="69"/>
      <c r="AG282" s="69"/>
      <c r="AH282" s="69"/>
      <c r="AI282" s="69"/>
      <c r="AJ282" s="69"/>
      <c r="AK282" s="69"/>
      <c r="AL282" s="2" t="str">
        <f t="shared" si="5"/>
        <v>No</v>
      </c>
    </row>
    <row r="283" spans="1:38" ht="45" x14ac:dyDescent="0.25">
      <c r="A283" s="70" t="s">
        <v>338</v>
      </c>
      <c r="B283" s="70" t="s">
        <v>339</v>
      </c>
      <c r="C283" s="70" t="s">
        <v>312</v>
      </c>
      <c r="D283" s="70"/>
      <c r="E283" s="70"/>
      <c r="F283" s="69"/>
      <c r="G283" s="2"/>
      <c r="H283" s="70"/>
      <c r="I283" s="70"/>
      <c r="J283" s="70"/>
      <c r="K283" s="70"/>
      <c r="L283" s="70"/>
      <c r="M283" s="70"/>
      <c r="N283" s="70"/>
      <c r="O283" s="70"/>
      <c r="P283" s="70"/>
      <c r="U283" s="69"/>
      <c r="V283" s="70" t="s">
        <v>28</v>
      </c>
      <c r="W283" s="70" t="s">
        <v>340</v>
      </c>
      <c r="X283" s="70" t="s">
        <v>356</v>
      </c>
      <c r="Y283" s="70" t="s">
        <v>402</v>
      </c>
      <c r="Z283" s="70"/>
      <c r="AA283" s="70" t="s">
        <v>17</v>
      </c>
      <c r="AB283" s="70"/>
      <c r="AC283" s="5" t="s">
        <v>352</v>
      </c>
      <c r="AD283" s="70"/>
      <c r="AE283" s="69"/>
      <c r="AF283" s="69"/>
      <c r="AG283" s="69"/>
      <c r="AH283" s="69"/>
      <c r="AI283" s="69"/>
      <c r="AJ283" s="69"/>
      <c r="AK283" s="69"/>
      <c r="AL283" s="2" t="str">
        <f t="shared" si="5"/>
        <v>No</v>
      </c>
    </row>
    <row r="284" spans="1:38" ht="166.5" customHeight="1" x14ac:dyDescent="0.25">
      <c r="A284" s="5" t="s">
        <v>523</v>
      </c>
      <c r="B284" s="5" t="s">
        <v>520</v>
      </c>
      <c r="C284" s="5" t="s">
        <v>306</v>
      </c>
      <c r="F284" s="69"/>
      <c r="P284" s="69"/>
      <c r="U284" s="69"/>
      <c r="V284" s="5"/>
      <c r="W284" s="5"/>
      <c r="X284" s="5"/>
      <c r="Y284" s="5"/>
      <c r="Z284" s="70" t="s">
        <v>521</v>
      </c>
      <c r="AA284" s="70" t="s">
        <v>17</v>
      </c>
      <c r="AB284" s="69"/>
      <c r="AC284" s="69" t="s">
        <v>522</v>
      </c>
      <c r="AD284" s="69"/>
      <c r="AE284" s="69"/>
      <c r="AF284" s="69"/>
      <c r="AG284" s="69"/>
      <c r="AH284" s="69"/>
      <c r="AI284" s="69"/>
      <c r="AJ284" s="69"/>
      <c r="AK284" s="69"/>
      <c r="AL284" s="2" t="str">
        <f t="shared" si="5"/>
        <v>No</v>
      </c>
    </row>
    <row r="285" spans="1:38" ht="270" x14ac:dyDescent="0.25">
      <c r="A285" s="5" t="s">
        <v>608</v>
      </c>
      <c r="B285" s="5" t="s">
        <v>609</v>
      </c>
      <c r="C285" s="2" t="s">
        <v>308</v>
      </c>
      <c r="D285" s="5">
        <v>1</v>
      </c>
      <c r="E285" s="5">
        <v>46</v>
      </c>
      <c r="F285" s="5">
        <v>46</v>
      </c>
      <c r="G285" s="5">
        <v>46</v>
      </c>
      <c r="J285" s="5">
        <v>42</v>
      </c>
      <c r="P285" s="69"/>
      <c r="U285" s="69"/>
      <c r="V285" s="69"/>
      <c r="W285" s="69"/>
      <c r="X285" s="69"/>
      <c r="Y285" s="69" t="s">
        <v>12</v>
      </c>
      <c r="Z285" s="70" t="s">
        <v>607</v>
      </c>
      <c r="AA285" s="5" t="s">
        <v>16</v>
      </c>
      <c r="AB285" s="69" t="s">
        <v>1278</v>
      </c>
      <c r="AC285" s="69" t="s">
        <v>606</v>
      </c>
      <c r="AD285" s="69">
        <v>50000</v>
      </c>
      <c r="AE285" s="70" t="s">
        <v>2062</v>
      </c>
      <c r="AF285" s="69">
        <v>4500</v>
      </c>
      <c r="AG285" s="69">
        <v>2500</v>
      </c>
      <c r="AH285" s="69"/>
      <c r="AI285" s="69"/>
      <c r="AJ285" s="69"/>
      <c r="AK285" s="69"/>
      <c r="AL285" s="2" t="str">
        <f t="shared" si="5"/>
        <v>No</v>
      </c>
    </row>
    <row r="286" spans="1:38" ht="158.25" customHeight="1" x14ac:dyDescent="0.25">
      <c r="A286" s="5" t="s">
        <v>613</v>
      </c>
      <c r="B286" s="5" t="s">
        <v>611</v>
      </c>
      <c r="C286" s="2" t="s">
        <v>309</v>
      </c>
      <c r="D286" s="5">
        <v>1</v>
      </c>
      <c r="E286" s="5">
        <v>10000</v>
      </c>
      <c r="F286" s="5">
        <v>10000</v>
      </c>
      <c r="G286" s="5">
        <v>10000</v>
      </c>
      <c r="P286" s="69"/>
      <c r="U286" s="69"/>
      <c r="V286" s="69"/>
      <c r="W286" s="69"/>
      <c r="X286" s="70" t="s">
        <v>612</v>
      </c>
      <c r="Y286" s="69" t="s">
        <v>12</v>
      </c>
      <c r="Z286" s="70" t="s">
        <v>610</v>
      </c>
      <c r="AA286" s="70" t="s">
        <v>17</v>
      </c>
      <c r="AB286" s="69"/>
      <c r="AC286" s="73" t="s">
        <v>2013</v>
      </c>
      <c r="AD286" s="69"/>
      <c r="AE286" s="69"/>
      <c r="AF286" s="69"/>
      <c r="AG286" s="69"/>
      <c r="AH286" s="69"/>
      <c r="AI286" s="69"/>
      <c r="AJ286" s="69"/>
      <c r="AK286" s="69"/>
      <c r="AL286" s="2" t="str">
        <f t="shared" si="5"/>
        <v>No</v>
      </c>
    </row>
    <row r="287" spans="1:38" ht="60" x14ac:dyDescent="0.25">
      <c r="A287" s="5" t="s">
        <v>624</v>
      </c>
      <c r="B287" s="5" t="s">
        <v>625</v>
      </c>
      <c r="C287" s="5" t="s">
        <v>308</v>
      </c>
      <c r="F287" s="69"/>
      <c r="P287" s="69"/>
      <c r="U287" s="69"/>
      <c r="V287" s="69"/>
      <c r="W287" s="70" t="s">
        <v>627</v>
      </c>
      <c r="X287" s="69"/>
      <c r="Y287" s="69"/>
      <c r="Z287" s="69"/>
      <c r="AA287" s="70" t="s">
        <v>17</v>
      </c>
      <c r="AB287" s="69"/>
      <c r="AC287" s="69" t="s">
        <v>626</v>
      </c>
      <c r="AD287" s="69"/>
      <c r="AE287" s="69"/>
      <c r="AF287" s="69"/>
      <c r="AG287" s="69"/>
      <c r="AH287" s="69"/>
      <c r="AI287" s="69"/>
      <c r="AJ287" s="69"/>
      <c r="AK287" s="69"/>
      <c r="AL287" s="2" t="str">
        <f t="shared" si="5"/>
        <v>No</v>
      </c>
    </row>
    <row r="288" spans="1:38" ht="169.5" customHeight="1" x14ac:dyDescent="0.25">
      <c r="A288" s="5" t="s">
        <v>680</v>
      </c>
      <c r="B288" s="2" t="s">
        <v>682</v>
      </c>
      <c r="C288" s="5" t="s">
        <v>306</v>
      </c>
      <c r="D288" s="5">
        <v>4</v>
      </c>
      <c r="E288" s="5">
        <f>87+249+402+119</f>
        <v>857</v>
      </c>
      <c r="F288" s="5">
        <f>87+249+402+119</f>
        <v>857</v>
      </c>
      <c r="G288" s="5">
        <f>E288/D288</f>
        <v>214.25</v>
      </c>
      <c r="J288" s="5">
        <f>4+4+4+4</f>
        <v>16</v>
      </c>
      <c r="P288" s="69"/>
      <c r="U288" s="69"/>
      <c r="V288" s="70" t="s">
        <v>684</v>
      </c>
      <c r="W288" s="70" t="s">
        <v>685</v>
      </c>
      <c r="X288" s="70" t="s">
        <v>677</v>
      </c>
      <c r="Y288" s="70" t="s">
        <v>12</v>
      </c>
      <c r="Z288" s="70" t="s">
        <v>681</v>
      </c>
      <c r="AA288" s="70" t="s">
        <v>16</v>
      </c>
      <c r="AB288" s="70" t="s">
        <v>683</v>
      </c>
      <c r="AC288" s="69" t="s">
        <v>1108</v>
      </c>
      <c r="AD288" s="69"/>
      <c r="AE288" s="70" t="s">
        <v>1109</v>
      </c>
      <c r="AF288" s="69"/>
      <c r="AG288" s="69"/>
      <c r="AH288" s="69"/>
      <c r="AI288" s="69"/>
      <c r="AJ288" s="69"/>
      <c r="AK288" s="69"/>
      <c r="AL288" s="2" t="str">
        <f t="shared" si="5"/>
        <v>No</v>
      </c>
    </row>
    <row r="289" spans="1:38" ht="409.5" x14ac:dyDescent="0.25">
      <c r="A289" s="70" t="s">
        <v>751</v>
      </c>
      <c r="B289" s="70" t="s">
        <v>588</v>
      </c>
      <c r="C289" s="70" t="s">
        <v>308</v>
      </c>
      <c r="D289" s="70">
        <v>1</v>
      </c>
      <c r="E289" s="70">
        <v>72</v>
      </c>
      <c r="F289" s="70">
        <v>72</v>
      </c>
      <c r="G289" s="70">
        <v>72</v>
      </c>
      <c r="H289" s="70"/>
      <c r="I289" s="70"/>
      <c r="J289" s="70">
        <v>30</v>
      </c>
      <c r="K289" s="70"/>
      <c r="L289" s="70"/>
      <c r="M289" s="70"/>
      <c r="N289" s="70"/>
      <c r="O289" s="70"/>
      <c r="P289" s="70"/>
      <c r="Q289" s="70"/>
      <c r="R289" s="70"/>
      <c r="S289" s="70"/>
      <c r="T289" s="70"/>
      <c r="U289" s="70"/>
      <c r="V289" s="70"/>
      <c r="W289" s="70" t="s">
        <v>666</v>
      </c>
      <c r="X289" s="70" t="s">
        <v>703</v>
      </c>
      <c r="Y289" s="70" t="s">
        <v>12</v>
      </c>
      <c r="Z289" s="70" t="s">
        <v>706</v>
      </c>
      <c r="AA289" s="70" t="s">
        <v>16</v>
      </c>
      <c r="AB289" s="70" t="s">
        <v>753</v>
      </c>
      <c r="AC289" s="72" t="s">
        <v>758</v>
      </c>
      <c r="AD289" s="70">
        <v>60000</v>
      </c>
      <c r="AE289" s="70" t="s">
        <v>752</v>
      </c>
      <c r="AF289" s="70">
        <v>4000</v>
      </c>
      <c r="AG289" s="70">
        <v>1500</v>
      </c>
      <c r="AH289" s="70"/>
      <c r="AI289" s="70"/>
      <c r="AJ289" s="70"/>
      <c r="AK289" s="70"/>
      <c r="AL289" s="2" t="str">
        <f t="shared" si="5"/>
        <v>No</v>
      </c>
    </row>
    <row r="290" spans="1:38" ht="409.5" x14ac:dyDescent="0.25">
      <c r="A290" s="70" t="s">
        <v>754</v>
      </c>
      <c r="B290" s="70" t="s">
        <v>755</v>
      </c>
      <c r="C290" s="70" t="s">
        <v>312</v>
      </c>
      <c r="D290" s="70">
        <v>1</v>
      </c>
      <c r="E290" s="70">
        <v>1000</v>
      </c>
      <c r="F290" s="70">
        <v>1000</v>
      </c>
      <c r="G290" s="70">
        <v>1000</v>
      </c>
      <c r="H290" s="70">
        <v>65</v>
      </c>
      <c r="I290" s="70"/>
      <c r="J290" s="70">
        <v>71</v>
      </c>
      <c r="K290" s="70"/>
      <c r="L290" s="70"/>
      <c r="M290" s="70"/>
      <c r="N290" s="70"/>
      <c r="O290" s="70"/>
      <c r="P290" s="70"/>
      <c r="Q290" s="70"/>
      <c r="R290" s="70"/>
      <c r="S290" s="70"/>
      <c r="T290" s="70"/>
      <c r="U290" s="69"/>
      <c r="V290" s="70"/>
      <c r="W290" s="70" t="s">
        <v>756</v>
      </c>
      <c r="X290" s="70" t="s">
        <v>759</v>
      </c>
      <c r="Y290" s="70" t="s">
        <v>12</v>
      </c>
      <c r="Z290" s="70"/>
      <c r="AA290" s="70" t="s">
        <v>16</v>
      </c>
      <c r="AB290" s="70" t="s">
        <v>1273</v>
      </c>
      <c r="AC290" s="72" t="s">
        <v>757</v>
      </c>
      <c r="AD290" s="70">
        <v>1000000</v>
      </c>
      <c r="AE290" s="70" t="s">
        <v>760</v>
      </c>
      <c r="AF290" s="70" t="s">
        <v>1274</v>
      </c>
      <c r="AG290" s="70">
        <v>0</v>
      </c>
      <c r="AH290" s="70"/>
      <c r="AI290" s="70"/>
      <c r="AJ290" s="70"/>
      <c r="AK290" s="70"/>
      <c r="AL290" s="2" t="str">
        <f t="shared" si="5"/>
        <v>No</v>
      </c>
    </row>
    <row r="291" spans="1:38" x14ac:dyDescent="0.25">
      <c r="A291" s="5" t="s">
        <v>768</v>
      </c>
      <c r="B291" s="5" t="s">
        <v>795</v>
      </c>
      <c r="C291" s="5" t="s">
        <v>308</v>
      </c>
      <c r="F291" s="69"/>
      <c r="P291" s="69"/>
      <c r="U291" s="69"/>
      <c r="V291" s="69"/>
      <c r="W291" s="69" t="s">
        <v>666</v>
      </c>
      <c r="X291" s="69"/>
      <c r="Y291" s="69"/>
      <c r="Z291" s="69"/>
      <c r="AA291" s="70" t="s">
        <v>17</v>
      </c>
      <c r="AB291" s="69"/>
      <c r="AC291" s="73" t="s">
        <v>794</v>
      </c>
      <c r="AD291" s="69"/>
      <c r="AE291" s="69"/>
      <c r="AF291" s="69"/>
      <c r="AG291" s="69"/>
      <c r="AH291" s="69"/>
      <c r="AI291" s="69"/>
      <c r="AJ291" s="69"/>
      <c r="AK291" s="69"/>
      <c r="AL291" s="2" t="str">
        <f t="shared" si="5"/>
        <v>No</v>
      </c>
    </row>
    <row r="292" spans="1:38" ht="90" x14ac:dyDescent="0.25">
      <c r="A292" s="5" t="s">
        <v>770</v>
      </c>
      <c r="B292" s="5" t="s">
        <v>801</v>
      </c>
      <c r="C292" s="5" t="s">
        <v>306</v>
      </c>
      <c r="D292" s="5">
        <v>1</v>
      </c>
      <c r="F292" s="69"/>
      <c r="J292" s="5">
        <v>85</v>
      </c>
      <c r="P292" s="69"/>
      <c r="U292" s="69"/>
      <c r="V292" s="69"/>
      <c r="W292" s="69"/>
      <c r="X292" s="70" t="s">
        <v>802</v>
      </c>
      <c r="Y292" s="69"/>
      <c r="Z292" s="69" t="s">
        <v>283</v>
      </c>
      <c r="AA292" s="70" t="s">
        <v>17</v>
      </c>
      <c r="AB292" s="69"/>
      <c r="AC292" s="72" t="s">
        <v>803</v>
      </c>
      <c r="AD292" s="69"/>
      <c r="AE292" s="69"/>
      <c r="AF292" s="69"/>
      <c r="AG292" s="69"/>
      <c r="AH292" s="69"/>
      <c r="AI292" s="69"/>
      <c r="AJ292" s="69"/>
      <c r="AK292" s="69"/>
      <c r="AL292" s="2" t="str">
        <f t="shared" si="5"/>
        <v>No</v>
      </c>
    </row>
    <row r="293" spans="1:38" ht="51.75" x14ac:dyDescent="0.25">
      <c r="A293" s="5" t="s">
        <v>774</v>
      </c>
      <c r="B293" s="2" t="s">
        <v>833</v>
      </c>
      <c r="C293" s="5" t="s">
        <v>306</v>
      </c>
      <c r="F293" s="69"/>
      <c r="J293" s="5">
        <v>15</v>
      </c>
      <c r="P293" s="69"/>
      <c r="U293" s="69"/>
      <c r="V293" s="69"/>
      <c r="W293" s="69"/>
      <c r="X293" s="69"/>
      <c r="Y293" s="69"/>
      <c r="Z293" s="69" t="s">
        <v>283</v>
      </c>
      <c r="AA293" s="69" t="s">
        <v>17</v>
      </c>
      <c r="AB293" s="69"/>
      <c r="AC293" s="69" t="s">
        <v>832</v>
      </c>
      <c r="AD293" s="69"/>
      <c r="AE293" s="69"/>
      <c r="AF293" s="69"/>
      <c r="AG293" s="69"/>
      <c r="AH293" s="69"/>
      <c r="AI293" s="69"/>
      <c r="AJ293" s="69"/>
      <c r="AK293" s="69"/>
      <c r="AL293" s="2" t="str">
        <f t="shared" si="5"/>
        <v>No</v>
      </c>
    </row>
    <row r="294" spans="1:38" ht="45" x14ac:dyDescent="0.25">
      <c r="A294" s="5" t="s">
        <v>789</v>
      </c>
      <c r="B294" s="5" t="s">
        <v>588</v>
      </c>
      <c r="C294" s="2" t="s">
        <v>308</v>
      </c>
      <c r="D294" s="5">
        <v>1</v>
      </c>
      <c r="E294" s="5">
        <v>40</v>
      </c>
      <c r="F294" s="5">
        <v>40</v>
      </c>
      <c r="G294" s="5">
        <v>40</v>
      </c>
      <c r="J294" s="5">
        <v>40</v>
      </c>
      <c r="P294" s="69"/>
      <c r="U294" s="69"/>
      <c r="V294" s="70" t="s">
        <v>705</v>
      </c>
      <c r="W294" s="70" t="s">
        <v>993</v>
      </c>
      <c r="X294" s="70" t="s">
        <v>991</v>
      </c>
      <c r="Y294" s="70" t="s">
        <v>12</v>
      </c>
      <c r="Z294" s="70" t="s">
        <v>283</v>
      </c>
      <c r="AA294" s="70" t="s">
        <v>17</v>
      </c>
      <c r="AB294" s="70" t="s">
        <v>910</v>
      </c>
      <c r="AC294" s="69" t="s">
        <v>992</v>
      </c>
      <c r="AD294" s="69">
        <v>50000</v>
      </c>
      <c r="AE294" s="69" t="s">
        <v>990</v>
      </c>
      <c r="AF294" s="69">
        <v>2500</v>
      </c>
      <c r="AG294" s="69">
        <v>1000</v>
      </c>
      <c r="AH294" s="69"/>
      <c r="AI294" s="69"/>
      <c r="AJ294" s="69"/>
      <c r="AK294" s="69"/>
      <c r="AL294" s="2" t="str">
        <f t="shared" si="5"/>
        <v>No</v>
      </c>
    </row>
    <row r="295" spans="1:38" ht="30" x14ac:dyDescent="0.25">
      <c r="A295" s="2" t="s">
        <v>1047</v>
      </c>
      <c r="B295" s="2" t="s">
        <v>1048</v>
      </c>
      <c r="C295" s="5" t="s">
        <v>306</v>
      </c>
      <c r="D295" s="5">
        <v>1</v>
      </c>
      <c r="E295" s="5">
        <v>6</v>
      </c>
      <c r="F295" s="5">
        <v>6</v>
      </c>
      <c r="G295" s="5">
        <v>6</v>
      </c>
      <c r="P295" s="69"/>
      <c r="U295" s="69"/>
      <c r="V295" s="69"/>
      <c r="W295" s="69"/>
      <c r="X295" s="70" t="s">
        <v>1049</v>
      </c>
      <c r="Y295" s="70" t="s">
        <v>12</v>
      </c>
      <c r="Z295" s="69"/>
      <c r="AA295" s="70" t="s">
        <v>16</v>
      </c>
      <c r="AB295" s="69"/>
      <c r="AC295" s="69" t="s">
        <v>1050</v>
      </c>
      <c r="AD295" s="69"/>
      <c r="AE295" s="69"/>
      <c r="AF295" s="69"/>
      <c r="AG295" s="69"/>
      <c r="AH295" s="69"/>
      <c r="AI295" s="69"/>
      <c r="AJ295" s="69"/>
      <c r="AK295" s="69"/>
      <c r="AL295" s="2" t="str">
        <f t="shared" si="5"/>
        <v>No</v>
      </c>
    </row>
    <row r="296" spans="1:38" x14ac:dyDescent="0.25">
      <c r="A296" s="5" t="s">
        <v>1105</v>
      </c>
      <c r="B296" s="5" t="s">
        <v>1106</v>
      </c>
      <c r="C296" s="5" t="s">
        <v>306</v>
      </c>
      <c r="D296" s="5">
        <v>1</v>
      </c>
      <c r="E296" s="5">
        <v>357</v>
      </c>
      <c r="F296" s="5">
        <v>357</v>
      </c>
      <c r="G296" s="5">
        <v>357</v>
      </c>
      <c r="J296" s="5">
        <v>1</v>
      </c>
      <c r="P296" s="69"/>
      <c r="U296" s="69"/>
      <c r="V296" s="69" t="s">
        <v>1087</v>
      </c>
      <c r="W296" s="69"/>
      <c r="X296" s="69"/>
      <c r="Y296" s="70" t="s">
        <v>12</v>
      </c>
      <c r="Z296" s="69"/>
      <c r="AA296" s="70" t="s">
        <v>17</v>
      </c>
      <c r="AB296" s="69"/>
      <c r="AC296" s="69" t="s">
        <v>1089</v>
      </c>
      <c r="AD296" s="69"/>
      <c r="AE296" s="69" t="s">
        <v>1107</v>
      </c>
      <c r="AF296" s="69"/>
      <c r="AG296" s="69"/>
      <c r="AH296" s="69"/>
      <c r="AI296" s="69"/>
      <c r="AJ296" s="69"/>
      <c r="AK296" s="69"/>
      <c r="AL296" s="2" t="str">
        <f t="shared" si="5"/>
        <v>No</v>
      </c>
    </row>
    <row r="297" spans="1:38" ht="90" x14ac:dyDescent="0.25">
      <c r="A297" s="2" t="s">
        <v>1161</v>
      </c>
      <c r="B297" s="2" t="s">
        <v>1218</v>
      </c>
      <c r="C297" s="5" t="s">
        <v>306</v>
      </c>
      <c r="F297" s="69"/>
      <c r="J297" s="5">
        <v>1</v>
      </c>
      <c r="P297" s="69"/>
      <c r="U297" s="69"/>
      <c r="V297" s="70" t="s">
        <v>1087</v>
      </c>
      <c r="W297" s="70" t="s">
        <v>1217</v>
      </c>
      <c r="X297" s="69"/>
      <c r="Y297" s="70" t="s">
        <v>12</v>
      </c>
      <c r="Z297" s="70" t="s">
        <v>45</v>
      </c>
      <c r="AA297" s="70" t="s">
        <v>17</v>
      </c>
      <c r="AB297" s="69"/>
      <c r="AC297" s="69" t="s">
        <v>1089</v>
      </c>
      <c r="AD297" s="69"/>
      <c r="AE297" s="69" t="s">
        <v>1141</v>
      </c>
      <c r="AF297" s="69"/>
      <c r="AG297" s="69"/>
      <c r="AH297" s="69"/>
      <c r="AI297" s="69"/>
      <c r="AJ297" s="69"/>
      <c r="AK297" s="69"/>
      <c r="AL297" s="2" t="str">
        <f t="shared" si="5"/>
        <v>No</v>
      </c>
    </row>
    <row r="298" spans="1:38" ht="90" x14ac:dyDescent="0.25">
      <c r="A298" s="2" t="s">
        <v>1175</v>
      </c>
      <c r="B298" s="5" t="s">
        <v>1176</v>
      </c>
      <c r="C298" s="5" t="s">
        <v>306</v>
      </c>
      <c r="F298" s="69"/>
      <c r="J298" s="5">
        <v>1</v>
      </c>
      <c r="P298" s="69"/>
      <c r="U298" s="69"/>
      <c r="V298" s="70" t="s">
        <v>1087</v>
      </c>
      <c r="W298" s="70" t="s">
        <v>1219</v>
      </c>
      <c r="X298" s="69"/>
      <c r="Y298" s="70" t="s">
        <v>12</v>
      </c>
      <c r="Z298" s="70" t="s">
        <v>45</v>
      </c>
      <c r="AA298" s="70" t="s">
        <v>17</v>
      </c>
      <c r="AB298" s="69"/>
      <c r="AC298" s="69" t="s">
        <v>1089</v>
      </c>
      <c r="AD298" s="69"/>
      <c r="AE298" s="69" t="s">
        <v>1141</v>
      </c>
      <c r="AF298" s="69"/>
      <c r="AG298" s="69"/>
      <c r="AH298" s="69"/>
      <c r="AI298" s="69"/>
      <c r="AJ298" s="69"/>
      <c r="AK298" s="69"/>
      <c r="AL298" s="2" t="str">
        <f t="shared" si="5"/>
        <v>No</v>
      </c>
    </row>
    <row r="299" spans="1:38" ht="361.5" customHeight="1" x14ac:dyDescent="0.25">
      <c r="A299" s="2" t="s">
        <v>1178</v>
      </c>
      <c r="B299" s="5" t="s">
        <v>1179</v>
      </c>
      <c r="C299" s="5" t="s">
        <v>306</v>
      </c>
      <c r="F299" s="69"/>
      <c r="J299" s="5">
        <v>1</v>
      </c>
      <c r="P299" s="69"/>
      <c r="U299" s="69"/>
      <c r="V299" s="70" t="s">
        <v>1087</v>
      </c>
      <c r="W299" s="70" t="s">
        <v>1220</v>
      </c>
      <c r="X299" s="69"/>
      <c r="Y299" s="70" t="s">
        <v>12</v>
      </c>
      <c r="Z299" s="69"/>
      <c r="AA299" s="70" t="s">
        <v>17</v>
      </c>
      <c r="AB299" s="69"/>
      <c r="AC299" s="69" t="s">
        <v>1089</v>
      </c>
      <c r="AD299" s="69"/>
      <c r="AE299" s="69" t="s">
        <v>1141</v>
      </c>
      <c r="AF299" s="69"/>
      <c r="AG299" s="69"/>
      <c r="AH299" s="69"/>
      <c r="AI299" s="69"/>
      <c r="AJ299" s="69"/>
      <c r="AK299" s="69"/>
      <c r="AL299" s="2" t="str">
        <f t="shared" si="5"/>
        <v>No</v>
      </c>
    </row>
    <row r="300" spans="1:38" ht="30" x14ac:dyDescent="0.25">
      <c r="A300" s="70" t="s">
        <v>1388</v>
      </c>
      <c r="B300" s="70" t="s">
        <v>1388</v>
      </c>
      <c r="C300" s="5" t="s">
        <v>306</v>
      </c>
      <c r="D300" s="69">
        <v>1</v>
      </c>
      <c r="E300" s="69">
        <v>6</v>
      </c>
      <c r="F300" s="69">
        <v>6</v>
      </c>
      <c r="G300" s="69">
        <v>6</v>
      </c>
      <c r="J300" s="69">
        <v>4</v>
      </c>
      <c r="K300" s="75"/>
      <c r="L300" s="75"/>
      <c r="P300" s="69"/>
      <c r="U300" s="69"/>
      <c r="V300" s="69"/>
      <c r="W300" s="69"/>
      <c r="X300" s="69"/>
      <c r="Y300" s="70" t="s">
        <v>12</v>
      </c>
      <c r="Z300" s="69"/>
      <c r="AA300" s="70" t="s">
        <v>16</v>
      </c>
      <c r="AB300" s="69"/>
      <c r="AC300" s="69" t="s">
        <v>1296</v>
      </c>
      <c r="AD300" s="69"/>
      <c r="AE300" s="69"/>
      <c r="AF300" s="69"/>
      <c r="AG300" s="69"/>
      <c r="AH300" s="69"/>
      <c r="AI300" s="69">
        <v>6</v>
      </c>
      <c r="AJ300" s="69">
        <v>1</v>
      </c>
      <c r="AK300" s="69">
        <v>4</v>
      </c>
      <c r="AL300" s="2" t="str">
        <f t="shared" si="5"/>
        <v>No</v>
      </c>
    </row>
    <row r="301" spans="1:38" ht="68.25" customHeight="1" x14ac:dyDescent="0.25">
      <c r="A301" s="70" t="s">
        <v>1389</v>
      </c>
      <c r="B301" s="70" t="s">
        <v>1389</v>
      </c>
      <c r="C301" s="5" t="s">
        <v>306</v>
      </c>
      <c r="D301" s="69">
        <v>1</v>
      </c>
      <c r="E301" s="69">
        <v>4.5999999999999996</v>
      </c>
      <c r="F301" s="69">
        <v>4.5999999999999996</v>
      </c>
      <c r="G301" s="69">
        <v>4.5999999999999996</v>
      </c>
      <c r="J301" s="69">
        <v>6</v>
      </c>
      <c r="K301" s="75"/>
      <c r="L301" s="75"/>
      <c r="P301" s="69"/>
      <c r="U301" s="69"/>
      <c r="V301" s="69"/>
      <c r="W301" s="69"/>
      <c r="X301" s="69"/>
      <c r="Y301" s="70" t="s">
        <v>12</v>
      </c>
      <c r="Z301" s="69"/>
      <c r="AA301" s="70" t="s">
        <v>16</v>
      </c>
      <c r="AB301" s="69"/>
      <c r="AC301" s="69" t="s">
        <v>1296</v>
      </c>
      <c r="AD301" s="69"/>
      <c r="AE301" s="69"/>
      <c r="AF301" s="69"/>
      <c r="AG301" s="69"/>
      <c r="AH301" s="69"/>
      <c r="AI301" s="69">
        <v>4.5999999999999996</v>
      </c>
      <c r="AJ301" s="69">
        <v>1</v>
      </c>
      <c r="AK301" s="69">
        <v>6</v>
      </c>
      <c r="AL301" s="2" t="str">
        <f t="shared" si="5"/>
        <v>No</v>
      </c>
    </row>
    <row r="302" spans="1:38" ht="133.5" customHeight="1" x14ac:dyDescent="0.25">
      <c r="A302" s="70" t="s">
        <v>1390</v>
      </c>
      <c r="B302" s="70" t="s">
        <v>1390</v>
      </c>
      <c r="C302" s="5" t="s">
        <v>306</v>
      </c>
      <c r="D302" s="69">
        <v>1</v>
      </c>
      <c r="E302" s="69">
        <v>4</v>
      </c>
      <c r="F302" s="69">
        <v>4</v>
      </c>
      <c r="G302" s="69">
        <v>4</v>
      </c>
      <c r="J302" s="69">
        <v>7</v>
      </c>
      <c r="K302" s="75"/>
      <c r="L302" s="75"/>
      <c r="P302" s="69"/>
      <c r="U302" s="69"/>
      <c r="V302" s="69"/>
      <c r="W302" s="69"/>
      <c r="X302" s="69"/>
      <c r="Y302" s="70" t="s">
        <v>12</v>
      </c>
      <c r="Z302" s="69"/>
      <c r="AA302" s="70" t="s">
        <v>16</v>
      </c>
      <c r="AB302" s="69"/>
      <c r="AC302" s="69" t="s">
        <v>1296</v>
      </c>
      <c r="AD302" s="69"/>
      <c r="AE302" s="69"/>
      <c r="AF302" s="69"/>
      <c r="AG302" s="69"/>
      <c r="AH302" s="69"/>
      <c r="AI302" s="69">
        <v>4</v>
      </c>
      <c r="AJ302" s="69">
        <v>1</v>
      </c>
      <c r="AK302" s="69">
        <v>7</v>
      </c>
      <c r="AL302" s="2" t="str">
        <f t="shared" si="5"/>
        <v>No</v>
      </c>
    </row>
    <row r="303" spans="1:38" ht="105" x14ac:dyDescent="0.25">
      <c r="A303" s="70" t="s">
        <v>1391</v>
      </c>
      <c r="B303" s="70" t="s">
        <v>1391</v>
      </c>
      <c r="C303" s="5" t="s">
        <v>306</v>
      </c>
      <c r="D303" s="69">
        <v>1</v>
      </c>
      <c r="E303" s="69">
        <v>500</v>
      </c>
      <c r="F303" s="69"/>
      <c r="G303" s="5">
        <f>E303/D303</f>
        <v>500</v>
      </c>
      <c r="J303" s="69">
        <v>65</v>
      </c>
      <c r="K303" s="75"/>
      <c r="L303" s="75"/>
      <c r="P303" s="69"/>
      <c r="U303" s="69"/>
      <c r="V303" s="69"/>
      <c r="W303" s="70" t="s">
        <v>1447</v>
      </c>
      <c r="X303" s="70" t="s">
        <v>1448</v>
      </c>
      <c r="Y303" s="69" t="s">
        <v>565</v>
      </c>
      <c r="Z303" s="70" t="s">
        <v>283</v>
      </c>
      <c r="AA303" s="70" t="s">
        <v>16</v>
      </c>
      <c r="AB303" s="69"/>
      <c r="AC303" s="69" t="s">
        <v>1449</v>
      </c>
      <c r="AD303" s="69"/>
      <c r="AE303" s="69"/>
      <c r="AF303" s="69"/>
      <c r="AG303" s="69"/>
      <c r="AH303" s="69"/>
      <c r="AI303" s="69">
        <v>500</v>
      </c>
      <c r="AJ303" s="69">
        <v>1</v>
      </c>
      <c r="AK303" s="69">
        <v>65</v>
      </c>
      <c r="AL303" s="2" t="str">
        <f t="shared" si="5"/>
        <v>No</v>
      </c>
    </row>
    <row r="304" spans="1:38" ht="30" x14ac:dyDescent="0.25">
      <c r="A304" s="70" t="s">
        <v>1392</v>
      </c>
      <c r="B304" s="70" t="s">
        <v>1392</v>
      </c>
      <c r="C304" s="5" t="s">
        <v>306</v>
      </c>
      <c r="D304" s="69">
        <v>1</v>
      </c>
      <c r="E304" s="69">
        <v>7.5</v>
      </c>
      <c r="F304" s="69">
        <v>7.5</v>
      </c>
      <c r="G304" s="69">
        <v>7.5</v>
      </c>
      <c r="J304" s="69">
        <v>2</v>
      </c>
      <c r="K304" s="75"/>
      <c r="L304" s="75"/>
      <c r="P304" s="69"/>
      <c r="U304" s="69"/>
      <c r="V304" s="69"/>
      <c r="W304" s="69"/>
      <c r="X304" s="69"/>
      <c r="Y304" s="70" t="s">
        <v>12</v>
      </c>
      <c r="Z304" s="69"/>
      <c r="AA304" s="70" t="s">
        <v>16</v>
      </c>
      <c r="AB304" s="69"/>
      <c r="AC304" s="69" t="s">
        <v>1296</v>
      </c>
      <c r="AD304" s="69"/>
      <c r="AE304" s="69"/>
      <c r="AF304" s="69"/>
      <c r="AG304" s="69"/>
      <c r="AH304" s="69"/>
      <c r="AI304" s="69">
        <v>7.5</v>
      </c>
      <c r="AJ304" s="69">
        <v>1</v>
      </c>
      <c r="AK304" s="69">
        <v>2</v>
      </c>
      <c r="AL304" s="2" t="str">
        <f t="shared" si="5"/>
        <v>No</v>
      </c>
    </row>
    <row r="305" spans="1:38" ht="30" x14ac:dyDescent="0.25">
      <c r="A305" s="70" t="s">
        <v>1393</v>
      </c>
      <c r="B305" s="70" t="s">
        <v>1393</v>
      </c>
      <c r="C305" s="5" t="s">
        <v>306</v>
      </c>
      <c r="D305" s="69">
        <v>1</v>
      </c>
      <c r="E305" s="69">
        <v>129.76</v>
      </c>
      <c r="F305" s="69">
        <v>129.76</v>
      </c>
      <c r="G305" s="69">
        <v>129.76</v>
      </c>
      <c r="J305" s="69">
        <v>8</v>
      </c>
      <c r="K305" s="75"/>
      <c r="L305" s="75"/>
      <c r="P305" s="69"/>
      <c r="U305" s="69"/>
      <c r="V305" s="69"/>
      <c r="W305" s="69"/>
      <c r="X305" s="69"/>
      <c r="Y305" s="70" t="s">
        <v>12</v>
      </c>
      <c r="Z305" s="69"/>
      <c r="AA305" s="70" t="s">
        <v>16</v>
      </c>
      <c r="AB305" s="69"/>
      <c r="AC305" s="69" t="s">
        <v>1296</v>
      </c>
      <c r="AD305" s="69"/>
      <c r="AE305" s="69"/>
      <c r="AF305" s="69"/>
      <c r="AG305" s="69"/>
      <c r="AH305" s="69"/>
      <c r="AI305" s="69">
        <v>129.76</v>
      </c>
      <c r="AJ305" s="69">
        <v>2</v>
      </c>
      <c r="AK305" s="69">
        <v>8</v>
      </c>
      <c r="AL305" s="2" t="str">
        <f t="shared" si="5"/>
        <v>No</v>
      </c>
    </row>
    <row r="306" spans="1:38" ht="120" customHeight="1" x14ac:dyDescent="0.25">
      <c r="A306" s="70" t="s">
        <v>1394</v>
      </c>
      <c r="B306" s="70" t="s">
        <v>1394</v>
      </c>
      <c r="C306" s="5" t="s">
        <v>306</v>
      </c>
      <c r="D306" s="69">
        <v>1</v>
      </c>
      <c r="E306" s="69">
        <v>16</v>
      </c>
      <c r="F306" s="69">
        <v>16</v>
      </c>
      <c r="G306" s="69">
        <v>16</v>
      </c>
      <c r="J306" s="69">
        <v>10</v>
      </c>
      <c r="K306" s="75"/>
      <c r="L306" s="75"/>
      <c r="P306" s="69"/>
      <c r="U306" s="69"/>
      <c r="V306" s="69"/>
      <c r="W306" s="69"/>
      <c r="X306" s="69"/>
      <c r="Y306" s="70" t="s">
        <v>12</v>
      </c>
      <c r="Z306" s="69"/>
      <c r="AA306" s="70" t="s">
        <v>16</v>
      </c>
      <c r="AB306" s="69"/>
      <c r="AC306" s="69" t="s">
        <v>1296</v>
      </c>
      <c r="AD306" s="69"/>
      <c r="AE306" s="69"/>
      <c r="AF306" s="69"/>
      <c r="AG306" s="69"/>
      <c r="AH306" s="69"/>
      <c r="AI306" s="69">
        <v>16</v>
      </c>
      <c r="AJ306" s="69">
        <v>1</v>
      </c>
      <c r="AK306" s="69">
        <v>10</v>
      </c>
      <c r="AL306" s="2" t="str">
        <f t="shared" si="5"/>
        <v>No</v>
      </c>
    </row>
    <row r="307" spans="1:38" ht="81" customHeight="1" x14ac:dyDescent="0.25">
      <c r="A307" s="70" t="s">
        <v>1395</v>
      </c>
      <c r="B307" s="70" t="s">
        <v>1395</v>
      </c>
      <c r="C307" s="5" t="s">
        <v>306</v>
      </c>
      <c r="D307" s="69">
        <v>1</v>
      </c>
      <c r="E307" s="69">
        <v>9.85</v>
      </c>
      <c r="F307" s="69">
        <v>9.85</v>
      </c>
      <c r="G307" s="69">
        <v>9.85</v>
      </c>
      <c r="J307" s="69">
        <v>3</v>
      </c>
      <c r="K307" s="75"/>
      <c r="L307" s="75"/>
      <c r="P307" s="69"/>
      <c r="U307" s="69"/>
      <c r="V307" s="69"/>
      <c r="W307" s="69"/>
      <c r="X307" s="69"/>
      <c r="Y307" s="70" t="s">
        <v>12</v>
      </c>
      <c r="Z307" s="69"/>
      <c r="AA307" s="70" t="s">
        <v>16</v>
      </c>
      <c r="AB307" s="69"/>
      <c r="AC307" s="69" t="s">
        <v>1296</v>
      </c>
      <c r="AD307" s="69"/>
      <c r="AE307" s="69"/>
      <c r="AF307" s="69"/>
      <c r="AG307" s="69"/>
      <c r="AH307" s="69"/>
      <c r="AI307" s="69">
        <v>9.85</v>
      </c>
      <c r="AJ307" s="69">
        <v>1</v>
      </c>
      <c r="AK307" s="69">
        <v>3</v>
      </c>
      <c r="AL307" s="2" t="str">
        <f t="shared" si="5"/>
        <v>No</v>
      </c>
    </row>
    <row r="308" spans="1:38" ht="90.75" customHeight="1" x14ac:dyDescent="0.25">
      <c r="A308" s="70" t="s">
        <v>1396</v>
      </c>
      <c r="B308" s="70" t="s">
        <v>1396</v>
      </c>
      <c r="C308" s="5" t="s">
        <v>306</v>
      </c>
      <c r="D308" s="69">
        <v>1</v>
      </c>
      <c r="E308" s="69">
        <v>4.3499999999999996</v>
      </c>
      <c r="F308" s="69">
        <v>4.3499999999999996</v>
      </c>
      <c r="G308" s="69">
        <v>4.3499999999999996</v>
      </c>
      <c r="J308" s="69">
        <v>2</v>
      </c>
      <c r="K308" s="75"/>
      <c r="L308" s="75"/>
      <c r="P308" s="69"/>
      <c r="U308" s="69"/>
      <c r="V308" s="69"/>
      <c r="W308" s="70" t="s">
        <v>1451</v>
      </c>
      <c r="X308" s="69"/>
      <c r="Y308" s="70" t="s">
        <v>12</v>
      </c>
      <c r="Z308" s="70" t="s">
        <v>706</v>
      </c>
      <c r="AA308" s="70" t="s">
        <v>16</v>
      </c>
      <c r="AB308" s="69"/>
      <c r="AC308" s="69" t="s">
        <v>1450</v>
      </c>
      <c r="AD308" s="69"/>
      <c r="AE308" s="69"/>
      <c r="AF308" s="69"/>
      <c r="AG308" s="69"/>
      <c r="AH308" s="69"/>
      <c r="AI308" s="69">
        <v>4.3499999999999996</v>
      </c>
      <c r="AJ308" s="69">
        <v>1</v>
      </c>
      <c r="AK308" s="69">
        <v>2</v>
      </c>
      <c r="AL308" s="2" t="str">
        <f t="shared" si="5"/>
        <v>No</v>
      </c>
    </row>
    <row r="309" spans="1:38" ht="92.25" customHeight="1" x14ac:dyDescent="0.25">
      <c r="A309" s="70" t="s">
        <v>1397</v>
      </c>
      <c r="B309" s="70" t="s">
        <v>1397</v>
      </c>
      <c r="C309" s="5" t="s">
        <v>306</v>
      </c>
      <c r="D309" s="69">
        <v>1</v>
      </c>
      <c r="E309" s="69">
        <v>18.46</v>
      </c>
      <c r="F309" s="69">
        <v>18.46</v>
      </c>
      <c r="G309" s="69">
        <v>18.46</v>
      </c>
      <c r="J309" s="69">
        <v>3</v>
      </c>
      <c r="K309" s="75"/>
      <c r="L309" s="75"/>
      <c r="P309" s="69"/>
      <c r="U309" s="69"/>
      <c r="V309" s="69"/>
      <c r="W309" s="69"/>
      <c r="X309" s="69"/>
      <c r="Y309" s="70" t="s">
        <v>12</v>
      </c>
      <c r="Z309" s="69"/>
      <c r="AA309" s="70" t="s">
        <v>16</v>
      </c>
      <c r="AB309" s="69"/>
      <c r="AC309" s="69" t="s">
        <v>1296</v>
      </c>
      <c r="AD309" s="69"/>
      <c r="AE309" s="69"/>
      <c r="AF309" s="69"/>
      <c r="AG309" s="69"/>
      <c r="AH309" s="69"/>
      <c r="AI309" s="69">
        <v>18.46</v>
      </c>
      <c r="AJ309" s="69">
        <v>1</v>
      </c>
      <c r="AK309" s="69">
        <v>3</v>
      </c>
      <c r="AL309" s="2" t="str">
        <f t="shared" si="5"/>
        <v>No</v>
      </c>
    </row>
    <row r="310" spans="1:38" ht="135.75" customHeight="1" x14ac:dyDescent="0.25">
      <c r="A310" s="70" t="s">
        <v>1400</v>
      </c>
      <c r="B310" s="70" t="s">
        <v>1400</v>
      </c>
      <c r="C310" s="5" t="s">
        <v>306</v>
      </c>
      <c r="D310" s="69">
        <v>1</v>
      </c>
      <c r="E310" s="69">
        <v>4</v>
      </c>
      <c r="F310" s="69">
        <v>4</v>
      </c>
      <c r="G310" s="69">
        <v>4</v>
      </c>
      <c r="J310" s="69">
        <v>2</v>
      </c>
      <c r="K310" s="75"/>
      <c r="L310" s="75"/>
      <c r="P310" s="69"/>
      <c r="U310" s="69"/>
      <c r="V310" s="69"/>
      <c r="W310" s="69"/>
      <c r="X310" s="69"/>
      <c r="Y310" s="69" t="s">
        <v>12</v>
      </c>
      <c r="Z310" s="69"/>
      <c r="AA310" s="70" t="s">
        <v>16</v>
      </c>
      <c r="AB310" s="69"/>
      <c r="AC310" s="69" t="s">
        <v>1296</v>
      </c>
      <c r="AD310" s="69"/>
      <c r="AE310" s="69"/>
      <c r="AF310" s="69"/>
      <c r="AG310" s="69"/>
      <c r="AH310" s="69"/>
      <c r="AI310" s="69">
        <v>4</v>
      </c>
      <c r="AJ310" s="69">
        <v>1</v>
      </c>
      <c r="AK310" s="69">
        <v>2</v>
      </c>
      <c r="AL310" s="2" t="str">
        <f t="shared" si="5"/>
        <v>No</v>
      </c>
    </row>
    <row r="311" spans="1:38" ht="122.25" customHeight="1" x14ac:dyDescent="0.25">
      <c r="A311" s="70" t="s">
        <v>1401</v>
      </c>
      <c r="B311" s="70" t="s">
        <v>1401</v>
      </c>
      <c r="C311" s="5" t="s">
        <v>306</v>
      </c>
      <c r="D311" s="69">
        <v>1</v>
      </c>
      <c r="E311" s="69">
        <v>8</v>
      </c>
      <c r="F311" s="69">
        <v>8</v>
      </c>
      <c r="G311" s="69">
        <v>8</v>
      </c>
      <c r="J311" s="69">
        <v>3</v>
      </c>
      <c r="K311" s="75"/>
      <c r="L311" s="75"/>
      <c r="P311" s="69"/>
      <c r="U311" s="69"/>
      <c r="V311" s="69"/>
      <c r="W311" s="69"/>
      <c r="X311" s="69"/>
      <c r="Y311" s="69" t="s">
        <v>12</v>
      </c>
      <c r="Z311" s="69"/>
      <c r="AA311" s="70" t="s">
        <v>16</v>
      </c>
      <c r="AB311" s="69"/>
      <c r="AC311" s="69" t="s">
        <v>1296</v>
      </c>
      <c r="AD311" s="69"/>
      <c r="AE311" s="69"/>
      <c r="AF311" s="69"/>
      <c r="AG311" s="69"/>
      <c r="AH311" s="69"/>
      <c r="AI311" s="69">
        <v>8</v>
      </c>
      <c r="AJ311" s="69">
        <v>2</v>
      </c>
      <c r="AK311" s="69">
        <v>3</v>
      </c>
      <c r="AL311" s="2" t="str">
        <f t="shared" si="5"/>
        <v>No</v>
      </c>
    </row>
    <row r="312" spans="1:38" ht="92.25" customHeight="1" x14ac:dyDescent="0.25">
      <c r="A312" s="70" t="s">
        <v>1402</v>
      </c>
      <c r="B312" s="70" t="s">
        <v>1402</v>
      </c>
      <c r="C312" s="5" t="s">
        <v>306</v>
      </c>
      <c r="D312" s="69">
        <v>1</v>
      </c>
      <c r="E312" s="69">
        <v>8.98</v>
      </c>
      <c r="F312" s="69">
        <v>8.98</v>
      </c>
      <c r="G312" s="69">
        <v>8.98</v>
      </c>
      <c r="J312" s="69">
        <v>2</v>
      </c>
      <c r="K312" s="75"/>
      <c r="L312" s="75"/>
      <c r="P312" s="69"/>
      <c r="U312" s="69"/>
      <c r="V312" s="69"/>
      <c r="W312" s="69"/>
      <c r="X312" s="69"/>
      <c r="Y312" s="69" t="s">
        <v>12</v>
      </c>
      <c r="Z312" s="69"/>
      <c r="AA312" s="70" t="s">
        <v>16</v>
      </c>
      <c r="AB312" s="69"/>
      <c r="AC312" s="69" t="s">
        <v>1296</v>
      </c>
      <c r="AD312" s="69"/>
      <c r="AE312" s="69"/>
      <c r="AF312" s="69"/>
      <c r="AG312" s="69"/>
      <c r="AH312" s="69"/>
      <c r="AI312" s="69">
        <v>8.98</v>
      </c>
      <c r="AJ312" s="69">
        <v>1</v>
      </c>
      <c r="AK312" s="69">
        <v>2</v>
      </c>
      <c r="AL312" s="2" t="str">
        <f t="shared" si="5"/>
        <v>No</v>
      </c>
    </row>
    <row r="313" spans="1:38" ht="30" x14ac:dyDescent="0.25">
      <c r="A313" s="69" t="s">
        <v>1473</v>
      </c>
      <c r="B313" s="70" t="s">
        <v>1403</v>
      </c>
      <c r="C313" s="5" t="s">
        <v>306</v>
      </c>
      <c r="D313" s="69">
        <v>1</v>
      </c>
      <c r="E313" s="69">
        <v>19.55</v>
      </c>
      <c r="F313" s="69">
        <v>19.55</v>
      </c>
      <c r="G313" s="69">
        <v>19.55</v>
      </c>
      <c r="J313" s="69">
        <v>2</v>
      </c>
      <c r="K313" s="75"/>
      <c r="L313" s="75"/>
      <c r="P313" s="69"/>
      <c r="U313" s="69"/>
      <c r="V313" s="69"/>
      <c r="W313" s="69"/>
      <c r="X313" s="69"/>
      <c r="Y313" s="69" t="s">
        <v>12</v>
      </c>
      <c r="Z313" s="70" t="s">
        <v>283</v>
      </c>
      <c r="AA313" s="70" t="s">
        <v>16</v>
      </c>
      <c r="AB313" s="69"/>
      <c r="AC313" s="69" t="s">
        <v>1474</v>
      </c>
      <c r="AD313" s="69"/>
      <c r="AE313" s="69"/>
      <c r="AF313" s="69"/>
      <c r="AG313" s="69"/>
      <c r="AH313" s="69"/>
      <c r="AI313" s="69">
        <v>19.55</v>
      </c>
      <c r="AJ313" s="69">
        <v>1</v>
      </c>
      <c r="AK313" s="69">
        <v>2</v>
      </c>
      <c r="AL313" s="2" t="str">
        <f t="shared" si="5"/>
        <v>No</v>
      </c>
    </row>
    <row r="314" spans="1:38" ht="30" x14ac:dyDescent="0.25">
      <c r="A314" s="70" t="s">
        <v>1405</v>
      </c>
      <c r="B314" s="70" t="s">
        <v>1405</v>
      </c>
      <c r="C314" s="5" t="s">
        <v>306</v>
      </c>
      <c r="D314" s="69">
        <v>1</v>
      </c>
      <c r="E314" s="69">
        <v>14.04</v>
      </c>
      <c r="F314" s="69">
        <v>14.04</v>
      </c>
      <c r="G314" s="69">
        <v>14.04</v>
      </c>
      <c r="J314" s="69">
        <v>2</v>
      </c>
      <c r="K314" s="75"/>
      <c r="L314" s="75"/>
      <c r="P314" s="69"/>
      <c r="U314" s="69"/>
      <c r="V314" s="69"/>
      <c r="W314" s="69"/>
      <c r="X314" s="69"/>
      <c r="Y314" s="69" t="s">
        <v>12</v>
      </c>
      <c r="Z314" s="69"/>
      <c r="AA314" s="70" t="s">
        <v>16</v>
      </c>
      <c r="AB314" s="69"/>
      <c r="AC314" s="69" t="s">
        <v>1296</v>
      </c>
      <c r="AD314" s="69"/>
      <c r="AE314" s="69"/>
      <c r="AF314" s="69"/>
      <c r="AG314" s="69"/>
      <c r="AH314" s="69"/>
      <c r="AI314" s="69">
        <v>14.04</v>
      </c>
      <c r="AJ314" s="69">
        <v>2</v>
      </c>
      <c r="AK314" s="69">
        <v>2</v>
      </c>
      <c r="AL314" s="2" t="str">
        <f t="shared" si="5"/>
        <v>No</v>
      </c>
    </row>
    <row r="315" spans="1:38" ht="30" x14ac:dyDescent="0.25">
      <c r="A315" s="70" t="s">
        <v>1476</v>
      </c>
      <c r="B315" s="70" t="s">
        <v>1406</v>
      </c>
      <c r="C315" s="5" t="s">
        <v>306</v>
      </c>
      <c r="D315" s="69">
        <v>1</v>
      </c>
      <c r="E315" s="69">
        <v>20</v>
      </c>
      <c r="F315" s="69">
        <v>20</v>
      </c>
      <c r="G315" s="69">
        <v>20</v>
      </c>
      <c r="J315" s="69">
        <v>38</v>
      </c>
      <c r="K315" s="75"/>
      <c r="L315" s="75"/>
      <c r="P315" s="69"/>
      <c r="U315" s="69"/>
      <c r="V315" s="69"/>
      <c r="W315" s="69"/>
      <c r="X315" s="69"/>
      <c r="Y315" s="69" t="s">
        <v>12</v>
      </c>
      <c r="Z315" s="69"/>
      <c r="AA315" s="70" t="s">
        <v>16</v>
      </c>
      <c r="AB315" s="69"/>
      <c r="AC315" s="69" t="s">
        <v>1477</v>
      </c>
      <c r="AD315" s="69"/>
      <c r="AE315" s="69"/>
      <c r="AF315" s="69"/>
      <c r="AG315" s="69"/>
      <c r="AH315" s="69"/>
      <c r="AI315" s="69">
        <v>20</v>
      </c>
      <c r="AJ315" s="69">
        <v>1</v>
      </c>
      <c r="AK315" s="69">
        <v>38</v>
      </c>
      <c r="AL315" s="2" t="str">
        <f t="shared" si="5"/>
        <v>No</v>
      </c>
    </row>
    <row r="316" spans="1:38" ht="30" x14ac:dyDescent="0.25">
      <c r="A316" s="70" t="s">
        <v>1407</v>
      </c>
      <c r="B316" s="70" t="s">
        <v>1407</v>
      </c>
      <c r="C316" s="5" t="s">
        <v>306</v>
      </c>
      <c r="D316" s="69">
        <v>1</v>
      </c>
      <c r="E316" s="69">
        <v>6</v>
      </c>
      <c r="F316" s="69">
        <v>6</v>
      </c>
      <c r="G316" s="69">
        <v>6</v>
      </c>
      <c r="J316" s="69">
        <v>2</v>
      </c>
      <c r="K316" s="75"/>
      <c r="L316" s="75"/>
      <c r="P316" s="69"/>
      <c r="U316" s="69"/>
      <c r="V316" s="69"/>
      <c r="W316" s="69"/>
      <c r="X316" s="69"/>
      <c r="Y316" s="69" t="s">
        <v>12</v>
      </c>
      <c r="Z316" s="69"/>
      <c r="AA316" s="70" t="s">
        <v>16</v>
      </c>
      <c r="AB316" s="69"/>
      <c r="AC316" s="69" t="s">
        <v>1296</v>
      </c>
      <c r="AD316" s="69"/>
      <c r="AE316" s="69"/>
      <c r="AF316" s="69"/>
      <c r="AG316" s="69"/>
      <c r="AH316" s="69"/>
      <c r="AI316" s="69">
        <v>6</v>
      </c>
      <c r="AJ316" s="69">
        <v>1</v>
      </c>
      <c r="AK316" s="69">
        <v>2</v>
      </c>
      <c r="AL316" s="2" t="str">
        <f t="shared" si="5"/>
        <v>No</v>
      </c>
    </row>
    <row r="317" spans="1:38" ht="30" x14ac:dyDescent="0.25">
      <c r="A317" s="70" t="s">
        <v>1408</v>
      </c>
      <c r="B317" s="70" t="s">
        <v>1408</v>
      </c>
      <c r="C317" s="5" t="s">
        <v>306</v>
      </c>
      <c r="D317" s="69">
        <v>1</v>
      </c>
      <c r="E317" s="69">
        <v>6</v>
      </c>
      <c r="F317" s="69">
        <v>6</v>
      </c>
      <c r="G317" s="69">
        <v>6</v>
      </c>
      <c r="J317" s="69">
        <v>2</v>
      </c>
      <c r="K317" s="75"/>
      <c r="L317" s="75"/>
      <c r="P317" s="69"/>
      <c r="U317" s="69"/>
      <c r="V317" s="69"/>
      <c r="W317" s="69"/>
      <c r="X317" s="69"/>
      <c r="Y317" s="69" t="s">
        <v>12</v>
      </c>
      <c r="Z317" s="69"/>
      <c r="AA317" s="70" t="s">
        <v>16</v>
      </c>
      <c r="AB317" s="69"/>
      <c r="AC317" s="69" t="s">
        <v>1296</v>
      </c>
      <c r="AD317" s="69"/>
      <c r="AE317" s="69"/>
      <c r="AF317" s="69"/>
      <c r="AG317" s="69"/>
      <c r="AH317" s="69"/>
      <c r="AI317" s="69">
        <v>6</v>
      </c>
      <c r="AJ317" s="69">
        <v>1</v>
      </c>
      <c r="AK317" s="69">
        <v>2</v>
      </c>
      <c r="AL317" s="2" t="str">
        <f t="shared" si="5"/>
        <v>No</v>
      </c>
    </row>
    <row r="318" spans="1:38" ht="30" x14ac:dyDescent="0.25">
      <c r="A318" s="70" t="s">
        <v>1409</v>
      </c>
      <c r="B318" s="70" t="s">
        <v>1409</v>
      </c>
      <c r="C318" s="5" t="s">
        <v>306</v>
      </c>
      <c r="D318" s="69">
        <v>1</v>
      </c>
      <c r="E318" s="69">
        <v>244</v>
      </c>
      <c r="F318" s="69">
        <v>244</v>
      </c>
      <c r="G318" s="69">
        <v>244</v>
      </c>
      <c r="J318" s="69">
        <v>4</v>
      </c>
      <c r="K318" s="75"/>
      <c r="L318" s="75"/>
      <c r="P318" s="69"/>
      <c r="U318" s="69"/>
      <c r="V318" s="69"/>
      <c r="W318" s="69"/>
      <c r="X318" s="69"/>
      <c r="Y318" s="69" t="s">
        <v>12</v>
      </c>
      <c r="Z318" s="69"/>
      <c r="AA318" s="70" t="s">
        <v>16</v>
      </c>
      <c r="AB318" s="69"/>
      <c r="AC318" s="69" t="s">
        <v>1296</v>
      </c>
      <c r="AD318" s="69"/>
      <c r="AE318" s="69"/>
      <c r="AF318" s="69"/>
      <c r="AG318" s="69"/>
      <c r="AH318" s="69"/>
      <c r="AI318" s="69">
        <v>244</v>
      </c>
      <c r="AJ318" s="69">
        <v>2</v>
      </c>
      <c r="AK318" s="69">
        <v>4</v>
      </c>
      <c r="AL318" s="2" t="str">
        <f t="shared" si="5"/>
        <v>No</v>
      </c>
    </row>
    <row r="319" spans="1:38" ht="60" x14ac:dyDescent="0.25">
      <c r="A319" s="70" t="s">
        <v>1411</v>
      </c>
      <c r="B319" s="70" t="s">
        <v>1411</v>
      </c>
      <c r="C319" s="5" t="s">
        <v>306</v>
      </c>
      <c r="D319" s="69">
        <v>1</v>
      </c>
      <c r="E319" s="69">
        <v>49.99</v>
      </c>
      <c r="F319" s="69">
        <v>49.99</v>
      </c>
      <c r="G319" s="69">
        <v>49.99</v>
      </c>
      <c r="J319" s="69">
        <v>6</v>
      </c>
      <c r="K319" s="75"/>
      <c r="L319" s="75"/>
      <c r="P319" s="69"/>
      <c r="U319" s="69"/>
      <c r="V319" s="70" t="s">
        <v>550</v>
      </c>
      <c r="W319" s="70" t="s">
        <v>1481</v>
      </c>
      <c r="X319" s="70" t="s">
        <v>1482</v>
      </c>
      <c r="Y319" s="70" t="s">
        <v>12</v>
      </c>
      <c r="Z319" s="70" t="s">
        <v>729</v>
      </c>
      <c r="AA319" s="70" t="s">
        <v>16</v>
      </c>
      <c r="AB319" s="69"/>
      <c r="AC319" s="69" t="s">
        <v>1483</v>
      </c>
      <c r="AD319" s="69"/>
      <c r="AE319" s="69"/>
      <c r="AF319" s="69"/>
      <c r="AG319" s="69"/>
      <c r="AH319" s="69"/>
      <c r="AI319" s="69">
        <v>49.99</v>
      </c>
      <c r="AJ319" s="69">
        <v>1</v>
      </c>
      <c r="AK319" s="69">
        <v>6</v>
      </c>
      <c r="AL319" s="2" t="str">
        <f t="shared" si="5"/>
        <v>No</v>
      </c>
    </row>
    <row r="320" spans="1:38" ht="60" x14ac:dyDescent="0.25">
      <c r="A320" s="70" t="s">
        <v>1487</v>
      </c>
      <c r="B320" s="70" t="s">
        <v>1413</v>
      </c>
      <c r="C320" s="5" t="s">
        <v>306</v>
      </c>
      <c r="D320" s="69">
        <v>1</v>
      </c>
      <c r="E320" s="69">
        <v>19.190000000000001</v>
      </c>
      <c r="F320" s="69">
        <v>19.190000000000001</v>
      </c>
      <c r="G320" s="69">
        <v>19.190000000000001</v>
      </c>
      <c r="J320" s="69">
        <v>3</v>
      </c>
      <c r="K320" s="75"/>
      <c r="L320" s="75"/>
      <c r="P320" s="69"/>
      <c r="U320" s="69"/>
      <c r="V320" s="70" t="s">
        <v>65</v>
      </c>
      <c r="W320" s="69"/>
      <c r="X320" s="70" t="s">
        <v>1488</v>
      </c>
      <c r="Y320" s="69" t="s">
        <v>12</v>
      </c>
      <c r="Z320" s="70" t="s">
        <v>578</v>
      </c>
      <c r="AA320" s="70" t="s">
        <v>16</v>
      </c>
      <c r="AB320" s="69"/>
      <c r="AC320" s="69" t="s">
        <v>1296</v>
      </c>
      <c r="AD320" s="69"/>
      <c r="AE320" s="69"/>
      <c r="AF320" s="69"/>
      <c r="AG320" s="69"/>
      <c r="AH320" s="69"/>
      <c r="AI320" s="69">
        <v>19.190000000000001</v>
      </c>
      <c r="AJ320" s="69">
        <v>1</v>
      </c>
      <c r="AK320" s="69">
        <v>3</v>
      </c>
      <c r="AL320" s="2" t="str">
        <f t="shared" si="5"/>
        <v>No</v>
      </c>
    </row>
    <row r="321" spans="1:38" ht="30" x14ac:dyDescent="0.25">
      <c r="A321" s="70" t="s">
        <v>1414</v>
      </c>
      <c r="B321" s="70" t="s">
        <v>1414</v>
      </c>
      <c r="C321" s="5" t="s">
        <v>306</v>
      </c>
      <c r="D321" s="69">
        <v>1</v>
      </c>
      <c r="E321" s="69">
        <v>900</v>
      </c>
      <c r="F321" s="69">
        <v>900</v>
      </c>
      <c r="G321" s="69">
        <v>900</v>
      </c>
      <c r="J321" s="69">
        <v>1</v>
      </c>
      <c r="K321" s="75"/>
      <c r="L321" s="75"/>
      <c r="P321" s="69"/>
      <c r="U321" s="69"/>
      <c r="V321" s="69"/>
      <c r="W321" s="69"/>
      <c r="X321" s="69"/>
      <c r="Y321" s="69" t="s">
        <v>12</v>
      </c>
      <c r="Z321" s="69"/>
      <c r="AA321" s="70" t="s">
        <v>16</v>
      </c>
      <c r="AB321" s="69"/>
      <c r="AC321" s="69" t="s">
        <v>1296</v>
      </c>
      <c r="AD321" s="69"/>
      <c r="AE321" s="69"/>
      <c r="AF321" s="69"/>
      <c r="AG321" s="69"/>
      <c r="AH321" s="69"/>
      <c r="AI321" s="69">
        <v>900</v>
      </c>
      <c r="AJ321" s="69">
        <v>1</v>
      </c>
      <c r="AK321" s="69">
        <v>1</v>
      </c>
      <c r="AL321" s="2" t="str">
        <f t="shared" si="5"/>
        <v>No</v>
      </c>
    </row>
    <row r="322" spans="1:38" ht="30.75" thickBot="1" x14ac:dyDescent="0.3">
      <c r="A322" s="70" t="s">
        <v>1415</v>
      </c>
      <c r="B322" s="70" t="s">
        <v>1415</v>
      </c>
      <c r="C322" s="5" t="s">
        <v>306</v>
      </c>
      <c r="D322" s="69">
        <v>1</v>
      </c>
      <c r="E322" s="69">
        <v>39.6</v>
      </c>
      <c r="F322" s="69">
        <v>39.6</v>
      </c>
      <c r="G322" s="69">
        <v>39.6</v>
      </c>
      <c r="J322" s="69">
        <v>15</v>
      </c>
      <c r="K322" s="75"/>
      <c r="L322" s="75"/>
      <c r="P322" s="69"/>
      <c r="U322" s="69"/>
      <c r="V322" s="69"/>
      <c r="W322" s="69"/>
      <c r="X322" s="69"/>
      <c r="Y322" s="69" t="s">
        <v>12</v>
      </c>
      <c r="Z322" s="69"/>
      <c r="AA322" s="70" t="s">
        <v>16</v>
      </c>
      <c r="AB322" s="69"/>
      <c r="AC322" s="69" t="s">
        <v>1296</v>
      </c>
      <c r="AD322" s="69"/>
      <c r="AE322" s="69"/>
      <c r="AF322" s="69"/>
      <c r="AG322" s="69"/>
      <c r="AH322" s="69"/>
      <c r="AI322" s="69">
        <v>39.6</v>
      </c>
      <c r="AJ322" s="69">
        <v>2</v>
      </c>
      <c r="AK322" s="69">
        <v>15</v>
      </c>
      <c r="AL322" s="2" t="str">
        <f t="shared" si="5"/>
        <v>No</v>
      </c>
    </row>
    <row r="323" spans="1:38" ht="75" x14ac:dyDescent="0.25">
      <c r="A323" s="38" t="s">
        <v>1489</v>
      </c>
      <c r="B323" s="70" t="s">
        <v>1416</v>
      </c>
      <c r="C323" s="5" t="s">
        <v>306</v>
      </c>
      <c r="D323" s="69">
        <v>1</v>
      </c>
      <c r="E323" s="69">
        <v>250</v>
      </c>
      <c r="F323" s="69">
        <v>250</v>
      </c>
      <c r="G323" s="69">
        <v>250</v>
      </c>
      <c r="J323" s="69">
        <v>5</v>
      </c>
      <c r="K323" s="75"/>
      <c r="L323" s="75"/>
      <c r="P323" s="69"/>
      <c r="U323" s="69"/>
      <c r="V323" s="69"/>
      <c r="W323" s="70" t="s">
        <v>1490</v>
      </c>
      <c r="X323" s="70" t="s">
        <v>1491</v>
      </c>
      <c r="Y323" s="69" t="s">
        <v>12</v>
      </c>
      <c r="Z323" s="69"/>
      <c r="AA323" s="70" t="s">
        <v>16</v>
      </c>
      <c r="AB323" s="69"/>
      <c r="AC323" s="69" t="s">
        <v>1492</v>
      </c>
      <c r="AD323" s="69"/>
      <c r="AE323" s="69"/>
      <c r="AF323" s="69"/>
      <c r="AG323" s="69"/>
      <c r="AH323" s="69"/>
      <c r="AI323" s="69">
        <v>250</v>
      </c>
      <c r="AJ323" s="69">
        <v>1</v>
      </c>
      <c r="AK323" s="69">
        <v>5</v>
      </c>
      <c r="AL323" s="2" t="str">
        <f t="shared" ref="AL323:AL363" si="6">IF(OR(ISNUMBER(SEARCH("school", K323)), ISNUMBER(SEARCH("others", K323)), ISNUMBER(SEARCH("town hall", K323)), ISNUMBER(SEARCH("municipality", K323)),ISNUMBER(SEARCH("gym", K323)),ISNUMBER(SEARCH("sports", K323)),ISNUMBER(SEARCH("university", K323)),ISNUMBER(SEARCH("social center", K323)),ISNUMBER(SEARCH("warehouse", K323)),ISNUMBER(SEARCH("kindergarden", K323)),ISNUMBER(SEARCH("library", K323)),ISNUMBER(SEARCH("private", K323)),ISNUMBER(SEARCH("condominium", K323)),ISNUMBER(SEARCH("commercial", K323)),ISNUMBER(SEARCH("shop", K323)),ISNUMBER(SEARCH("comm", K323)),ISNUMBER(SEARCH("market", K323)),ISNUMBER(SEARCH("supermarket", K323)),ISNUMBER(SEARCH("hotel", K323)),ISNUMBER(SEARCH("industrial", K323)),ISNUMBER(SEARCH("farm", K323)),ISNUMBER(SEARCH("office", K323)),ISNUMBER(SEARCH("offices", K323)),ISNUMBER(SEARCH("church", K323)),ISNUMBER(SEARCH("canteen", K323)),ISNUMBER(SEARCH("educational", K323)), ISNUMBER(SEARCH("waste", K323)),ISNUMBER(SEARCH("social", K323)),ISNUMBER(SEARCH("sport/complex", K323)),ISNUMBER(SEARCH("utility", K323)),ISNUMBER(SEARCH("villa", K323)),ISNUMBER(SEARCH("prosumer/park", K323)),ISNUMBER(SEARCH("police", K323))),"Yes", "No")</f>
        <v>No</v>
      </c>
    </row>
    <row r="324" spans="1:38" ht="30" x14ac:dyDescent="0.25">
      <c r="A324" s="70" t="s">
        <v>1418</v>
      </c>
      <c r="B324" s="70" t="s">
        <v>1418</v>
      </c>
      <c r="C324" s="5" t="s">
        <v>306</v>
      </c>
      <c r="D324" s="69">
        <v>1</v>
      </c>
      <c r="E324" s="69">
        <v>6</v>
      </c>
      <c r="F324" s="69">
        <v>6</v>
      </c>
      <c r="G324" s="69">
        <v>6</v>
      </c>
      <c r="J324" s="69">
        <v>5</v>
      </c>
      <c r="K324" s="75"/>
      <c r="L324" s="75"/>
      <c r="P324" s="69"/>
      <c r="U324" s="69"/>
      <c r="V324" s="69"/>
      <c r="W324" s="69"/>
      <c r="X324" s="69"/>
      <c r="Y324" s="69" t="s">
        <v>12</v>
      </c>
      <c r="Z324" s="69"/>
      <c r="AA324" s="70" t="s">
        <v>16</v>
      </c>
      <c r="AB324" s="69"/>
      <c r="AC324" s="69" t="s">
        <v>1296</v>
      </c>
      <c r="AD324" s="69"/>
      <c r="AE324" s="69"/>
      <c r="AF324" s="69"/>
      <c r="AG324" s="69"/>
      <c r="AH324" s="69"/>
      <c r="AI324" s="69">
        <v>6</v>
      </c>
      <c r="AJ324" s="69">
        <v>1</v>
      </c>
      <c r="AK324" s="69">
        <v>5</v>
      </c>
      <c r="AL324" s="2" t="str">
        <f t="shared" si="6"/>
        <v>No</v>
      </c>
    </row>
    <row r="325" spans="1:38" ht="30" x14ac:dyDescent="0.25">
      <c r="A325" s="70" t="s">
        <v>1419</v>
      </c>
      <c r="B325" s="70" t="s">
        <v>1419</v>
      </c>
      <c r="C325" s="5" t="s">
        <v>306</v>
      </c>
      <c r="D325" s="69">
        <v>1</v>
      </c>
      <c r="E325" s="69">
        <v>171</v>
      </c>
      <c r="F325" s="69">
        <v>171</v>
      </c>
      <c r="G325" s="69">
        <v>171</v>
      </c>
      <c r="J325" s="69">
        <v>15</v>
      </c>
      <c r="K325" s="75"/>
      <c r="L325" s="75"/>
      <c r="P325" s="69"/>
      <c r="U325" s="69"/>
      <c r="V325" s="69"/>
      <c r="W325" s="69"/>
      <c r="X325" s="69"/>
      <c r="Y325" s="69" t="s">
        <v>12</v>
      </c>
      <c r="Z325" s="69"/>
      <c r="AA325" s="70" t="s">
        <v>16</v>
      </c>
      <c r="AB325" s="69"/>
      <c r="AC325" s="69" t="s">
        <v>1296</v>
      </c>
      <c r="AD325" s="69"/>
      <c r="AE325" s="69"/>
      <c r="AF325" s="69"/>
      <c r="AG325" s="69"/>
      <c r="AH325" s="69"/>
      <c r="AI325" s="69">
        <v>171</v>
      </c>
      <c r="AJ325" s="69">
        <v>2</v>
      </c>
      <c r="AK325" s="69">
        <v>15</v>
      </c>
      <c r="AL325" s="2" t="str">
        <f t="shared" si="6"/>
        <v>No</v>
      </c>
    </row>
    <row r="326" spans="1:38" ht="45" x14ac:dyDescent="0.25">
      <c r="A326" s="70" t="s">
        <v>1421</v>
      </c>
      <c r="B326" s="70" t="s">
        <v>1421</v>
      </c>
      <c r="C326" s="75" t="s">
        <v>310</v>
      </c>
      <c r="D326" s="69">
        <v>1</v>
      </c>
      <c r="E326" s="69">
        <v>99.63</v>
      </c>
      <c r="F326" s="69">
        <v>99.63</v>
      </c>
      <c r="G326" s="69">
        <v>99.63</v>
      </c>
      <c r="J326" s="69">
        <v>2</v>
      </c>
      <c r="K326" s="75"/>
      <c r="L326" s="75"/>
      <c r="P326" s="69"/>
      <c r="U326" s="69"/>
      <c r="V326" s="70" t="s">
        <v>705</v>
      </c>
      <c r="W326" s="69"/>
      <c r="X326" s="69"/>
      <c r="Y326" s="69" t="s">
        <v>12</v>
      </c>
      <c r="Z326" s="69"/>
      <c r="AA326" s="70" t="s">
        <v>16</v>
      </c>
      <c r="AB326" s="69"/>
      <c r="AC326" s="69" t="s">
        <v>1507</v>
      </c>
      <c r="AD326" s="69"/>
      <c r="AE326" s="69"/>
      <c r="AF326" s="69"/>
      <c r="AG326" s="69"/>
      <c r="AH326" s="69"/>
      <c r="AI326" s="69">
        <v>99.63</v>
      </c>
      <c r="AJ326" s="69">
        <v>1</v>
      </c>
      <c r="AK326" s="69">
        <v>2</v>
      </c>
      <c r="AL326" s="2" t="str">
        <f t="shared" si="6"/>
        <v>No</v>
      </c>
    </row>
    <row r="327" spans="1:38" ht="30" x14ac:dyDescent="0.25">
      <c r="A327" s="70" t="s">
        <v>1422</v>
      </c>
      <c r="B327" s="70" t="s">
        <v>1422</v>
      </c>
      <c r="C327" s="75" t="s">
        <v>308</v>
      </c>
      <c r="D327" s="69">
        <v>1</v>
      </c>
      <c r="E327" s="69">
        <v>93.6</v>
      </c>
      <c r="F327" s="69">
        <v>93.6</v>
      </c>
      <c r="G327" s="69">
        <v>93.6</v>
      </c>
      <c r="J327" s="69">
        <v>2</v>
      </c>
      <c r="K327" s="75"/>
      <c r="L327" s="75"/>
      <c r="P327" s="69"/>
      <c r="U327" s="69"/>
      <c r="V327" s="69"/>
      <c r="W327" s="69"/>
      <c r="X327" s="69"/>
      <c r="Y327" s="69" t="s">
        <v>12</v>
      </c>
      <c r="Z327" s="69"/>
      <c r="AA327" s="70" t="s">
        <v>16</v>
      </c>
      <c r="AB327" s="69"/>
      <c r="AC327" s="69" t="s">
        <v>1296</v>
      </c>
      <c r="AD327" s="69"/>
      <c r="AE327" s="69"/>
      <c r="AF327" s="69"/>
      <c r="AG327" s="69"/>
      <c r="AH327" s="69"/>
      <c r="AI327" s="69">
        <v>93.6</v>
      </c>
      <c r="AJ327" s="69">
        <v>1</v>
      </c>
      <c r="AK327" s="69">
        <v>2</v>
      </c>
      <c r="AL327" s="2" t="str">
        <f t="shared" si="6"/>
        <v>No</v>
      </c>
    </row>
    <row r="328" spans="1:38" ht="60" x14ac:dyDescent="0.25">
      <c r="A328" s="70" t="s">
        <v>1424</v>
      </c>
      <c r="B328" s="70" t="s">
        <v>1514</v>
      </c>
      <c r="C328" s="75" t="s">
        <v>309</v>
      </c>
      <c r="D328" s="69">
        <v>1</v>
      </c>
      <c r="E328" s="69">
        <v>200</v>
      </c>
      <c r="F328" s="69">
        <v>200</v>
      </c>
      <c r="G328" s="69">
        <v>200</v>
      </c>
      <c r="J328" s="69">
        <v>7</v>
      </c>
      <c r="K328" s="75"/>
      <c r="L328" s="75"/>
      <c r="P328" s="69"/>
      <c r="U328" s="69"/>
      <c r="V328" s="70" t="s">
        <v>1513</v>
      </c>
      <c r="W328" s="69"/>
      <c r="X328" s="69"/>
      <c r="Y328" s="69" t="s">
        <v>12</v>
      </c>
      <c r="Z328" s="69"/>
      <c r="AA328" s="70" t="s">
        <v>16</v>
      </c>
      <c r="AB328" s="69"/>
      <c r="AC328" s="69" t="s">
        <v>1296</v>
      </c>
      <c r="AD328" s="69"/>
      <c r="AE328" s="69"/>
      <c r="AF328" s="69"/>
      <c r="AG328" s="69"/>
      <c r="AH328" s="69"/>
      <c r="AI328" s="69">
        <v>200</v>
      </c>
      <c r="AJ328" s="69">
        <v>2</v>
      </c>
      <c r="AK328" s="69">
        <v>7</v>
      </c>
      <c r="AL328" s="2" t="str">
        <f t="shared" si="6"/>
        <v>No</v>
      </c>
    </row>
    <row r="329" spans="1:38" ht="30" x14ac:dyDescent="0.25">
      <c r="A329" s="70" t="s">
        <v>1425</v>
      </c>
      <c r="B329" s="70" t="s">
        <v>1425</v>
      </c>
      <c r="C329" s="75" t="s">
        <v>309</v>
      </c>
      <c r="D329" s="69">
        <v>1</v>
      </c>
      <c r="E329" s="69">
        <v>182.25</v>
      </c>
      <c r="F329" s="69">
        <v>182.25</v>
      </c>
      <c r="G329" s="69">
        <v>182.25</v>
      </c>
      <c r="J329" s="69">
        <v>2</v>
      </c>
      <c r="K329" s="75"/>
      <c r="L329" s="75"/>
      <c r="P329" s="69"/>
      <c r="U329" s="69"/>
      <c r="V329" s="69"/>
      <c r="W329" s="69"/>
      <c r="X329" s="69"/>
      <c r="Y329" s="69" t="s">
        <v>12</v>
      </c>
      <c r="Z329" s="69"/>
      <c r="AA329" s="70" t="s">
        <v>16</v>
      </c>
      <c r="AB329" s="69"/>
      <c r="AC329" s="69" t="s">
        <v>1296</v>
      </c>
      <c r="AD329" s="69"/>
      <c r="AE329" s="69"/>
      <c r="AF329" s="69"/>
      <c r="AG329" s="69"/>
      <c r="AH329" s="69"/>
      <c r="AI329" s="69">
        <v>182.25</v>
      </c>
      <c r="AJ329" s="69">
        <v>1</v>
      </c>
      <c r="AK329" s="69">
        <v>2</v>
      </c>
      <c r="AL329" s="2" t="str">
        <f t="shared" si="6"/>
        <v>No</v>
      </c>
    </row>
    <row r="330" spans="1:38" ht="60" x14ac:dyDescent="0.25">
      <c r="A330" s="70" t="s">
        <v>1524</v>
      </c>
      <c r="B330" s="70" t="s">
        <v>1428</v>
      </c>
      <c r="C330" s="75" t="s">
        <v>310</v>
      </c>
      <c r="D330" s="69">
        <v>1</v>
      </c>
      <c r="E330" s="69">
        <v>180</v>
      </c>
      <c r="F330" s="69">
        <v>180</v>
      </c>
      <c r="G330" s="69">
        <v>180</v>
      </c>
      <c r="J330" s="69">
        <v>5</v>
      </c>
      <c r="K330" s="75"/>
      <c r="L330" s="75"/>
      <c r="P330" s="69"/>
      <c r="U330" s="69"/>
      <c r="V330" s="69"/>
      <c r="W330" s="69"/>
      <c r="X330" s="69"/>
      <c r="Y330" s="69" t="s">
        <v>12</v>
      </c>
      <c r="Z330" s="70" t="s">
        <v>729</v>
      </c>
      <c r="AA330" s="70" t="s">
        <v>16</v>
      </c>
      <c r="AB330" s="69" t="s">
        <v>1525</v>
      </c>
      <c r="AC330" s="69" t="s">
        <v>1526</v>
      </c>
      <c r="AD330" s="69"/>
      <c r="AE330" s="69"/>
      <c r="AF330" s="69"/>
      <c r="AG330" s="69"/>
      <c r="AH330" s="69"/>
      <c r="AI330" s="69">
        <v>180</v>
      </c>
      <c r="AJ330" s="69">
        <v>2</v>
      </c>
      <c r="AK330" s="69">
        <v>5</v>
      </c>
      <c r="AL330" s="2" t="str">
        <f t="shared" si="6"/>
        <v>No</v>
      </c>
    </row>
    <row r="331" spans="1:38" ht="30" x14ac:dyDescent="0.25">
      <c r="A331" s="70" t="s">
        <v>1429</v>
      </c>
      <c r="B331" s="70" t="s">
        <v>1429</v>
      </c>
      <c r="C331" s="75" t="s">
        <v>308</v>
      </c>
      <c r="D331" s="69">
        <v>1</v>
      </c>
      <c r="E331" s="69">
        <v>5.81</v>
      </c>
      <c r="F331" s="69">
        <v>5.81</v>
      </c>
      <c r="G331" s="69">
        <v>5.81</v>
      </c>
      <c r="J331" s="69">
        <v>2</v>
      </c>
      <c r="K331" s="75"/>
      <c r="L331" s="75"/>
      <c r="P331" s="69"/>
      <c r="U331" s="69"/>
      <c r="V331" s="69"/>
      <c r="W331" s="69"/>
      <c r="X331" s="69"/>
      <c r="Y331" s="69" t="s">
        <v>12</v>
      </c>
      <c r="Z331" s="69"/>
      <c r="AA331" s="70" t="s">
        <v>16</v>
      </c>
      <c r="AB331" s="69"/>
      <c r="AC331" s="69" t="s">
        <v>1296</v>
      </c>
      <c r="AD331" s="69"/>
      <c r="AE331" s="69"/>
      <c r="AF331" s="69"/>
      <c r="AG331" s="69"/>
      <c r="AH331" s="69"/>
      <c r="AI331" s="69">
        <v>5.81</v>
      </c>
      <c r="AJ331" s="69">
        <v>1</v>
      </c>
      <c r="AK331" s="69">
        <v>2</v>
      </c>
      <c r="AL331" s="2" t="str">
        <f t="shared" si="6"/>
        <v>No</v>
      </c>
    </row>
    <row r="332" spans="1:38" ht="30" x14ac:dyDescent="0.25">
      <c r="A332" s="70" t="s">
        <v>1430</v>
      </c>
      <c r="B332" s="70" t="s">
        <v>1430</v>
      </c>
      <c r="C332" s="75" t="s">
        <v>308</v>
      </c>
      <c r="D332" s="69">
        <v>1</v>
      </c>
      <c r="E332" s="69">
        <v>69.3</v>
      </c>
      <c r="F332" s="69">
        <v>69.3</v>
      </c>
      <c r="G332" s="69">
        <v>69.3</v>
      </c>
      <c r="J332" s="69">
        <v>1</v>
      </c>
      <c r="K332" s="75"/>
      <c r="L332" s="75"/>
      <c r="P332" s="69"/>
      <c r="U332" s="69"/>
      <c r="V332" s="69"/>
      <c r="W332" s="69"/>
      <c r="X332" s="69"/>
      <c r="Y332" s="69" t="s">
        <v>12</v>
      </c>
      <c r="Z332" s="69"/>
      <c r="AA332" s="70" t="s">
        <v>16</v>
      </c>
      <c r="AB332" s="69"/>
      <c r="AC332" s="69" t="s">
        <v>1296</v>
      </c>
      <c r="AD332" s="69"/>
      <c r="AE332" s="69"/>
      <c r="AF332" s="69"/>
      <c r="AG332" s="69"/>
      <c r="AH332" s="69"/>
      <c r="AI332" s="69">
        <v>69.3</v>
      </c>
      <c r="AJ332" s="69">
        <v>1</v>
      </c>
      <c r="AK332" s="69">
        <v>1</v>
      </c>
      <c r="AL332" s="2" t="str">
        <f t="shared" si="6"/>
        <v>No</v>
      </c>
    </row>
    <row r="333" spans="1:38" ht="30" x14ac:dyDescent="0.25">
      <c r="A333" s="70" t="s">
        <v>1431</v>
      </c>
      <c r="B333" s="70" t="s">
        <v>1431</v>
      </c>
      <c r="C333" s="75" t="s">
        <v>308</v>
      </c>
      <c r="D333" s="69">
        <v>1</v>
      </c>
      <c r="E333" s="69">
        <v>19.84</v>
      </c>
      <c r="F333" s="69">
        <v>19.84</v>
      </c>
      <c r="G333" s="69">
        <v>19.84</v>
      </c>
      <c r="J333" s="69">
        <v>3</v>
      </c>
      <c r="K333" s="75"/>
      <c r="L333" s="75"/>
      <c r="P333" s="69"/>
      <c r="U333" s="69"/>
      <c r="V333" s="69"/>
      <c r="W333" s="69"/>
      <c r="X333" s="69"/>
      <c r="Y333" s="69" t="s">
        <v>12</v>
      </c>
      <c r="Z333" s="69"/>
      <c r="AA333" s="70" t="s">
        <v>16</v>
      </c>
      <c r="AB333" s="69"/>
      <c r="AC333" s="69" t="s">
        <v>1296</v>
      </c>
      <c r="AD333" s="69"/>
      <c r="AE333" s="69"/>
      <c r="AF333" s="69"/>
      <c r="AG333" s="69"/>
      <c r="AH333" s="69"/>
      <c r="AI333" s="69">
        <v>19.84</v>
      </c>
      <c r="AJ333" s="69">
        <v>1</v>
      </c>
      <c r="AK333" s="69">
        <v>3</v>
      </c>
      <c r="AL333" s="2" t="str">
        <f t="shared" si="6"/>
        <v>No</v>
      </c>
    </row>
    <row r="334" spans="1:38" ht="75" x14ac:dyDescent="0.25">
      <c r="A334" s="70" t="s">
        <v>1432</v>
      </c>
      <c r="B334" s="70" t="s">
        <v>1432</v>
      </c>
      <c r="C334" s="75" t="s">
        <v>308</v>
      </c>
      <c r="D334" s="69">
        <v>1</v>
      </c>
      <c r="E334" s="69">
        <v>90.2</v>
      </c>
      <c r="F334" s="69">
        <v>90.2</v>
      </c>
      <c r="G334" s="69">
        <v>90.2</v>
      </c>
      <c r="J334" s="69">
        <v>4</v>
      </c>
      <c r="K334" s="75"/>
      <c r="L334" s="75"/>
      <c r="P334" s="69"/>
      <c r="U334" s="69"/>
      <c r="V334" s="69"/>
      <c r="W334" s="70" t="s">
        <v>1527</v>
      </c>
      <c r="X334" s="69"/>
      <c r="Y334" s="69" t="s">
        <v>12</v>
      </c>
      <c r="Z334" s="70" t="s">
        <v>578</v>
      </c>
      <c r="AA334" s="70" t="s">
        <v>16</v>
      </c>
      <c r="AB334" s="69"/>
      <c r="AC334" s="69" t="s">
        <v>1528</v>
      </c>
      <c r="AD334" s="69"/>
      <c r="AE334" s="69"/>
      <c r="AF334" s="69"/>
      <c r="AG334" s="69"/>
      <c r="AH334" s="69"/>
      <c r="AI334" s="69">
        <v>90.2</v>
      </c>
      <c r="AJ334" s="69">
        <v>1</v>
      </c>
      <c r="AK334" s="69">
        <v>4</v>
      </c>
      <c r="AL334" s="2" t="str">
        <f t="shared" si="6"/>
        <v>No</v>
      </c>
    </row>
    <row r="335" spans="1:38" ht="30" x14ac:dyDescent="0.25">
      <c r="A335" s="70" t="s">
        <v>1433</v>
      </c>
      <c r="B335" s="70" t="s">
        <v>1433</v>
      </c>
      <c r="C335" s="75" t="s">
        <v>308</v>
      </c>
      <c r="D335" s="69">
        <v>1</v>
      </c>
      <c r="E335" s="69">
        <v>26.4</v>
      </c>
      <c r="F335" s="69">
        <v>26.4</v>
      </c>
      <c r="G335" s="69">
        <v>26.4</v>
      </c>
      <c r="J335" s="69">
        <v>3</v>
      </c>
      <c r="K335" s="75"/>
      <c r="L335" s="75"/>
      <c r="P335" s="69"/>
      <c r="U335" s="69"/>
      <c r="V335" s="69"/>
      <c r="W335" s="69"/>
      <c r="X335" s="69"/>
      <c r="Y335" s="69" t="s">
        <v>12</v>
      </c>
      <c r="Z335" s="69"/>
      <c r="AA335" s="70" t="s">
        <v>16</v>
      </c>
      <c r="AB335" s="69"/>
      <c r="AC335" s="69" t="s">
        <v>1296</v>
      </c>
      <c r="AD335" s="69"/>
      <c r="AE335" s="69"/>
      <c r="AF335" s="69"/>
      <c r="AG335" s="69"/>
      <c r="AH335" s="69"/>
      <c r="AI335" s="69">
        <v>26.4</v>
      </c>
      <c r="AJ335" s="69">
        <v>1</v>
      </c>
      <c r="AK335" s="69">
        <v>3</v>
      </c>
      <c r="AL335" s="2" t="str">
        <f t="shared" si="6"/>
        <v>No</v>
      </c>
    </row>
    <row r="336" spans="1:38" ht="30" x14ac:dyDescent="0.25">
      <c r="A336" s="70" t="s">
        <v>1434</v>
      </c>
      <c r="B336" s="70" t="s">
        <v>1434</v>
      </c>
      <c r="C336" s="75" t="s">
        <v>308</v>
      </c>
      <c r="D336" s="69">
        <v>1</v>
      </c>
      <c r="E336" s="69">
        <v>99.19</v>
      </c>
      <c r="F336" s="69">
        <v>99.19</v>
      </c>
      <c r="G336" s="69">
        <v>99.19</v>
      </c>
      <c r="J336" s="69">
        <v>2</v>
      </c>
      <c r="K336" s="75"/>
      <c r="L336" s="75"/>
      <c r="P336" s="69"/>
      <c r="U336" s="69"/>
      <c r="V336" s="69"/>
      <c r="W336" s="69"/>
      <c r="X336" s="69"/>
      <c r="Y336" s="69" t="s">
        <v>12</v>
      </c>
      <c r="Z336" s="69"/>
      <c r="AA336" s="70" t="s">
        <v>16</v>
      </c>
      <c r="AB336" s="69"/>
      <c r="AC336" s="69" t="s">
        <v>1296</v>
      </c>
      <c r="AD336" s="69"/>
      <c r="AE336" s="69"/>
      <c r="AF336" s="69"/>
      <c r="AG336" s="69"/>
      <c r="AH336" s="69"/>
      <c r="AI336" s="69">
        <v>99.19</v>
      </c>
      <c r="AJ336" s="69">
        <v>1</v>
      </c>
      <c r="AK336" s="69">
        <v>2</v>
      </c>
      <c r="AL336" s="2" t="str">
        <f t="shared" si="6"/>
        <v>No</v>
      </c>
    </row>
    <row r="337" spans="1:38" ht="60" x14ac:dyDescent="0.25">
      <c r="A337" s="70" t="s">
        <v>1435</v>
      </c>
      <c r="B337" s="70" t="s">
        <v>1435</v>
      </c>
      <c r="C337" s="75" t="s">
        <v>308</v>
      </c>
      <c r="D337" s="69">
        <v>1</v>
      </c>
      <c r="E337" s="69">
        <v>12</v>
      </c>
      <c r="F337" s="69">
        <v>12</v>
      </c>
      <c r="G337" s="69">
        <v>12</v>
      </c>
      <c r="J337" s="69">
        <v>4</v>
      </c>
      <c r="K337" s="75"/>
      <c r="L337" s="75"/>
      <c r="P337" s="69"/>
      <c r="U337" s="69"/>
      <c r="V337" s="69"/>
      <c r="W337" s="70" t="s">
        <v>1529</v>
      </c>
      <c r="X337" s="69"/>
      <c r="Y337" s="69" t="s">
        <v>12</v>
      </c>
      <c r="Z337" s="69"/>
      <c r="AA337" s="70" t="s">
        <v>16</v>
      </c>
      <c r="AB337" s="69"/>
      <c r="AC337" s="69" t="s">
        <v>1296</v>
      </c>
      <c r="AD337" s="69"/>
      <c r="AE337" s="69"/>
      <c r="AF337" s="69"/>
      <c r="AG337" s="69"/>
      <c r="AH337" s="69"/>
      <c r="AI337" s="69">
        <v>12</v>
      </c>
      <c r="AJ337" s="69">
        <v>2</v>
      </c>
      <c r="AK337" s="69">
        <v>4</v>
      </c>
      <c r="AL337" s="2" t="str">
        <f t="shared" si="6"/>
        <v>No</v>
      </c>
    </row>
    <row r="338" spans="1:38" ht="30" x14ac:dyDescent="0.25">
      <c r="A338" s="70" t="s">
        <v>1439</v>
      </c>
      <c r="B338" s="70" t="s">
        <v>1439</v>
      </c>
      <c r="C338" s="75" t="s">
        <v>1297</v>
      </c>
      <c r="D338" s="69">
        <v>1</v>
      </c>
      <c r="E338" s="69">
        <v>10</v>
      </c>
      <c r="F338" s="69">
        <v>10</v>
      </c>
      <c r="G338" s="69">
        <v>10</v>
      </c>
      <c r="J338" s="69">
        <v>4</v>
      </c>
      <c r="K338" s="75"/>
      <c r="L338" s="75"/>
      <c r="P338" s="69"/>
      <c r="U338" s="69"/>
      <c r="V338" s="69"/>
      <c r="W338" s="70" t="s">
        <v>1546</v>
      </c>
      <c r="X338" s="70" t="s">
        <v>1547</v>
      </c>
      <c r="Y338" s="69" t="s">
        <v>12</v>
      </c>
      <c r="Z338" s="69"/>
      <c r="AA338" s="70" t="s">
        <v>16</v>
      </c>
      <c r="AB338" s="69"/>
      <c r="AC338" s="69" t="s">
        <v>1548</v>
      </c>
      <c r="AD338" s="69"/>
      <c r="AE338" s="69"/>
      <c r="AF338" s="69"/>
      <c r="AG338" s="69"/>
      <c r="AH338" s="69"/>
      <c r="AI338" s="69">
        <v>10</v>
      </c>
      <c r="AJ338" s="69">
        <v>1</v>
      </c>
      <c r="AK338" s="69">
        <v>4</v>
      </c>
      <c r="AL338" s="2" t="str">
        <f t="shared" si="6"/>
        <v>No</v>
      </c>
    </row>
    <row r="339" spans="1:38" ht="45" x14ac:dyDescent="0.25">
      <c r="A339" s="70" t="s">
        <v>1440</v>
      </c>
      <c r="B339" s="70" t="s">
        <v>1440</v>
      </c>
      <c r="C339" s="75" t="s">
        <v>1297</v>
      </c>
      <c r="D339" s="69">
        <v>1</v>
      </c>
      <c r="E339" s="69">
        <v>9.8000000000000007</v>
      </c>
      <c r="F339" s="69">
        <v>9.8000000000000007</v>
      </c>
      <c r="G339" s="69">
        <v>9.8000000000000007</v>
      </c>
      <c r="J339" s="69">
        <v>3</v>
      </c>
      <c r="K339" s="75"/>
      <c r="L339" s="75"/>
      <c r="P339" s="69"/>
      <c r="U339" s="69"/>
      <c r="V339" s="70" t="s">
        <v>1549</v>
      </c>
      <c r="W339" s="69"/>
      <c r="X339" s="69"/>
      <c r="Y339" s="69" t="s">
        <v>12</v>
      </c>
      <c r="Z339" s="69"/>
      <c r="AA339" s="70" t="s">
        <v>16</v>
      </c>
      <c r="AB339" s="69"/>
      <c r="AC339" s="69" t="s">
        <v>1550</v>
      </c>
      <c r="AD339" s="69"/>
      <c r="AE339" s="69"/>
      <c r="AF339" s="69"/>
      <c r="AG339" s="69"/>
      <c r="AH339" s="69"/>
      <c r="AI339" s="69">
        <v>9.8000000000000007</v>
      </c>
      <c r="AJ339" s="69">
        <v>1</v>
      </c>
      <c r="AK339" s="69">
        <v>3</v>
      </c>
      <c r="AL339" s="2" t="str">
        <f t="shared" si="6"/>
        <v>No</v>
      </c>
    </row>
    <row r="340" spans="1:38" ht="30" x14ac:dyDescent="0.25">
      <c r="A340" s="70" t="s">
        <v>1441</v>
      </c>
      <c r="B340" s="70" t="s">
        <v>1441</v>
      </c>
      <c r="C340" s="75" t="s">
        <v>312</v>
      </c>
      <c r="D340" s="69">
        <v>1</v>
      </c>
      <c r="E340" s="69">
        <v>6</v>
      </c>
      <c r="F340" s="69">
        <v>6</v>
      </c>
      <c r="G340" s="69">
        <v>6</v>
      </c>
      <c r="J340" s="69">
        <v>19</v>
      </c>
      <c r="K340" s="75"/>
      <c r="L340" s="75"/>
      <c r="P340" s="69"/>
      <c r="U340" s="69"/>
      <c r="V340" s="69"/>
      <c r="W340" s="69"/>
      <c r="X340" s="69"/>
      <c r="Y340" s="69" t="s">
        <v>12</v>
      </c>
      <c r="Z340" s="69"/>
      <c r="AA340" s="70" t="s">
        <v>16</v>
      </c>
      <c r="AB340" s="69"/>
      <c r="AC340" s="69" t="s">
        <v>1296</v>
      </c>
      <c r="AD340" s="69"/>
      <c r="AE340" s="69"/>
      <c r="AF340" s="69"/>
      <c r="AG340" s="69"/>
      <c r="AH340" s="69"/>
      <c r="AI340" s="69">
        <v>6</v>
      </c>
      <c r="AJ340" s="69">
        <v>1</v>
      </c>
      <c r="AK340" s="69">
        <v>19</v>
      </c>
      <c r="AL340" s="2" t="str">
        <f t="shared" si="6"/>
        <v>No</v>
      </c>
    </row>
    <row r="341" spans="1:38" ht="30" x14ac:dyDescent="0.25">
      <c r="A341" s="70" t="s">
        <v>1551</v>
      </c>
      <c r="B341" s="70" t="s">
        <v>1551</v>
      </c>
      <c r="C341" s="75" t="s">
        <v>312</v>
      </c>
      <c r="D341" s="69">
        <v>1</v>
      </c>
      <c r="E341" s="69">
        <v>39.76</v>
      </c>
      <c r="F341" s="69">
        <v>39.76</v>
      </c>
      <c r="G341" s="69">
        <v>39.76</v>
      </c>
      <c r="J341" s="69">
        <v>6</v>
      </c>
      <c r="K341" s="75"/>
      <c r="L341" s="75"/>
      <c r="P341" s="69"/>
      <c r="U341" s="69"/>
      <c r="V341" s="70" t="s">
        <v>550</v>
      </c>
      <c r="W341" s="69"/>
      <c r="X341" s="69"/>
      <c r="Y341" s="69" t="s">
        <v>12</v>
      </c>
      <c r="Z341" s="69"/>
      <c r="AA341" s="70" t="s">
        <v>16</v>
      </c>
      <c r="AB341" s="69" t="s">
        <v>1552</v>
      </c>
      <c r="AC341" s="69" t="s">
        <v>1553</v>
      </c>
      <c r="AD341" s="69"/>
      <c r="AE341" s="69"/>
      <c r="AF341" s="69"/>
      <c r="AG341" s="69"/>
      <c r="AH341" s="69"/>
      <c r="AI341" s="69">
        <v>39.76</v>
      </c>
      <c r="AJ341" s="69">
        <v>3</v>
      </c>
      <c r="AK341" s="69">
        <v>6</v>
      </c>
      <c r="AL341" s="2" t="str">
        <f t="shared" si="6"/>
        <v>No</v>
      </c>
    </row>
    <row r="342" spans="1:38" ht="30.75" thickBot="1" x14ac:dyDescent="0.3">
      <c r="A342" s="70" t="s">
        <v>1442</v>
      </c>
      <c r="B342" s="70" t="s">
        <v>1442</v>
      </c>
      <c r="C342" s="75" t="s">
        <v>312</v>
      </c>
      <c r="D342" s="69">
        <v>1</v>
      </c>
      <c r="E342" s="69">
        <v>999.99</v>
      </c>
      <c r="F342" s="69">
        <v>999.99</v>
      </c>
      <c r="G342" s="69">
        <v>999.99</v>
      </c>
      <c r="J342" s="69">
        <v>2</v>
      </c>
      <c r="K342" s="75"/>
      <c r="L342" s="75"/>
      <c r="P342" s="69"/>
      <c r="U342" s="69"/>
      <c r="V342" s="69"/>
      <c r="W342" s="69"/>
      <c r="X342" s="69"/>
      <c r="Y342" s="69" t="s">
        <v>12</v>
      </c>
      <c r="Z342" s="69"/>
      <c r="AA342" s="70" t="s">
        <v>16</v>
      </c>
      <c r="AB342" s="69"/>
      <c r="AC342" s="69" t="s">
        <v>1296</v>
      </c>
      <c r="AD342" s="69"/>
      <c r="AE342" s="69"/>
      <c r="AF342" s="69"/>
      <c r="AG342" s="69"/>
      <c r="AH342" s="69"/>
      <c r="AI342" s="69">
        <v>999.99</v>
      </c>
      <c r="AJ342" s="69">
        <v>1</v>
      </c>
      <c r="AK342" s="69">
        <v>2</v>
      </c>
      <c r="AL342" s="2" t="str">
        <f t="shared" si="6"/>
        <v>No</v>
      </c>
    </row>
    <row r="343" spans="1:38" ht="30.75" thickBot="1" x14ac:dyDescent="0.3">
      <c r="A343" s="85" t="s">
        <v>1444</v>
      </c>
      <c r="B343" s="70" t="s">
        <v>1444</v>
      </c>
      <c r="C343" s="75" t="s">
        <v>312</v>
      </c>
      <c r="D343" s="69">
        <v>1</v>
      </c>
      <c r="E343" s="69">
        <v>36.799999999999997</v>
      </c>
      <c r="F343" s="69">
        <v>36.799999999999997</v>
      </c>
      <c r="G343" s="69">
        <v>36.799999999999997</v>
      </c>
      <c r="J343" s="69">
        <v>3</v>
      </c>
      <c r="K343" s="75"/>
      <c r="L343" s="75"/>
      <c r="P343" s="69"/>
      <c r="U343" s="69"/>
      <c r="V343" s="69"/>
      <c r="W343" s="69"/>
      <c r="X343" s="69"/>
      <c r="Y343" s="69" t="s">
        <v>12</v>
      </c>
      <c r="Z343" s="69"/>
      <c r="AA343" s="70" t="s">
        <v>16</v>
      </c>
      <c r="AB343" s="69"/>
      <c r="AC343" s="72" t="s">
        <v>1296</v>
      </c>
      <c r="AD343" s="69"/>
      <c r="AE343" s="69"/>
      <c r="AF343" s="69"/>
      <c r="AG343" s="69"/>
      <c r="AH343" s="69"/>
      <c r="AI343" s="69">
        <v>36.799999999999997</v>
      </c>
      <c r="AJ343" s="69">
        <v>2</v>
      </c>
      <c r="AK343" s="69">
        <v>3</v>
      </c>
      <c r="AL343" s="2" t="str">
        <f t="shared" si="6"/>
        <v>No</v>
      </c>
    </row>
    <row r="344" spans="1:38" ht="75" x14ac:dyDescent="0.25">
      <c r="A344" s="70" t="s">
        <v>1564</v>
      </c>
      <c r="B344" s="70" t="s">
        <v>1565</v>
      </c>
      <c r="C344" s="75" t="s">
        <v>312</v>
      </c>
      <c r="D344" s="69">
        <v>1</v>
      </c>
      <c r="E344" s="69">
        <v>25.8</v>
      </c>
      <c r="F344" s="69">
        <v>25.8</v>
      </c>
      <c r="G344" s="69">
        <v>25.8</v>
      </c>
      <c r="J344" s="69">
        <v>16</v>
      </c>
      <c r="K344" s="75"/>
      <c r="L344" s="75"/>
      <c r="P344" s="69"/>
      <c r="U344" s="69"/>
      <c r="V344" s="70" t="s">
        <v>550</v>
      </c>
      <c r="W344" s="69"/>
      <c r="X344" s="69"/>
      <c r="Y344" s="69" t="s">
        <v>12</v>
      </c>
      <c r="Z344" s="70" t="s">
        <v>578</v>
      </c>
      <c r="AA344" s="70" t="s">
        <v>16</v>
      </c>
      <c r="AB344" s="69"/>
      <c r="AC344" s="69" t="s">
        <v>1566</v>
      </c>
      <c r="AD344" s="69"/>
      <c r="AE344" s="69"/>
      <c r="AF344" s="69"/>
      <c r="AG344" s="69"/>
      <c r="AH344" s="69"/>
      <c r="AI344" s="69">
        <v>25.8</v>
      </c>
      <c r="AJ344" s="69">
        <v>2</v>
      </c>
      <c r="AK344" s="69">
        <v>16</v>
      </c>
      <c r="AL344" s="2" t="str">
        <f t="shared" si="6"/>
        <v>No</v>
      </c>
    </row>
    <row r="345" spans="1:38" ht="30" x14ac:dyDescent="0.25">
      <c r="A345" s="70" t="s">
        <v>1567</v>
      </c>
      <c r="B345" s="70" t="s">
        <v>1445</v>
      </c>
      <c r="C345" s="75" t="s">
        <v>312</v>
      </c>
      <c r="D345" s="69">
        <v>1</v>
      </c>
      <c r="E345" s="69">
        <v>6</v>
      </c>
      <c r="F345" s="69">
        <v>6</v>
      </c>
      <c r="G345" s="69">
        <v>6</v>
      </c>
      <c r="J345" s="69">
        <v>3</v>
      </c>
      <c r="P345" s="69"/>
      <c r="U345" s="69"/>
      <c r="V345" s="69"/>
      <c r="W345" s="69"/>
      <c r="X345" s="69"/>
      <c r="Y345" s="69" t="s">
        <v>12</v>
      </c>
      <c r="Z345" s="69"/>
      <c r="AA345" s="70" t="s">
        <v>16</v>
      </c>
      <c r="AB345" s="69"/>
      <c r="AC345" s="69" t="s">
        <v>1568</v>
      </c>
      <c r="AD345" s="69"/>
      <c r="AE345" s="69"/>
      <c r="AF345" s="69"/>
      <c r="AG345" s="69"/>
      <c r="AH345" s="69"/>
      <c r="AI345" s="69">
        <v>6</v>
      </c>
      <c r="AJ345" s="69">
        <v>1</v>
      </c>
      <c r="AK345" s="69">
        <v>3</v>
      </c>
      <c r="AL345" s="2" t="str">
        <f t="shared" si="6"/>
        <v>No</v>
      </c>
    </row>
    <row r="346" spans="1:38" ht="45" x14ac:dyDescent="0.25">
      <c r="A346" s="70" t="s">
        <v>1446</v>
      </c>
      <c r="B346" s="70" t="s">
        <v>1446</v>
      </c>
      <c r="C346" s="75" t="s">
        <v>312</v>
      </c>
      <c r="D346" s="69">
        <v>1</v>
      </c>
      <c r="E346" s="69">
        <v>12</v>
      </c>
      <c r="F346" s="69">
        <v>12</v>
      </c>
      <c r="G346" s="69">
        <v>12</v>
      </c>
      <c r="J346" s="69">
        <v>12</v>
      </c>
      <c r="P346" s="69"/>
      <c r="U346" s="69"/>
      <c r="V346" s="69"/>
      <c r="W346" s="70" t="s">
        <v>1569</v>
      </c>
      <c r="X346" s="69"/>
      <c r="Y346" s="69" t="s">
        <v>12</v>
      </c>
      <c r="Z346" s="70" t="s">
        <v>578</v>
      </c>
      <c r="AA346" s="70" t="s">
        <v>16</v>
      </c>
      <c r="AB346" s="69"/>
      <c r="AC346" s="69" t="s">
        <v>1570</v>
      </c>
      <c r="AD346" s="69"/>
      <c r="AE346" s="69"/>
      <c r="AF346" s="69"/>
      <c r="AG346" s="69"/>
      <c r="AH346" s="69"/>
      <c r="AI346" s="69">
        <v>12</v>
      </c>
      <c r="AJ346" s="69">
        <v>1</v>
      </c>
      <c r="AK346" s="69">
        <v>12</v>
      </c>
      <c r="AL346" s="2" t="str">
        <f t="shared" si="6"/>
        <v>No</v>
      </c>
    </row>
    <row r="347" spans="1:38" ht="135" x14ac:dyDescent="0.25">
      <c r="A347" s="70" t="s">
        <v>1306</v>
      </c>
      <c r="B347" s="2" t="s">
        <v>1609</v>
      </c>
      <c r="C347" s="5" t="s">
        <v>306</v>
      </c>
      <c r="F347" s="69"/>
      <c r="J347" s="5">
        <v>100</v>
      </c>
      <c r="P347" s="69"/>
      <c r="U347" s="69"/>
      <c r="V347" s="70" t="s">
        <v>1611</v>
      </c>
      <c r="W347" s="70" t="s">
        <v>1307</v>
      </c>
      <c r="X347" s="70" t="s">
        <v>1610</v>
      </c>
      <c r="Y347" s="70" t="s">
        <v>12</v>
      </c>
      <c r="Z347" s="70" t="s">
        <v>283</v>
      </c>
      <c r="AA347" s="70" t="s">
        <v>16</v>
      </c>
      <c r="AB347" s="69"/>
      <c r="AC347" s="72" t="s">
        <v>1612</v>
      </c>
      <c r="AD347" s="69"/>
      <c r="AE347" s="69"/>
      <c r="AF347" s="69"/>
      <c r="AG347" s="69"/>
      <c r="AH347" s="69"/>
      <c r="AI347" s="69"/>
      <c r="AJ347" s="69"/>
      <c r="AK347" s="69"/>
      <c r="AL347" s="2" t="str">
        <f t="shared" si="6"/>
        <v>No</v>
      </c>
    </row>
    <row r="348" spans="1:38" ht="75" x14ac:dyDescent="0.25">
      <c r="A348" s="70" t="s">
        <v>1622</v>
      </c>
      <c r="B348" s="2" t="s">
        <v>1637</v>
      </c>
      <c r="C348" s="5" t="s">
        <v>306</v>
      </c>
      <c r="F348" s="69"/>
      <c r="P348" s="69"/>
      <c r="U348" s="69"/>
      <c r="V348" s="70" t="s">
        <v>65</v>
      </c>
      <c r="W348" s="70" t="s">
        <v>1635</v>
      </c>
      <c r="X348" s="70" t="s">
        <v>1636</v>
      </c>
      <c r="Y348" s="69"/>
      <c r="Z348" s="70" t="s">
        <v>729</v>
      </c>
      <c r="AA348" s="70" t="s">
        <v>16</v>
      </c>
      <c r="AB348" s="69"/>
      <c r="AC348" s="69"/>
      <c r="AD348" s="69"/>
      <c r="AE348" s="69"/>
      <c r="AF348" s="69"/>
      <c r="AG348" s="69"/>
      <c r="AH348" s="69"/>
      <c r="AI348" s="69"/>
      <c r="AJ348" s="69"/>
      <c r="AK348" s="69"/>
      <c r="AL348" s="2" t="str">
        <f t="shared" si="6"/>
        <v>No</v>
      </c>
    </row>
    <row r="349" spans="1:38" ht="180" x14ac:dyDescent="0.25">
      <c r="A349" s="70" t="s">
        <v>1315</v>
      </c>
      <c r="B349" s="5" t="s">
        <v>1623</v>
      </c>
      <c r="C349" s="5" t="s">
        <v>306</v>
      </c>
      <c r="D349" s="5">
        <v>1</v>
      </c>
      <c r="E349" s="5">
        <v>5400</v>
      </c>
      <c r="F349" s="5">
        <v>5400</v>
      </c>
      <c r="G349" s="5">
        <v>5400</v>
      </c>
      <c r="H349" s="5">
        <v>50</v>
      </c>
      <c r="P349" s="69"/>
      <c r="U349" s="69"/>
      <c r="V349" s="70" t="s">
        <v>65</v>
      </c>
      <c r="W349" s="70" t="s">
        <v>1634</v>
      </c>
      <c r="X349" s="70" t="s">
        <v>1585</v>
      </c>
      <c r="Y349" s="70" t="s">
        <v>12</v>
      </c>
      <c r="Z349" s="70" t="s">
        <v>729</v>
      </c>
      <c r="AA349" s="70" t="s">
        <v>17</v>
      </c>
      <c r="AB349" s="70" t="s">
        <v>1649</v>
      </c>
      <c r="AC349" s="72" t="s">
        <v>1650</v>
      </c>
      <c r="AD349" s="69">
        <v>4300000</v>
      </c>
      <c r="AE349" s="69" t="s">
        <v>1648</v>
      </c>
      <c r="AF349" s="69">
        <v>196020</v>
      </c>
      <c r="AG349" s="69">
        <f>938520-AF349</f>
        <v>742500</v>
      </c>
      <c r="AH349" s="69">
        <v>742500</v>
      </c>
      <c r="AI349" s="69"/>
      <c r="AJ349" s="69"/>
      <c r="AK349" s="69"/>
      <c r="AL349" s="2" t="str">
        <f t="shared" si="6"/>
        <v>No</v>
      </c>
    </row>
    <row r="350" spans="1:38" ht="90" x14ac:dyDescent="0.25">
      <c r="A350" s="70" t="s">
        <v>1331</v>
      </c>
      <c r="B350" s="2" t="s">
        <v>1731</v>
      </c>
      <c r="C350" s="5" t="s">
        <v>306</v>
      </c>
      <c r="F350" s="69"/>
      <c r="J350" s="5">
        <v>4</v>
      </c>
      <c r="P350" s="69"/>
      <c r="U350" s="69"/>
      <c r="V350" s="70" t="s">
        <v>1748</v>
      </c>
      <c r="W350" s="70" t="s">
        <v>1717</v>
      </c>
      <c r="X350" s="70" t="s">
        <v>1730</v>
      </c>
      <c r="Y350" s="69"/>
      <c r="Z350" s="70" t="s">
        <v>1197</v>
      </c>
      <c r="AA350" s="70" t="s">
        <v>16</v>
      </c>
      <c r="AB350" s="69"/>
      <c r="AC350" s="72" t="s">
        <v>1732</v>
      </c>
      <c r="AD350" s="69"/>
      <c r="AE350" s="69"/>
      <c r="AF350" s="69"/>
      <c r="AG350" s="69"/>
      <c r="AH350" s="69"/>
      <c r="AI350" s="69"/>
      <c r="AJ350" s="69"/>
      <c r="AK350" s="69"/>
      <c r="AL350" s="2" t="str">
        <f t="shared" si="6"/>
        <v>No</v>
      </c>
    </row>
    <row r="351" spans="1:38" ht="60" x14ac:dyDescent="0.25">
      <c r="A351" s="70" t="s">
        <v>1334</v>
      </c>
      <c r="B351" s="5" t="s">
        <v>1760</v>
      </c>
      <c r="C351" s="5" t="s">
        <v>306</v>
      </c>
      <c r="F351" s="69"/>
      <c r="P351" s="69"/>
      <c r="U351" s="69"/>
      <c r="V351" s="70" t="s">
        <v>65</v>
      </c>
      <c r="W351" s="70" t="s">
        <v>1754</v>
      </c>
      <c r="X351" s="70" t="s">
        <v>1585</v>
      </c>
      <c r="Y351" s="69"/>
      <c r="Z351" s="70" t="s">
        <v>729</v>
      </c>
      <c r="AA351" s="70" t="s">
        <v>16</v>
      </c>
      <c r="AB351" s="69"/>
      <c r="AC351" s="72" t="s">
        <v>1616</v>
      </c>
      <c r="AD351" s="69"/>
      <c r="AE351" s="69"/>
      <c r="AF351" s="69"/>
      <c r="AG351" s="69"/>
      <c r="AH351" s="69"/>
      <c r="AI351" s="69"/>
      <c r="AJ351" s="69"/>
      <c r="AK351" s="69"/>
      <c r="AL351" s="2" t="str">
        <f t="shared" si="6"/>
        <v>No</v>
      </c>
    </row>
    <row r="352" spans="1:38" ht="60" x14ac:dyDescent="0.25">
      <c r="A352" s="70" t="s">
        <v>1346</v>
      </c>
      <c r="B352" s="5" t="s">
        <v>1803</v>
      </c>
      <c r="C352" s="5" t="s">
        <v>306</v>
      </c>
      <c r="D352" s="5">
        <v>1</v>
      </c>
      <c r="E352" s="5">
        <v>2000</v>
      </c>
      <c r="F352" s="5">
        <v>2000</v>
      </c>
      <c r="G352" s="5">
        <v>2000</v>
      </c>
      <c r="H352" s="5">
        <v>50</v>
      </c>
      <c r="P352" s="69"/>
      <c r="U352" s="69"/>
      <c r="V352" s="70" t="s">
        <v>65</v>
      </c>
      <c r="W352" s="70" t="s">
        <v>1813</v>
      </c>
      <c r="X352" s="70" t="s">
        <v>1585</v>
      </c>
      <c r="Y352" s="69" t="s">
        <v>12</v>
      </c>
      <c r="Z352" s="70" t="s">
        <v>729</v>
      </c>
      <c r="AA352" s="70" t="s">
        <v>17</v>
      </c>
      <c r="AB352" s="69" t="s">
        <v>1820</v>
      </c>
      <c r="AC352" s="72" t="s">
        <v>1818</v>
      </c>
      <c r="AD352" s="69">
        <v>1600000</v>
      </c>
      <c r="AE352" s="69" t="s">
        <v>1819</v>
      </c>
      <c r="AF352" s="69">
        <v>72600</v>
      </c>
      <c r="AG352" s="69">
        <f>347600-AF352</f>
        <v>275000</v>
      </c>
      <c r="AH352" s="69">
        <v>275000</v>
      </c>
      <c r="AI352" s="69"/>
      <c r="AJ352" s="69"/>
      <c r="AK352" s="69"/>
      <c r="AL352" s="2" t="str">
        <f t="shared" si="6"/>
        <v>No</v>
      </c>
    </row>
    <row r="353" spans="1:38" ht="75" x14ac:dyDescent="0.25">
      <c r="A353" s="70" t="s">
        <v>1350</v>
      </c>
      <c r="B353" s="2" t="s">
        <v>1837</v>
      </c>
      <c r="C353" s="5" t="s">
        <v>306</v>
      </c>
      <c r="D353" s="5">
        <v>1</v>
      </c>
      <c r="E353" s="5">
        <v>8800</v>
      </c>
      <c r="F353" s="5">
        <v>8800</v>
      </c>
      <c r="G353" s="5">
        <v>8800</v>
      </c>
      <c r="H353" s="5">
        <v>50</v>
      </c>
      <c r="J353" s="5">
        <v>1656</v>
      </c>
      <c r="P353" s="69"/>
      <c r="U353" s="69"/>
      <c r="V353" s="70" t="s">
        <v>65</v>
      </c>
      <c r="W353" s="70" t="s">
        <v>1835</v>
      </c>
      <c r="X353" s="70" t="s">
        <v>1585</v>
      </c>
      <c r="Y353" s="70" t="s">
        <v>1685</v>
      </c>
      <c r="Z353" s="70" t="s">
        <v>729</v>
      </c>
      <c r="AA353" s="70" t="s">
        <v>17</v>
      </c>
      <c r="AB353" s="69" t="s">
        <v>1838</v>
      </c>
      <c r="AC353" s="69" t="s">
        <v>1836</v>
      </c>
      <c r="AD353" s="69">
        <v>7040000</v>
      </c>
      <c r="AE353" s="69" t="s">
        <v>1839</v>
      </c>
      <c r="AF353" s="69">
        <v>319440</v>
      </c>
      <c r="AG353" s="69">
        <f>1529440-AF353</f>
        <v>1210000</v>
      </c>
      <c r="AH353" s="69">
        <v>1210000</v>
      </c>
      <c r="AI353" s="69"/>
      <c r="AJ353" s="69"/>
      <c r="AK353" s="69"/>
      <c r="AL353" s="2" t="str">
        <f t="shared" si="6"/>
        <v>No</v>
      </c>
    </row>
    <row r="354" spans="1:38" ht="60" x14ac:dyDescent="0.25">
      <c r="A354" s="70" t="s">
        <v>1352</v>
      </c>
      <c r="B354" s="5" t="s">
        <v>1815</v>
      </c>
      <c r="C354" s="5" t="s">
        <v>306</v>
      </c>
      <c r="D354" s="5">
        <v>1</v>
      </c>
      <c r="E354" s="5">
        <v>2200</v>
      </c>
      <c r="F354" s="5">
        <v>2200</v>
      </c>
      <c r="G354" s="5">
        <v>2200</v>
      </c>
      <c r="H354" s="5">
        <v>50</v>
      </c>
      <c r="J354" s="5">
        <v>398</v>
      </c>
      <c r="P354" s="69"/>
      <c r="U354" s="69"/>
      <c r="V354" s="70" t="s">
        <v>65</v>
      </c>
      <c r="W354" s="70" t="s">
        <v>1825</v>
      </c>
      <c r="X354" s="70" t="s">
        <v>1585</v>
      </c>
      <c r="Y354" s="70" t="s">
        <v>1685</v>
      </c>
      <c r="Z354" s="70" t="s">
        <v>729</v>
      </c>
      <c r="AA354" s="70" t="s">
        <v>17</v>
      </c>
      <c r="AB354" s="69" t="s">
        <v>1851</v>
      </c>
      <c r="AC354" s="69" t="s">
        <v>1852</v>
      </c>
      <c r="AD354" s="69">
        <v>1760000</v>
      </c>
      <c r="AE354" s="69" t="s">
        <v>1850</v>
      </c>
      <c r="AF354" s="69">
        <v>79860</v>
      </c>
      <c r="AG354" s="69">
        <f>382360-AF354</f>
        <v>302500</v>
      </c>
      <c r="AH354" s="69">
        <v>302500</v>
      </c>
      <c r="AI354" s="69"/>
      <c r="AJ354" s="69"/>
      <c r="AK354" s="69"/>
      <c r="AL354" s="2" t="str">
        <f t="shared" si="6"/>
        <v>No</v>
      </c>
    </row>
    <row r="355" spans="1:38" ht="60" x14ac:dyDescent="0.25">
      <c r="A355" s="70" t="s">
        <v>1353</v>
      </c>
      <c r="B355" s="5" t="s">
        <v>1816</v>
      </c>
      <c r="C355" s="5" t="s">
        <v>306</v>
      </c>
      <c r="D355" s="5">
        <v>1</v>
      </c>
      <c r="E355" s="5">
        <v>1800</v>
      </c>
      <c r="F355" s="5">
        <v>1800</v>
      </c>
      <c r="G355" s="5">
        <v>1800</v>
      </c>
      <c r="H355" s="5">
        <v>50</v>
      </c>
      <c r="J355" s="5">
        <v>334</v>
      </c>
      <c r="P355" s="69"/>
      <c r="U355" s="69"/>
      <c r="V355" s="70" t="s">
        <v>65</v>
      </c>
      <c r="W355" s="70" t="s">
        <v>1853</v>
      </c>
      <c r="X355" s="70" t="s">
        <v>1585</v>
      </c>
      <c r="Y355" s="70" t="s">
        <v>1629</v>
      </c>
      <c r="Z355" s="70" t="s">
        <v>729</v>
      </c>
      <c r="AA355" s="70" t="s">
        <v>17</v>
      </c>
      <c r="AB355" s="69" t="s">
        <v>1856</v>
      </c>
      <c r="AC355" s="69" t="s">
        <v>1854</v>
      </c>
      <c r="AD355" s="69">
        <v>1440000</v>
      </c>
      <c r="AE355" s="69" t="s">
        <v>1855</v>
      </c>
      <c r="AF355" s="69">
        <v>65340</v>
      </c>
      <c r="AG355" s="69">
        <f>312840-AF355</f>
        <v>247500</v>
      </c>
      <c r="AH355" s="69">
        <v>247500</v>
      </c>
      <c r="AI355" s="69"/>
      <c r="AJ355" s="69"/>
      <c r="AK355" s="69"/>
      <c r="AL355" s="2" t="str">
        <f t="shared" si="6"/>
        <v>No</v>
      </c>
    </row>
    <row r="356" spans="1:38" ht="60" x14ac:dyDescent="0.25">
      <c r="A356" s="70" t="s">
        <v>1356</v>
      </c>
      <c r="B356" s="5" t="s">
        <v>1842</v>
      </c>
      <c r="C356" s="5" t="s">
        <v>306</v>
      </c>
      <c r="D356" s="5">
        <v>1</v>
      </c>
      <c r="F356" s="69"/>
      <c r="P356" s="69"/>
      <c r="U356" s="69"/>
      <c r="V356" s="70" t="s">
        <v>65</v>
      </c>
      <c r="W356" s="70" t="s">
        <v>1357</v>
      </c>
      <c r="X356" s="69"/>
      <c r="Y356" s="69"/>
      <c r="Z356" s="70" t="s">
        <v>729</v>
      </c>
      <c r="AA356" s="70" t="s">
        <v>16</v>
      </c>
      <c r="AB356" s="69"/>
      <c r="AC356" s="69" t="s">
        <v>1868</v>
      </c>
      <c r="AD356" s="69"/>
      <c r="AE356" s="69"/>
      <c r="AF356" s="69"/>
      <c r="AG356" s="69"/>
      <c r="AH356" s="69"/>
      <c r="AI356" s="69"/>
      <c r="AJ356" s="69"/>
      <c r="AK356" s="69"/>
      <c r="AL356" s="2" t="str">
        <f t="shared" si="6"/>
        <v>No</v>
      </c>
    </row>
    <row r="357" spans="1:38" ht="75" x14ac:dyDescent="0.25">
      <c r="A357" s="70" t="s">
        <v>1358</v>
      </c>
      <c r="B357" s="5" t="s">
        <v>1843</v>
      </c>
      <c r="C357" s="5" t="s">
        <v>306</v>
      </c>
      <c r="F357" s="69"/>
      <c r="P357" s="69"/>
      <c r="U357" s="69"/>
      <c r="V357" s="70" t="s">
        <v>65</v>
      </c>
      <c r="W357" s="70" t="s">
        <v>1871</v>
      </c>
      <c r="X357" s="70" t="s">
        <v>1872</v>
      </c>
      <c r="Y357" s="69"/>
      <c r="Z357" s="70" t="s">
        <v>729</v>
      </c>
      <c r="AA357" s="70" t="s">
        <v>17</v>
      </c>
      <c r="AB357" s="69"/>
      <c r="AC357" s="69" t="s">
        <v>1616</v>
      </c>
      <c r="AD357" s="69"/>
      <c r="AE357" s="69"/>
      <c r="AF357" s="69"/>
      <c r="AG357" s="69"/>
      <c r="AH357" s="69"/>
      <c r="AI357" s="69"/>
      <c r="AJ357" s="69"/>
      <c r="AK357" s="69"/>
      <c r="AL357" s="2" t="str">
        <f t="shared" si="6"/>
        <v>No</v>
      </c>
    </row>
    <row r="358" spans="1:38" ht="60" x14ac:dyDescent="0.25">
      <c r="A358" s="70" t="s">
        <v>1370</v>
      </c>
      <c r="B358" s="5" t="s">
        <v>1911</v>
      </c>
      <c r="C358" s="5" t="s">
        <v>306</v>
      </c>
      <c r="D358" s="5">
        <v>1</v>
      </c>
      <c r="E358" s="5">
        <v>3700</v>
      </c>
      <c r="F358" s="5">
        <v>3700</v>
      </c>
      <c r="G358" s="5">
        <v>3700</v>
      </c>
      <c r="H358" s="5">
        <v>50</v>
      </c>
      <c r="P358" s="69"/>
      <c r="U358" s="69"/>
      <c r="V358" s="70" t="s">
        <v>65</v>
      </c>
      <c r="W358" s="70" t="s">
        <v>1937</v>
      </c>
      <c r="X358" s="70" t="s">
        <v>1585</v>
      </c>
      <c r="Y358" s="70" t="s">
        <v>12</v>
      </c>
      <c r="Z358" s="70" t="s">
        <v>729</v>
      </c>
      <c r="AA358" s="70" t="s">
        <v>17</v>
      </c>
      <c r="AB358" s="69" t="s">
        <v>1897</v>
      </c>
      <c r="AC358" s="69" t="s">
        <v>1938</v>
      </c>
      <c r="AD358" s="69">
        <v>2960000</v>
      </c>
      <c r="AE358" s="69" t="s">
        <v>1939</v>
      </c>
      <c r="AF358" s="69">
        <v>134310</v>
      </c>
      <c r="AG358" s="69">
        <f>643060-AF358</f>
        <v>508750</v>
      </c>
      <c r="AH358" s="69">
        <v>508750</v>
      </c>
      <c r="AI358" s="69"/>
      <c r="AJ358" s="69"/>
      <c r="AK358" s="69"/>
      <c r="AL358" s="2" t="str">
        <f t="shared" si="6"/>
        <v>No</v>
      </c>
    </row>
    <row r="359" spans="1:38" ht="60" x14ac:dyDescent="0.25">
      <c r="A359" s="70" t="s">
        <v>1374</v>
      </c>
      <c r="B359" s="5" t="s">
        <v>1960</v>
      </c>
      <c r="C359" s="5" t="s">
        <v>306</v>
      </c>
      <c r="D359" s="5">
        <v>1</v>
      </c>
      <c r="F359" s="69"/>
      <c r="P359" s="69"/>
      <c r="U359" s="69"/>
      <c r="V359" s="70" t="s">
        <v>65</v>
      </c>
      <c r="W359" s="70" t="s">
        <v>1959</v>
      </c>
      <c r="X359" s="70" t="s">
        <v>1585</v>
      </c>
      <c r="Y359" s="69"/>
      <c r="Z359" s="70" t="s">
        <v>729</v>
      </c>
      <c r="AA359" s="70" t="s">
        <v>17</v>
      </c>
      <c r="AB359" s="69"/>
      <c r="AC359" s="69" t="s">
        <v>1962</v>
      </c>
      <c r="AD359" s="69"/>
      <c r="AE359" s="69"/>
      <c r="AF359" s="69"/>
      <c r="AG359" s="69"/>
      <c r="AH359" s="69"/>
      <c r="AI359" s="69"/>
      <c r="AJ359" s="69"/>
      <c r="AK359" s="69"/>
      <c r="AL359" s="2" t="str">
        <f t="shared" si="6"/>
        <v>No</v>
      </c>
    </row>
    <row r="360" spans="1:38" ht="60" x14ac:dyDescent="0.25">
      <c r="A360" s="70" t="s">
        <v>1378</v>
      </c>
      <c r="B360" s="5" t="s">
        <v>1976</v>
      </c>
      <c r="C360" s="5" t="s">
        <v>306</v>
      </c>
      <c r="D360" s="5">
        <v>1</v>
      </c>
      <c r="F360" s="69"/>
      <c r="P360" s="69"/>
      <c r="U360" s="69"/>
      <c r="V360" s="70" t="s">
        <v>65</v>
      </c>
      <c r="W360" s="70" t="s">
        <v>1978</v>
      </c>
      <c r="X360" s="70" t="s">
        <v>1585</v>
      </c>
      <c r="Y360" s="69"/>
      <c r="Z360" s="70" t="s">
        <v>729</v>
      </c>
      <c r="AA360" s="70" t="s">
        <v>17</v>
      </c>
      <c r="AB360" s="69"/>
      <c r="AC360" s="69" t="s">
        <v>1977</v>
      </c>
      <c r="AD360" s="69"/>
      <c r="AE360" s="69"/>
      <c r="AF360" s="69"/>
      <c r="AG360" s="69"/>
      <c r="AH360" s="69"/>
      <c r="AI360" s="69"/>
      <c r="AJ360" s="69"/>
      <c r="AK360" s="69"/>
      <c r="AL360" s="2" t="str">
        <f t="shared" si="6"/>
        <v>No</v>
      </c>
    </row>
    <row r="361" spans="1:38" ht="60" x14ac:dyDescent="0.25">
      <c r="A361" s="70" t="s">
        <v>1380</v>
      </c>
      <c r="B361" s="5" t="s">
        <v>1983</v>
      </c>
      <c r="C361" s="5" t="s">
        <v>306</v>
      </c>
      <c r="D361" s="5">
        <v>1</v>
      </c>
      <c r="F361" s="69"/>
      <c r="P361" s="69"/>
      <c r="U361" s="69"/>
      <c r="V361" s="70" t="s">
        <v>65</v>
      </c>
      <c r="W361" s="70" t="s">
        <v>1982</v>
      </c>
      <c r="X361" s="70" t="s">
        <v>1585</v>
      </c>
      <c r="Y361" s="69"/>
      <c r="Z361" s="70" t="s">
        <v>729</v>
      </c>
      <c r="AA361" s="70" t="s">
        <v>17</v>
      </c>
      <c r="AB361" s="69"/>
      <c r="AC361" s="69" t="s">
        <v>1984</v>
      </c>
      <c r="AD361" s="69"/>
      <c r="AE361" s="69"/>
      <c r="AF361" s="69"/>
      <c r="AG361" s="69"/>
      <c r="AH361" s="69"/>
      <c r="AI361" s="69"/>
      <c r="AJ361" s="69"/>
      <c r="AK361" s="69"/>
      <c r="AL361" s="2" t="str">
        <f t="shared" si="6"/>
        <v>No</v>
      </c>
    </row>
    <row r="362" spans="1:38" ht="60" x14ac:dyDescent="0.25">
      <c r="A362" s="70" t="s">
        <v>1383</v>
      </c>
      <c r="B362" s="5" t="s">
        <v>1988</v>
      </c>
      <c r="C362" s="5" t="s">
        <v>306</v>
      </c>
      <c r="F362" s="69"/>
      <c r="J362" s="5">
        <v>30</v>
      </c>
      <c r="P362" s="69"/>
      <c r="U362" s="69"/>
      <c r="V362" s="70" t="s">
        <v>550</v>
      </c>
      <c r="W362" s="70" t="s">
        <v>1384</v>
      </c>
      <c r="X362" s="70" t="s">
        <v>362</v>
      </c>
      <c r="Y362" s="69"/>
      <c r="Z362" s="70" t="s">
        <v>729</v>
      </c>
      <c r="AA362" s="70" t="s">
        <v>16</v>
      </c>
      <c r="AB362" s="69"/>
      <c r="AC362" s="69" t="s">
        <v>1986</v>
      </c>
      <c r="AD362" s="69"/>
      <c r="AE362" s="69"/>
      <c r="AF362" s="69"/>
      <c r="AG362" s="69"/>
      <c r="AH362" s="69"/>
      <c r="AI362" s="69"/>
      <c r="AJ362" s="69"/>
      <c r="AK362" s="69"/>
      <c r="AL362" s="2" t="str">
        <f t="shared" si="6"/>
        <v>No</v>
      </c>
    </row>
    <row r="363" spans="1:38" ht="45" x14ac:dyDescent="0.25">
      <c r="A363" s="86" t="s">
        <v>1387</v>
      </c>
      <c r="B363" s="5" t="s">
        <v>1406</v>
      </c>
      <c r="C363" s="5" t="s">
        <v>306</v>
      </c>
      <c r="D363" s="5">
        <v>1</v>
      </c>
      <c r="F363" s="69"/>
      <c r="P363" s="69"/>
      <c r="U363" s="69"/>
      <c r="V363" s="70" t="s">
        <v>65</v>
      </c>
      <c r="W363" s="86" t="s">
        <v>1989</v>
      </c>
      <c r="X363" s="70" t="s">
        <v>1585</v>
      </c>
      <c r="Y363" s="69"/>
      <c r="Z363" s="86"/>
      <c r="AA363" s="86" t="s">
        <v>17</v>
      </c>
      <c r="AB363" s="69"/>
      <c r="AC363" s="87" t="s">
        <v>1990</v>
      </c>
      <c r="AD363" s="69"/>
      <c r="AE363" s="69"/>
      <c r="AF363" s="69"/>
      <c r="AG363" s="69"/>
      <c r="AH363" s="69"/>
      <c r="AI363" s="69"/>
      <c r="AJ363" s="69"/>
      <c r="AK363" s="69"/>
      <c r="AL363" s="2" t="str">
        <f t="shared" si="6"/>
        <v>No</v>
      </c>
    </row>
    <row r="365" spans="1:38" ht="23.25" x14ac:dyDescent="0.35">
      <c r="K365" s="41"/>
      <c r="L365" s="42"/>
      <c r="M365" s="43"/>
      <c r="N365" s="43"/>
      <c r="O365" s="43"/>
      <c r="P365" s="43"/>
      <c r="Q365" s="44"/>
      <c r="R365" s="43"/>
      <c r="S365" s="43"/>
      <c r="T365" s="43"/>
      <c r="U365" s="43"/>
      <c r="V365" s="43"/>
      <c r="W365" s="45"/>
      <c r="X365" s="43"/>
      <c r="Y365" s="43"/>
      <c r="Z365" s="43"/>
      <c r="AA365" s="42"/>
      <c r="AB365" s="42"/>
      <c r="AC365" s="42"/>
      <c r="AD365" s="42"/>
      <c r="AE365" s="42"/>
      <c r="AF365" s="42"/>
    </row>
    <row r="366" spans="1:38" ht="45" customHeight="1" thickBot="1" x14ac:dyDescent="0.35">
      <c r="E366"/>
      <c r="G366"/>
      <c r="H366"/>
      <c r="I366"/>
      <c r="J366"/>
      <c r="K366" s="46"/>
      <c r="L366" s="42"/>
      <c r="M366" s="42"/>
      <c r="N366" s="42"/>
      <c r="O366" s="43"/>
      <c r="P366" s="43"/>
      <c r="Q366" s="43"/>
      <c r="R366" s="42"/>
      <c r="S366" s="42"/>
      <c r="T366" s="42"/>
      <c r="U366" s="42"/>
      <c r="V366" s="42"/>
      <c r="W366" s="42"/>
      <c r="X366" s="43"/>
      <c r="Y366" s="43"/>
      <c r="Z366" s="43"/>
      <c r="AA366" s="42"/>
      <c r="AB366" s="42"/>
      <c r="AC366" s="42"/>
      <c r="AD366" s="42"/>
      <c r="AE366" s="42"/>
      <c r="AF366" s="42"/>
    </row>
    <row r="367" spans="1:38" ht="27" customHeight="1" x14ac:dyDescent="0.25">
      <c r="A367" s="23" t="s">
        <v>300</v>
      </c>
      <c r="B367" s="24" t="s">
        <v>301</v>
      </c>
      <c r="E367"/>
      <c r="G367"/>
      <c r="H367"/>
      <c r="I367"/>
      <c r="J367"/>
      <c r="K367" s="47"/>
      <c r="L367" s="47"/>
      <c r="M367" s="47"/>
      <c r="N367" s="47"/>
      <c r="O367" s="47"/>
      <c r="P367" s="47"/>
      <c r="Q367" s="47"/>
      <c r="R367" s="47"/>
      <c r="S367" s="47"/>
      <c r="T367" s="47"/>
      <c r="U367" s="47"/>
      <c r="V367" s="47"/>
      <c r="W367" s="47"/>
      <c r="X367" s="47"/>
      <c r="Y367" s="47"/>
      <c r="Z367" s="47"/>
      <c r="AA367" s="47"/>
      <c r="AB367" s="47"/>
      <c r="AC367" s="47"/>
      <c r="AD367" s="47"/>
      <c r="AE367" s="47"/>
      <c r="AF367" s="47"/>
    </row>
    <row r="368" spans="1:38" ht="28.5" customHeight="1" x14ac:dyDescent="0.25">
      <c r="A368" s="4" t="s">
        <v>537</v>
      </c>
      <c r="B368" s="25">
        <v>300</v>
      </c>
      <c r="D368"/>
      <c r="E368"/>
      <c r="G368"/>
      <c r="H368"/>
      <c r="I368"/>
      <c r="J368"/>
      <c r="K368" s="48"/>
      <c r="L368" s="42"/>
      <c r="M368" s="45"/>
      <c r="N368" s="42"/>
      <c r="O368" s="45"/>
      <c r="P368" s="45"/>
      <c r="Q368" s="42"/>
      <c r="R368" s="42"/>
      <c r="S368" s="45"/>
      <c r="T368" s="45"/>
      <c r="U368" s="45"/>
      <c r="V368" s="42"/>
      <c r="W368" s="43"/>
      <c r="X368" s="49"/>
      <c r="Y368" s="50"/>
      <c r="Z368" s="42"/>
      <c r="AA368" s="50"/>
      <c r="AB368" s="42"/>
      <c r="AC368" s="45"/>
      <c r="AD368" s="42"/>
      <c r="AE368" s="51"/>
      <c r="AF368" s="42"/>
    </row>
    <row r="369" spans="1:32" ht="60" x14ac:dyDescent="0.25">
      <c r="A369" s="26" t="s">
        <v>2042</v>
      </c>
      <c r="B369" s="25">
        <v>219</v>
      </c>
      <c r="D369"/>
      <c r="E369"/>
      <c r="G369"/>
      <c r="H369"/>
      <c r="I369"/>
      <c r="J369"/>
      <c r="K369" s="52"/>
      <c r="L369" s="42"/>
      <c r="M369" s="53"/>
      <c r="N369" s="42"/>
      <c r="O369" s="43"/>
      <c r="P369" s="45"/>
      <c r="Q369" s="45"/>
      <c r="R369" s="45"/>
      <c r="S369" s="45"/>
      <c r="T369" s="42"/>
      <c r="U369" s="42"/>
      <c r="V369" s="42"/>
      <c r="W369" s="42"/>
      <c r="X369" s="42"/>
      <c r="Y369" s="42"/>
      <c r="Z369" s="42"/>
      <c r="AA369" s="42"/>
      <c r="AB369" s="42"/>
      <c r="AC369" s="42"/>
      <c r="AD369" s="42"/>
      <c r="AE369" s="42"/>
      <c r="AF369" s="42"/>
    </row>
    <row r="370" spans="1:32" ht="45" x14ac:dyDescent="0.25">
      <c r="A370" s="26" t="s">
        <v>371</v>
      </c>
      <c r="B370" s="25">
        <v>52</v>
      </c>
      <c r="D370"/>
      <c r="E370"/>
      <c r="G370"/>
      <c r="H370"/>
      <c r="I370"/>
      <c r="J370"/>
      <c r="K370" s="52"/>
      <c r="L370" s="42"/>
      <c r="M370" s="45"/>
      <c r="N370" s="45"/>
      <c r="O370" s="45"/>
      <c r="P370" s="45"/>
      <c r="Q370" s="45"/>
      <c r="R370" s="42"/>
      <c r="S370" s="42"/>
      <c r="T370" s="42"/>
      <c r="U370" s="42"/>
      <c r="V370" s="42"/>
      <c r="W370" s="42"/>
      <c r="X370" s="42"/>
      <c r="Y370" s="45"/>
      <c r="Z370" s="42"/>
      <c r="AA370" s="45"/>
      <c r="AB370" s="42"/>
      <c r="AC370" s="45"/>
      <c r="AD370" s="42"/>
      <c r="AE370" s="42"/>
      <c r="AF370" s="42"/>
    </row>
    <row r="371" spans="1:32" ht="30" x14ac:dyDescent="0.25">
      <c r="A371" s="26" t="s">
        <v>302</v>
      </c>
      <c r="B371" s="25">
        <v>27</v>
      </c>
      <c r="E371"/>
      <c r="G371"/>
      <c r="H371"/>
      <c r="I371"/>
      <c r="J371"/>
      <c r="K371" s="52"/>
      <c r="L371" s="43"/>
      <c r="M371" s="44"/>
      <c r="N371" s="44"/>
      <c r="O371" s="44"/>
      <c r="P371" s="44"/>
      <c r="Q371" s="44"/>
      <c r="R371" s="43"/>
      <c r="S371" s="44"/>
      <c r="T371" s="43"/>
      <c r="U371" s="44"/>
      <c r="V371" s="43"/>
      <c r="W371" s="44"/>
      <c r="X371" s="42"/>
      <c r="Y371" s="42"/>
      <c r="Z371" s="42"/>
      <c r="AA371" s="42"/>
      <c r="AB371" s="42"/>
      <c r="AC371" s="42"/>
      <c r="AD371" s="42"/>
      <c r="AE371" s="42"/>
      <c r="AF371" s="42"/>
    </row>
    <row r="372" spans="1:32" x14ac:dyDescent="0.25">
      <c r="A372" s="39" t="s">
        <v>2074</v>
      </c>
      <c r="B372" s="40">
        <v>158</v>
      </c>
      <c r="E372"/>
      <c r="G372"/>
      <c r="H372"/>
      <c r="I372"/>
      <c r="J372"/>
      <c r="K372" s="54"/>
      <c r="L372" s="43"/>
      <c r="M372" s="44"/>
      <c r="N372" s="44"/>
      <c r="O372" s="44"/>
      <c r="P372" s="43"/>
      <c r="Q372" s="44"/>
      <c r="R372" s="44"/>
      <c r="S372" s="43"/>
      <c r="T372" s="42"/>
      <c r="U372" s="43"/>
      <c r="V372" s="43"/>
      <c r="W372" s="43"/>
      <c r="X372" s="43"/>
      <c r="Y372" s="42"/>
      <c r="Z372" s="42"/>
      <c r="AA372" s="42"/>
      <c r="AB372" s="42"/>
      <c r="AC372" s="42"/>
      <c r="AD372" s="42"/>
      <c r="AE372" s="42"/>
      <c r="AF372" s="42"/>
    </row>
    <row r="373" spans="1:32" x14ac:dyDescent="0.25">
      <c r="A373" s="4" t="s">
        <v>303</v>
      </c>
      <c r="B373" s="25">
        <v>82</v>
      </c>
      <c r="K373" s="42"/>
      <c r="L373" s="42"/>
      <c r="M373" s="42"/>
      <c r="N373" s="42"/>
      <c r="O373" s="42"/>
      <c r="P373" s="42"/>
      <c r="Q373" s="42"/>
      <c r="R373" s="43"/>
      <c r="S373" s="43"/>
      <c r="T373" s="43"/>
      <c r="U373" s="42"/>
      <c r="V373" s="43"/>
      <c r="W373" s="43"/>
      <c r="X373" s="43"/>
      <c r="Y373" s="43"/>
      <c r="Z373" s="42"/>
      <c r="AA373" s="42"/>
      <c r="AB373" s="42"/>
      <c r="AC373" s="42"/>
      <c r="AD373" s="42"/>
      <c r="AE373" s="42"/>
      <c r="AF373" s="42"/>
    </row>
    <row r="374" spans="1:32" ht="85.5" customHeight="1" thickBot="1" x14ac:dyDescent="0.3">
      <c r="A374" s="3" t="s">
        <v>304</v>
      </c>
      <c r="B374" s="27">
        <v>13</v>
      </c>
      <c r="E374"/>
      <c r="G374"/>
      <c r="H374"/>
      <c r="I374"/>
      <c r="J374"/>
      <c r="K374" s="55"/>
      <c r="L374" s="55"/>
      <c r="M374" s="56"/>
      <c r="N374" s="55"/>
      <c r="O374" s="55"/>
      <c r="P374" s="57"/>
      <c r="Q374" s="57"/>
      <c r="R374" s="57"/>
      <c r="S374" s="57"/>
      <c r="T374" s="57"/>
      <c r="U374" s="57"/>
      <c r="V374" s="57"/>
      <c r="W374" s="57"/>
      <c r="X374" s="57"/>
      <c r="Y374" s="57"/>
      <c r="Z374" s="57"/>
      <c r="AA374" s="57"/>
      <c r="AB374" s="57"/>
      <c r="AC374" s="57"/>
      <c r="AD374" s="57"/>
      <c r="AE374" s="57"/>
      <c r="AF374" s="42"/>
    </row>
    <row r="375" spans="1:32" ht="15.75" x14ac:dyDescent="0.25">
      <c r="A375" s="28" t="s">
        <v>403</v>
      </c>
      <c r="B375" s="29">
        <v>362</v>
      </c>
      <c r="C375"/>
      <c r="E375"/>
      <c r="G375"/>
      <c r="H375"/>
      <c r="I375"/>
      <c r="J375"/>
      <c r="K375" s="58"/>
      <c r="L375" s="58"/>
      <c r="M375" s="58"/>
      <c r="N375" s="58"/>
      <c r="O375" s="58"/>
      <c r="P375" s="49"/>
      <c r="Q375" s="59"/>
      <c r="R375" s="49"/>
      <c r="S375" s="59"/>
      <c r="T375" s="49"/>
      <c r="U375" s="59"/>
      <c r="V375" s="49"/>
      <c r="W375" s="59"/>
      <c r="X375" s="49"/>
      <c r="Y375" s="59"/>
      <c r="Z375" s="49"/>
      <c r="AA375" s="59"/>
      <c r="AB375" s="49"/>
      <c r="AC375" s="59"/>
      <c r="AD375" s="49"/>
      <c r="AE375" s="59"/>
      <c r="AF375" s="42"/>
    </row>
    <row r="376" spans="1:32" ht="15.75" x14ac:dyDescent="0.25">
      <c r="A376" s="30" t="s">
        <v>404</v>
      </c>
      <c r="B376" s="22">
        <v>231</v>
      </c>
      <c r="C376"/>
      <c r="E376"/>
      <c r="G376"/>
      <c r="H376"/>
      <c r="I376"/>
      <c r="J376"/>
      <c r="K376" s="60"/>
      <c r="L376" s="61"/>
      <c r="M376" s="62"/>
      <c r="N376" s="63"/>
      <c r="O376" s="64"/>
      <c r="P376" s="49"/>
      <c r="Q376" s="59"/>
      <c r="R376" s="49"/>
      <c r="S376" s="59"/>
      <c r="T376" s="49"/>
      <c r="U376" s="59"/>
      <c r="V376" s="49"/>
      <c r="W376" s="59"/>
      <c r="X376" s="49"/>
      <c r="Y376" s="59"/>
      <c r="Z376" s="49"/>
      <c r="AA376" s="59"/>
      <c r="AB376" s="49"/>
      <c r="AC376" s="59"/>
      <c r="AD376" s="49"/>
      <c r="AE376" s="59"/>
      <c r="AF376" s="42"/>
    </row>
    <row r="377" spans="1:32" ht="15.75" x14ac:dyDescent="0.25">
      <c r="A377" s="30" t="s">
        <v>405</v>
      </c>
      <c r="B377" s="22">
        <v>19</v>
      </c>
      <c r="E377"/>
      <c r="G377"/>
      <c r="H377"/>
      <c r="I377"/>
      <c r="J377"/>
      <c r="K377" s="60"/>
      <c r="L377" s="61"/>
      <c r="M377" s="62"/>
      <c r="N377" s="63"/>
      <c r="O377" s="64"/>
      <c r="P377" s="49"/>
      <c r="Q377" s="59"/>
      <c r="R377" s="49"/>
      <c r="S377" s="59"/>
      <c r="T377" s="49"/>
      <c r="U377" s="59"/>
      <c r="V377" s="49"/>
      <c r="W377" s="59"/>
      <c r="X377" s="49"/>
      <c r="Y377" s="59"/>
      <c r="Z377" s="49"/>
      <c r="AA377" s="59"/>
      <c r="AB377" s="49"/>
      <c r="AC377" s="59"/>
      <c r="AD377" s="49"/>
      <c r="AE377" s="59"/>
      <c r="AF377" s="42"/>
    </row>
    <row r="378" spans="1:32" ht="15.75" x14ac:dyDescent="0.25">
      <c r="A378" s="30" t="s">
        <v>406</v>
      </c>
      <c r="B378" s="22">
        <v>69</v>
      </c>
      <c r="E378"/>
      <c r="G378"/>
      <c r="H378"/>
      <c r="I378"/>
      <c r="J378"/>
      <c r="K378" s="65"/>
      <c r="L378" s="61"/>
      <c r="M378" s="62"/>
      <c r="N378" s="63"/>
      <c r="O378" s="64"/>
      <c r="P378" s="49"/>
      <c r="Q378" s="59"/>
      <c r="R378" s="49"/>
      <c r="S378" s="59"/>
      <c r="T378" s="49"/>
      <c r="U378" s="59"/>
      <c r="V378" s="49"/>
      <c r="W378" s="59"/>
      <c r="X378" s="49"/>
      <c r="Y378" s="59"/>
      <c r="Z378" s="49"/>
      <c r="AA378" s="59"/>
      <c r="AB378" s="49"/>
      <c r="AC378" s="59"/>
      <c r="AD378" s="49"/>
      <c r="AE378" s="59"/>
      <c r="AF378" s="42"/>
    </row>
    <row r="379" spans="1:32" ht="15.75" x14ac:dyDescent="0.25">
      <c r="A379" s="30" t="s">
        <v>2041</v>
      </c>
      <c r="B379" s="22">
        <v>4</v>
      </c>
      <c r="E379"/>
      <c r="G379"/>
      <c r="H379"/>
      <c r="I379"/>
      <c r="J379"/>
      <c r="K379" s="65"/>
      <c r="L379" s="66"/>
      <c r="M379" s="62"/>
      <c r="N379" s="63"/>
      <c r="O379" s="64"/>
      <c r="P379" s="49"/>
      <c r="Q379" s="59"/>
      <c r="R379" s="49"/>
      <c r="S379" s="59"/>
      <c r="T379" s="49"/>
      <c r="U379" s="59"/>
      <c r="V379" s="49"/>
      <c r="W379" s="59"/>
      <c r="X379" s="49"/>
      <c r="Y379" s="59"/>
      <c r="Z379" s="49"/>
      <c r="AA379" s="59"/>
      <c r="AB379" s="49"/>
      <c r="AC379" s="59"/>
      <c r="AD379" s="49"/>
      <c r="AE379" s="59"/>
      <c r="AF379" s="42"/>
    </row>
    <row r="380" spans="1:32" ht="15.75" x14ac:dyDescent="0.25">
      <c r="A380" s="30" t="s">
        <v>407</v>
      </c>
      <c r="B380" s="22">
        <v>13</v>
      </c>
      <c r="K380" s="65"/>
      <c r="L380" s="66"/>
      <c r="M380" s="62"/>
      <c r="N380" s="43"/>
      <c r="O380" s="64"/>
      <c r="P380" s="42"/>
      <c r="Q380" s="43"/>
      <c r="R380" s="43"/>
      <c r="S380" s="43"/>
      <c r="T380" s="43"/>
      <c r="U380" s="42"/>
      <c r="V380" s="42"/>
      <c r="W380" s="42"/>
      <c r="X380" s="42"/>
      <c r="Y380" s="42"/>
      <c r="Z380" s="42"/>
      <c r="AA380" s="42"/>
      <c r="AB380" s="42"/>
      <c r="AC380" s="42"/>
      <c r="AD380" s="42"/>
      <c r="AE380" s="42"/>
      <c r="AF380" s="42"/>
    </row>
    <row r="381" spans="1:32" x14ac:dyDescent="0.25">
      <c r="A381" s="30" t="s">
        <v>408</v>
      </c>
      <c r="B381" s="22">
        <v>19</v>
      </c>
      <c r="K381" s="67"/>
      <c r="L381" s="67"/>
      <c r="M381" s="67"/>
      <c r="N381" s="67"/>
      <c r="O381" s="43"/>
      <c r="P381" s="42"/>
      <c r="Q381" s="43"/>
      <c r="R381" s="43"/>
      <c r="S381" s="43"/>
      <c r="T381" s="43"/>
      <c r="U381" s="42"/>
      <c r="V381" s="42"/>
      <c r="W381" s="42"/>
      <c r="X381" s="42"/>
      <c r="Y381" s="42"/>
      <c r="Z381" s="42"/>
      <c r="AA381" s="42"/>
      <c r="AB381" s="42"/>
      <c r="AC381" s="42"/>
      <c r="AD381" s="42"/>
      <c r="AE381" s="42"/>
      <c r="AF381" s="42"/>
    </row>
    <row r="382" spans="1:32" ht="16.5" thickBot="1" x14ac:dyDescent="0.3">
      <c r="A382" s="31" t="s">
        <v>409</v>
      </c>
      <c r="B382" s="32">
        <v>7</v>
      </c>
      <c r="K382" s="60"/>
      <c r="L382" s="61"/>
      <c r="M382" s="62"/>
      <c r="N382" s="63"/>
      <c r="O382" s="68"/>
      <c r="P382" s="42"/>
      <c r="Q382" s="43"/>
      <c r="R382" s="43"/>
      <c r="S382" s="43"/>
      <c r="T382" s="43"/>
      <c r="U382" s="42"/>
      <c r="V382" s="42"/>
      <c r="W382" s="42"/>
      <c r="X382" s="42"/>
      <c r="Y382" s="42"/>
      <c r="Z382" s="42"/>
      <c r="AA382" s="42"/>
      <c r="AB382" s="42"/>
      <c r="AC382" s="42"/>
      <c r="AD382" s="42"/>
      <c r="AE382" s="42"/>
      <c r="AF382" s="42"/>
    </row>
    <row r="383" spans="1:32" ht="15.75" x14ac:dyDescent="0.25">
      <c r="A383" s="33" t="s">
        <v>2043</v>
      </c>
      <c r="B383" s="34"/>
      <c r="K383" s="60"/>
      <c r="L383" s="61"/>
      <c r="M383" s="62"/>
      <c r="N383" s="63"/>
      <c r="O383" s="68"/>
      <c r="P383" s="42"/>
      <c r="Q383" s="43"/>
      <c r="R383" s="43"/>
      <c r="S383" s="43"/>
      <c r="T383" s="43"/>
      <c r="U383" s="42"/>
      <c r="V383" s="42"/>
      <c r="W383" s="42"/>
      <c r="X383" s="42"/>
      <c r="Y383" s="42"/>
      <c r="Z383" s="42"/>
      <c r="AA383" s="42"/>
      <c r="AB383" s="42"/>
      <c r="AC383" s="42"/>
      <c r="AD383" s="42"/>
      <c r="AE383" s="42"/>
      <c r="AF383" s="42"/>
    </row>
    <row r="384" spans="1:32" ht="15.75" x14ac:dyDescent="0.25">
      <c r="A384" s="4" t="s">
        <v>306</v>
      </c>
      <c r="B384" s="35">
        <f>B376*100/$B$375</f>
        <v>63.812154696132595</v>
      </c>
      <c r="K384" s="65"/>
      <c r="L384" s="61"/>
      <c r="M384" s="62"/>
      <c r="N384" s="63"/>
      <c r="O384" s="68"/>
      <c r="P384" s="42"/>
      <c r="Q384" s="43"/>
      <c r="R384" s="43"/>
      <c r="S384" s="43"/>
      <c r="T384" s="43"/>
      <c r="U384" s="42"/>
      <c r="V384" s="42"/>
      <c r="W384" s="42"/>
      <c r="X384" s="42"/>
      <c r="Y384" s="42"/>
      <c r="Z384" s="42"/>
      <c r="AA384" s="42"/>
      <c r="AB384" s="42"/>
      <c r="AC384" s="52"/>
      <c r="AD384" s="42"/>
      <c r="AE384" s="42"/>
      <c r="AF384" s="42"/>
    </row>
    <row r="385" spans="1:32" ht="15.75" x14ac:dyDescent="0.25">
      <c r="A385" s="4" t="s">
        <v>309</v>
      </c>
      <c r="B385" s="35">
        <f>B377*100/$B$375</f>
        <v>5.2486187845303869</v>
      </c>
      <c r="K385" s="65"/>
      <c r="L385" s="61"/>
      <c r="M385" s="62"/>
      <c r="N385" s="63"/>
      <c r="O385" s="68"/>
      <c r="P385" s="42"/>
      <c r="Q385" s="43"/>
      <c r="R385" s="43"/>
      <c r="S385" s="43"/>
      <c r="T385" s="43"/>
      <c r="U385" s="42"/>
      <c r="V385" s="42"/>
      <c r="W385" s="42"/>
      <c r="X385" s="42"/>
      <c r="Y385" s="42"/>
      <c r="Z385" s="42"/>
      <c r="AA385" s="42"/>
      <c r="AB385" s="42"/>
      <c r="AC385" s="42"/>
      <c r="AD385" s="42"/>
      <c r="AE385" s="42"/>
      <c r="AF385" s="42"/>
    </row>
    <row r="386" spans="1:32" ht="15.75" x14ac:dyDescent="0.25">
      <c r="A386" s="4" t="s">
        <v>308</v>
      </c>
      <c r="B386" s="35">
        <f>B378*100/$B$375</f>
        <v>19.060773480662984</v>
      </c>
      <c r="K386" s="65"/>
      <c r="L386" s="61"/>
      <c r="M386" s="62"/>
      <c r="N386" s="43"/>
      <c r="O386" s="68"/>
      <c r="P386" s="42"/>
      <c r="Q386" s="43"/>
      <c r="R386" s="43"/>
      <c r="S386" s="43"/>
      <c r="T386" s="43"/>
      <c r="U386" s="42"/>
      <c r="V386" s="42"/>
      <c r="W386" s="42"/>
      <c r="X386" s="42"/>
      <c r="Y386" s="42"/>
      <c r="Z386" s="42"/>
      <c r="AA386" s="42"/>
      <c r="AB386" s="42"/>
      <c r="AC386" s="42"/>
      <c r="AD386" s="42"/>
      <c r="AE386" s="42"/>
      <c r="AF386" s="42"/>
    </row>
    <row r="387" spans="1:32" x14ac:dyDescent="0.25">
      <c r="A387" s="36" t="s">
        <v>1297</v>
      </c>
      <c r="B387" s="35">
        <f>B379*100/$B$375</f>
        <v>1.1049723756906078</v>
      </c>
      <c r="K387" s="67"/>
      <c r="L387" s="67"/>
      <c r="M387" s="67"/>
      <c r="N387" s="67"/>
      <c r="O387" s="43"/>
      <c r="P387" s="42"/>
      <c r="Q387" s="43"/>
      <c r="R387" s="43"/>
      <c r="S387" s="43"/>
      <c r="T387" s="43"/>
      <c r="U387" s="42"/>
      <c r="V387" s="42"/>
      <c r="W387" s="42"/>
      <c r="X387" s="42"/>
      <c r="Y387" s="42"/>
      <c r="Z387" s="42"/>
      <c r="AA387" s="42"/>
      <c r="AB387" s="42"/>
      <c r="AC387" s="42"/>
      <c r="AD387" s="42"/>
      <c r="AE387" s="42"/>
      <c r="AF387" s="42"/>
    </row>
    <row r="388" spans="1:32" ht="16.5" thickBot="1" x14ac:dyDescent="0.3">
      <c r="A388" s="3" t="s">
        <v>313</v>
      </c>
      <c r="B388" s="37">
        <f>B382*100/$B$375</f>
        <v>1.9337016574585635</v>
      </c>
      <c r="K388" s="60"/>
      <c r="L388" s="61"/>
      <c r="M388" s="62"/>
      <c r="N388" s="63"/>
      <c r="O388" s="68"/>
      <c r="P388" s="42"/>
      <c r="Q388" s="43"/>
      <c r="R388" s="43"/>
      <c r="S388" s="43"/>
      <c r="T388" s="43"/>
      <c r="U388" s="42"/>
      <c r="V388" s="42"/>
      <c r="W388" s="42"/>
      <c r="X388" s="42"/>
      <c r="Y388" s="42"/>
      <c r="Z388" s="42"/>
      <c r="AA388" s="42"/>
      <c r="AB388" s="42"/>
      <c r="AC388" s="42"/>
      <c r="AD388" s="42"/>
      <c r="AE388" s="42"/>
      <c r="AF388" s="42"/>
    </row>
    <row r="389" spans="1:32" ht="15.75" x14ac:dyDescent="0.25">
      <c r="K389" s="60"/>
      <c r="L389" s="61"/>
      <c r="M389" s="62"/>
      <c r="N389" s="63"/>
      <c r="O389" s="68"/>
      <c r="P389" s="42"/>
      <c r="Q389" s="43"/>
      <c r="R389" s="43"/>
      <c r="S389" s="43"/>
      <c r="T389" s="43"/>
      <c r="U389" s="42"/>
      <c r="V389" s="42"/>
      <c r="W389" s="42"/>
      <c r="X389" s="42"/>
      <c r="Y389" s="42"/>
      <c r="Z389" s="42"/>
      <c r="AA389" s="42"/>
      <c r="AB389" s="42"/>
      <c r="AC389" s="42"/>
      <c r="AD389" s="42"/>
      <c r="AE389" s="42"/>
      <c r="AF389" s="42"/>
    </row>
    <row r="390" spans="1:32" ht="15.75" x14ac:dyDescent="0.25">
      <c r="K390" s="65"/>
      <c r="L390" s="61"/>
      <c r="M390" s="62"/>
      <c r="N390" s="63"/>
      <c r="O390" s="68"/>
      <c r="P390" s="42"/>
      <c r="Q390" s="43"/>
      <c r="R390" s="43"/>
      <c r="S390" s="43"/>
      <c r="T390" s="43"/>
      <c r="U390" s="42"/>
      <c r="V390" s="42"/>
      <c r="W390" s="42"/>
      <c r="X390" s="42"/>
      <c r="Y390" s="42"/>
      <c r="Z390" s="42"/>
      <c r="AA390" s="42"/>
      <c r="AB390" s="42"/>
      <c r="AC390" s="42"/>
      <c r="AD390" s="42"/>
      <c r="AE390" s="42"/>
      <c r="AF390" s="42"/>
    </row>
    <row r="391" spans="1:32" ht="15.75" x14ac:dyDescent="0.25">
      <c r="K391" s="65"/>
      <c r="L391" s="66"/>
      <c r="M391" s="62"/>
      <c r="N391" s="63"/>
      <c r="O391" s="68"/>
      <c r="P391" s="42"/>
      <c r="Q391" s="43"/>
      <c r="R391" s="43"/>
      <c r="S391" s="43"/>
      <c r="T391" s="43"/>
      <c r="U391" s="42"/>
      <c r="V391" s="42"/>
      <c r="W391" s="42"/>
      <c r="X391" s="42"/>
      <c r="Y391" s="42"/>
      <c r="Z391" s="42"/>
      <c r="AA391" s="42"/>
      <c r="AB391" s="42"/>
      <c r="AC391" s="42"/>
      <c r="AD391" s="42"/>
      <c r="AE391" s="42"/>
      <c r="AF391" s="42"/>
    </row>
    <row r="392" spans="1:32" ht="15.75" x14ac:dyDescent="0.25">
      <c r="K392" s="65"/>
      <c r="L392" s="66"/>
      <c r="M392" s="62"/>
      <c r="N392" s="43"/>
      <c r="O392" s="68"/>
      <c r="P392" s="42"/>
      <c r="Q392" s="43"/>
      <c r="R392" s="43"/>
      <c r="S392" s="43"/>
      <c r="T392" s="43"/>
      <c r="U392" s="42"/>
      <c r="V392" s="42"/>
      <c r="W392" s="42"/>
      <c r="X392" s="42"/>
      <c r="Y392" s="42"/>
      <c r="Z392" s="42"/>
      <c r="AA392" s="42"/>
      <c r="AB392" s="42"/>
      <c r="AC392" s="42"/>
      <c r="AD392" s="42"/>
      <c r="AE392" s="42"/>
      <c r="AF392" s="42"/>
    </row>
    <row r="393" spans="1:32" x14ac:dyDescent="0.25">
      <c r="K393" s="67"/>
      <c r="L393" s="67"/>
      <c r="M393" s="67"/>
      <c r="N393" s="67"/>
      <c r="O393" s="43"/>
      <c r="P393" s="42"/>
      <c r="Q393" s="43"/>
      <c r="R393" s="43"/>
      <c r="S393" s="43"/>
      <c r="T393" s="43"/>
      <c r="U393" s="42"/>
      <c r="V393" s="42"/>
      <c r="W393" s="42"/>
      <c r="X393" s="42"/>
      <c r="Y393" s="42"/>
      <c r="Z393" s="42"/>
      <c r="AA393" s="42"/>
      <c r="AB393" s="42"/>
      <c r="AC393" s="42"/>
      <c r="AD393" s="42"/>
      <c r="AE393" s="42"/>
      <c r="AF393" s="42"/>
    </row>
    <row r="394" spans="1:32" ht="15.75" x14ac:dyDescent="0.25">
      <c r="K394" s="60"/>
      <c r="L394" s="61"/>
      <c r="M394" s="62"/>
      <c r="N394" s="63"/>
      <c r="O394" s="68"/>
      <c r="P394" s="42"/>
      <c r="Q394" s="43"/>
      <c r="R394" s="43"/>
      <c r="S394" s="43"/>
      <c r="T394" s="43"/>
      <c r="U394" s="42"/>
      <c r="V394" s="42"/>
      <c r="W394" s="42"/>
      <c r="X394" s="42"/>
      <c r="Y394" s="42"/>
      <c r="Z394" s="42"/>
      <c r="AA394" s="42"/>
      <c r="AB394" s="42"/>
      <c r="AC394" s="42"/>
      <c r="AD394" s="42"/>
      <c r="AE394" s="42"/>
      <c r="AF394" s="42"/>
    </row>
    <row r="395" spans="1:32" ht="15.75" x14ac:dyDescent="0.25">
      <c r="K395" s="60"/>
      <c r="L395" s="61"/>
      <c r="M395" s="62"/>
      <c r="N395" s="63"/>
      <c r="O395" s="68"/>
      <c r="P395" s="42"/>
      <c r="Q395" s="43"/>
      <c r="R395" s="43"/>
      <c r="S395" s="43"/>
      <c r="T395" s="43"/>
      <c r="U395" s="42"/>
      <c r="V395" s="42"/>
      <c r="W395" s="42"/>
      <c r="X395" s="42"/>
      <c r="Y395" s="42"/>
      <c r="Z395" s="42"/>
      <c r="AA395" s="42"/>
      <c r="AB395" s="42"/>
      <c r="AC395" s="42"/>
      <c r="AD395" s="42"/>
      <c r="AE395" s="42"/>
      <c r="AF395" s="42"/>
    </row>
    <row r="396" spans="1:32" ht="15.75" x14ac:dyDescent="0.25">
      <c r="K396" s="65"/>
      <c r="L396" s="61"/>
      <c r="M396" s="62"/>
      <c r="N396" s="63"/>
      <c r="O396" s="68"/>
      <c r="P396" s="42"/>
      <c r="Q396" s="43"/>
      <c r="R396" s="43"/>
      <c r="S396" s="43"/>
      <c r="T396" s="43"/>
      <c r="U396" s="42"/>
      <c r="V396" s="42"/>
      <c r="W396" s="42"/>
      <c r="X396" s="42"/>
      <c r="Y396" s="42"/>
      <c r="Z396" s="42"/>
      <c r="AA396" s="42"/>
      <c r="AB396" s="42"/>
      <c r="AC396" s="42"/>
      <c r="AD396" s="42"/>
      <c r="AE396" s="42"/>
      <c r="AF396" s="42"/>
    </row>
    <row r="397" spans="1:32" ht="15.75" x14ac:dyDescent="0.25">
      <c r="K397" s="65"/>
      <c r="L397" s="66"/>
      <c r="M397" s="62"/>
      <c r="N397" s="63"/>
      <c r="O397" s="68"/>
      <c r="P397" s="42"/>
      <c r="Q397" s="43"/>
      <c r="R397" s="43"/>
      <c r="S397" s="43"/>
      <c r="T397" s="43"/>
      <c r="U397" s="42"/>
      <c r="V397" s="42"/>
      <c r="W397" s="42"/>
      <c r="X397" s="42"/>
      <c r="Y397" s="42"/>
      <c r="Z397" s="42"/>
      <c r="AA397" s="42"/>
      <c r="AB397" s="42"/>
      <c r="AC397" s="42"/>
      <c r="AD397" s="42"/>
      <c r="AE397" s="42"/>
      <c r="AF397" s="42"/>
    </row>
    <row r="398" spans="1:32" ht="15.75" x14ac:dyDescent="0.25">
      <c r="K398" s="65"/>
      <c r="L398" s="66"/>
      <c r="M398" s="62"/>
      <c r="N398" s="43"/>
      <c r="O398" s="68"/>
      <c r="P398" s="42"/>
      <c r="Q398" s="43"/>
      <c r="R398" s="43"/>
      <c r="S398" s="43"/>
      <c r="T398" s="43"/>
      <c r="U398" s="42"/>
      <c r="V398" s="42"/>
      <c r="W398" s="42"/>
      <c r="X398" s="42"/>
      <c r="Y398" s="42"/>
      <c r="Z398" s="42"/>
      <c r="AA398" s="42"/>
      <c r="AB398" s="42"/>
      <c r="AC398" s="42"/>
      <c r="AD398" s="42"/>
      <c r="AE398" s="42"/>
      <c r="AF398" s="42"/>
    </row>
    <row r="399" spans="1:32" x14ac:dyDescent="0.25">
      <c r="K399" s="67"/>
      <c r="L399" s="67"/>
      <c r="M399" s="67"/>
      <c r="N399" s="67"/>
      <c r="O399" s="43"/>
      <c r="P399" s="42"/>
      <c r="Q399" s="43"/>
      <c r="R399" s="43"/>
      <c r="S399" s="43"/>
      <c r="T399" s="43"/>
      <c r="U399" s="42"/>
      <c r="V399" s="42"/>
      <c r="W399" s="42"/>
      <c r="X399" s="42"/>
      <c r="Y399" s="42"/>
      <c r="Z399" s="42"/>
      <c r="AA399" s="42"/>
      <c r="AB399" s="42"/>
      <c r="AC399" s="42"/>
      <c r="AD399" s="42"/>
      <c r="AE399" s="42"/>
      <c r="AF399" s="42"/>
    </row>
    <row r="400" spans="1:32" ht="15.75" x14ac:dyDescent="0.25">
      <c r="K400" s="60"/>
      <c r="L400" s="61"/>
      <c r="M400" s="62"/>
      <c r="N400" s="63"/>
      <c r="O400" s="68"/>
      <c r="P400" s="42"/>
      <c r="Q400" s="43"/>
      <c r="R400" s="43"/>
      <c r="S400" s="43"/>
      <c r="T400" s="43"/>
      <c r="U400" s="42"/>
      <c r="V400" s="42"/>
      <c r="W400" s="42"/>
      <c r="X400" s="42"/>
      <c r="Y400" s="42"/>
      <c r="Z400" s="42"/>
      <c r="AA400" s="42"/>
      <c r="AB400" s="42"/>
      <c r="AC400" s="42"/>
      <c r="AD400" s="42"/>
      <c r="AE400" s="42"/>
      <c r="AF400" s="42"/>
    </row>
    <row r="401" spans="11:32" ht="15.75" x14ac:dyDescent="0.25">
      <c r="K401" s="60"/>
      <c r="L401" s="61"/>
      <c r="M401" s="62"/>
      <c r="N401" s="63"/>
      <c r="O401" s="68"/>
      <c r="P401" s="42"/>
      <c r="Q401" s="43"/>
      <c r="R401" s="43"/>
      <c r="S401" s="43"/>
      <c r="T401" s="43"/>
      <c r="U401" s="42"/>
      <c r="V401" s="42"/>
      <c r="W401" s="42"/>
      <c r="X401" s="42"/>
      <c r="Y401" s="42"/>
      <c r="Z401" s="42"/>
      <c r="AA401" s="42"/>
      <c r="AB401" s="42"/>
      <c r="AC401" s="42"/>
      <c r="AD401" s="42"/>
      <c r="AE401" s="42"/>
      <c r="AF401" s="42"/>
    </row>
    <row r="402" spans="11:32" ht="15.75" x14ac:dyDescent="0.25">
      <c r="K402" s="65"/>
      <c r="L402" s="61"/>
      <c r="M402" s="62"/>
      <c r="N402" s="63"/>
      <c r="O402" s="68"/>
      <c r="P402" s="42"/>
      <c r="Q402" s="43"/>
      <c r="R402" s="43"/>
      <c r="S402" s="43"/>
      <c r="T402" s="43"/>
      <c r="U402" s="42"/>
      <c r="V402" s="42"/>
      <c r="W402" s="42"/>
      <c r="X402" s="42"/>
      <c r="Y402" s="42"/>
      <c r="Z402" s="42"/>
      <c r="AA402" s="42"/>
      <c r="AB402" s="42"/>
      <c r="AC402" s="42"/>
      <c r="AD402" s="42"/>
      <c r="AE402" s="42"/>
      <c r="AF402" s="42"/>
    </row>
    <row r="403" spans="11:32" ht="15.75" x14ac:dyDescent="0.25">
      <c r="K403" s="65"/>
      <c r="L403" s="61"/>
      <c r="M403" s="62"/>
      <c r="N403" s="63"/>
      <c r="O403" s="68"/>
      <c r="P403" s="42"/>
      <c r="Q403" s="43"/>
      <c r="R403" s="43"/>
      <c r="S403" s="43"/>
      <c r="T403" s="43"/>
      <c r="U403" s="42"/>
      <c r="V403" s="42"/>
      <c r="W403" s="42"/>
      <c r="X403" s="42"/>
      <c r="Y403" s="42"/>
      <c r="Z403" s="42"/>
      <c r="AA403" s="42"/>
      <c r="AB403" s="42"/>
      <c r="AC403" s="42"/>
      <c r="AD403" s="42"/>
      <c r="AE403" s="42"/>
      <c r="AF403" s="42"/>
    </row>
    <row r="404" spans="11:32" ht="15.75" x14ac:dyDescent="0.25">
      <c r="K404" s="65"/>
      <c r="L404" s="66"/>
      <c r="M404" s="62"/>
      <c r="N404" s="43"/>
      <c r="O404" s="68"/>
      <c r="P404" s="42"/>
      <c r="Q404" s="43"/>
      <c r="R404" s="43"/>
      <c r="S404" s="43"/>
      <c r="T404" s="43"/>
      <c r="U404" s="42"/>
      <c r="V404" s="42"/>
      <c r="W404" s="42"/>
      <c r="X404" s="42"/>
      <c r="Y404" s="42"/>
      <c r="Z404" s="42"/>
      <c r="AA404" s="42"/>
      <c r="AB404" s="42"/>
      <c r="AC404" s="42"/>
      <c r="AD404" s="42"/>
      <c r="AE404" s="42"/>
      <c r="AF404" s="42"/>
    </row>
    <row r="405" spans="11:32" x14ac:dyDescent="0.25">
      <c r="K405" s="67"/>
      <c r="L405" s="67"/>
      <c r="M405" s="67"/>
      <c r="N405" s="67"/>
      <c r="O405" s="43"/>
      <c r="P405" s="42"/>
      <c r="Q405" s="43"/>
      <c r="R405" s="43"/>
      <c r="S405" s="43"/>
      <c r="T405" s="43"/>
      <c r="U405" s="42"/>
      <c r="V405" s="42"/>
      <c r="W405" s="42"/>
      <c r="X405" s="42"/>
      <c r="Y405" s="42"/>
      <c r="Z405" s="42"/>
      <c r="AA405" s="42"/>
      <c r="AB405" s="42"/>
      <c r="AC405" s="42"/>
      <c r="AD405" s="42"/>
      <c r="AE405" s="42"/>
      <c r="AF405" s="42"/>
    </row>
    <row r="406" spans="11:32" ht="15.75" x14ac:dyDescent="0.25">
      <c r="K406" s="60"/>
      <c r="L406" s="61"/>
      <c r="M406" s="62"/>
      <c r="N406" s="63"/>
      <c r="O406" s="68"/>
      <c r="P406" s="42"/>
      <c r="Q406" s="43"/>
      <c r="R406" s="43"/>
      <c r="S406" s="43"/>
      <c r="T406" s="43"/>
      <c r="U406" s="42"/>
      <c r="V406" s="42"/>
      <c r="W406" s="42"/>
      <c r="X406" s="42"/>
      <c r="Y406" s="42"/>
      <c r="Z406" s="42"/>
      <c r="AA406" s="42"/>
      <c r="AB406" s="42"/>
      <c r="AC406" s="42"/>
      <c r="AD406" s="42"/>
      <c r="AE406" s="42"/>
      <c r="AF406" s="42"/>
    </row>
    <row r="407" spans="11:32" ht="15.75" x14ac:dyDescent="0.25">
      <c r="K407" s="60"/>
      <c r="L407" s="61"/>
      <c r="M407" s="62"/>
      <c r="N407" s="63"/>
      <c r="O407" s="68"/>
      <c r="P407" s="42"/>
      <c r="Q407" s="43"/>
      <c r="R407" s="43"/>
      <c r="S407" s="43"/>
      <c r="T407" s="43"/>
      <c r="U407" s="42"/>
      <c r="V407" s="42"/>
      <c r="W407" s="42"/>
      <c r="X407" s="42"/>
      <c r="Y407" s="42"/>
      <c r="Z407" s="42"/>
      <c r="AA407" s="42"/>
      <c r="AB407" s="42"/>
      <c r="AC407" s="42"/>
      <c r="AD407" s="42"/>
      <c r="AE407" s="42"/>
      <c r="AF407" s="42"/>
    </row>
    <row r="408" spans="11:32" ht="15.75" x14ac:dyDescent="0.25">
      <c r="K408" s="65"/>
      <c r="L408" s="61"/>
      <c r="M408" s="62"/>
      <c r="N408" s="63"/>
      <c r="O408" s="68"/>
      <c r="P408" s="42"/>
      <c r="Q408" s="43"/>
      <c r="R408" s="43"/>
      <c r="S408" s="43"/>
      <c r="T408" s="43"/>
      <c r="U408" s="42"/>
      <c r="V408" s="42"/>
      <c r="W408" s="42"/>
      <c r="X408" s="42"/>
      <c r="Y408" s="42"/>
      <c r="Z408" s="42"/>
      <c r="AA408" s="42"/>
      <c r="AB408" s="42"/>
      <c r="AC408" s="42"/>
      <c r="AD408" s="42"/>
      <c r="AE408" s="42"/>
      <c r="AF408" s="42"/>
    </row>
    <row r="409" spans="11:32" ht="15.75" x14ac:dyDescent="0.25">
      <c r="K409" s="65"/>
      <c r="L409" s="66"/>
      <c r="M409" s="62"/>
      <c r="N409" s="63"/>
      <c r="O409" s="68"/>
      <c r="P409" s="42"/>
      <c r="Q409" s="43"/>
      <c r="R409" s="43"/>
      <c r="S409" s="43"/>
      <c r="T409" s="43"/>
      <c r="U409" s="42"/>
      <c r="V409" s="42"/>
      <c r="W409" s="42"/>
      <c r="X409" s="42"/>
      <c r="Y409" s="42"/>
      <c r="Z409" s="42"/>
      <c r="AA409" s="42"/>
      <c r="AB409" s="42"/>
      <c r="AC409" s="42"/>
      <c r="AD409" s="42"/>
      <c r="AE409" s="42"/>
      <c r="AF409" s="42"/>
    </row>
    <row r="410" spans="11:32" ht="15.75" x14ac:dyDescent="0.25">
      <c r="K410" s="65"/>
      <c r="L410" s="66"/>
      <c r="M410" s="62"/>
      <c r="N410" s="43"/>
      <c r="O410" s="68"/>
      <c r="P410" s="42"/>
      <c r="Q410" s="43"/>
      <c r="R410" s="43"/>
      <c r="S410" s="43"/>
      <c r="T410" s="43"/>
      <c r="U410" s="42"/>
      <c r="V410" s="42"/>
      <c r="W410" s="42"/>
      <c r="X410" s="42"/>
      <c r="Y410" s="42"/>
      <c r="Z410" s="42"/>
      <c r="AA410" s="42"/>
      <c r="AB410" s="42"/>
      <c r="AC410" s="42"/>
      <c r="AD410" s="42"/>
      <c r="AE410" s="42"/>
      <c r="AF410" s="42"/>
    </row>
    <row r="411" spans="11:32" x14ac:dyDescent="0.25">
      <c r="K411" s="67"/>
      <c r="L411" s="67"/>
      <c r="M411" s="67"/>
      <c r="N411" s="67"/>
      <c r="O411" s="43"/>
      <c r="P411" s="42"/>
      <c r="Q411" s="43"/>
      <c r="R411" s="43"/>
      <c r="S411" s="43"/>
      <c r="T411" s="43"/>
      <c r="U411" s="42"/>
      <c r="V411" s="42"/>
      <c r="W411" s="42"/>
      <c r="X411" s="42"/>
      <c r="Y411" s="42"/>
      <c r="Z411" s="42"/>
      <c r="AA411" s="42"/>
      <c r="AB411" s="42"/>
      <c r="AC411" s="42"/>
      <c r="AD411" s="42"/>
      <c r="AE411" s="42"/>
      <c r="AF411" s="42"/>
    </row>
    <row r="412" spans="11:32" ht="15.75" x14ac:dyDescent="0.25">
      <c r="K412" s="60"/>
      <c r="L412" s="61"/>
      <c r="M412" s="62"/>
      <c r="N412" s="63"/>
      <c r="O412" s="68"/>
      <c r="P412" s="42"/>
      <c r="Q412" s="43"/>
      <c r="R412" s="43"/>
      <c r="S412" s="43"/>
      <c r="T412" s="43"/>
      <c r="U412" s="42"/>
      <c r="V412" s="42"/>
      <c r="W412" s="42"/>
      <c r="X412" s="42"/>
      <c r="Y412" s="42"/>
      <c r="Z412" s="42"/>
      <c r="AA412" s="42"/>
      <c r="AB412" s="42"/>
      <c r="AC412" s="42"/>
      <c r="AD412" s="42"/>
      <c r="AE412" s="42"/>
      <c r="AF412" s="42"/>
    </row>
    <row r="413" spans="11:32" ht="15.75" x14ac:dyDescent="0.25">
      <c r="K413" s="60"/>
      <c r="L413" s="61"/>
      <c r="M413" s="62"/>
      <c r="N413" s="63"/>
      <c r="O413" s="68"/>
      <c r="P413" s="42"/>
      <c r="Q413" s="43"/>
      <c r="R413" s="43"/>
      <c r="S413" s="43"/>
      <c r="T413" s="43"/>
      <c r="U413" s="42"/>
      <c r="V413" s="42"/>
      <c r="W413" s="42"/>
      <c r="X413" s="42"/>
      <c r="Y413" s="42"/>
      <c r="Z413" s="42"/>
      <c r="AA413" s="42"/>
      <c r="AB413" s="42"/>
      <c r="AC413" s="42"/>
      <c r="AD413" s="42"/>
      <c r="AE413" s="42"/>
      <c r="AF413" s="42"/>
    </row>
    <row r="414" spans="11:32" ht="15.75" x14ac:dyDescent="0.25">
      <c r="K414" s="65"/>
      <c r="L414" s="61"/>
      <c r="M414" s="62"/>
      <c r="N414" s="63"/>
      <c r="O414" s="68"/>
      <c r="P414" s="42"/>
      <c r="Q414" s="43"/>
      <c r="R414" s="43"/>
      <c r="S414" s="43"/>
      <c r="T414" s="43"/>
      <c r="U414" s="42"/>
      <c r="V414" s="42"/>
      <c r="W414" s="42"/>
      <c r="X414" s="42"/>
      <c r="Y414" s="42"/>
      <c r="Z414" s="42"/>
      <c r="AA414" s="42"/>
      <c r="AB414" s="42"/>
      <c r="AC414" s="42"/>
      <c r="AD414" s="42"/>
      <c r="AE414" s="42"/>
      <c r="AF414" s="42"/>
    </row>
    <row r="415" spans="11:32" ht="15.75" x14ac:dyDescent="0.25">
      <c r="K415" s="65"/>
      <c r="L415" s="66"/>
      <c r="M415" s="62"/>
      <c r="N415" s="63"/>
      <c r="O415" s="68"/>
      <c r="P415" s="42"/>
      <c r="Q415" s="43"/>
      <c r="R415" s="43"/>
      <c r="S415" s="43"/>
      <c r="T415" s="43"/>
      <c r="U415" s="42"/>
      <c r="V415" s="42"/>
      <c r="W415" s="42"/>
      <c r="X415" s="42"/>
      <c r="Y415" s="42"/>
      <c r="Z415" s="42"/>
      <c r="AA415" s="42"/>
      <c r="AB415" s="42"/>
      <c r="AC415" s="42"/>
      <c r="AD415" s="42"/>
      <c r="AE415" s="42"/>
      <c r="AF415" s="42"/>
    </row>
    <row r="416" spans="11:32" ht="15.75" x14ac:dyDescent="0.25">
      <c r="K416" s="65"/>
      <c r="L416" s="66"/>
      <c r="M416" s="62"/>
      <c r="N416" s="43"/>
      <c r="O416" s="68"/>
      <c r="P416" s="42"/>
      <c r="Q416" s="43"/>
      <c r="R416" s="43"/>
      <c r="S416" s="43"/>
      <c r="T416" s="43"/>
      <c r="U416" s="42"/>
      <c r="V416" s="42"/>
      <c r="W416" s="42"/>
      <c r="X416" s="42"/>
      <c r="Y416" s="42"/>
      <c r="Z416" s="42"/>
      <c r="AA416" s="42"/>
      <c r="AB416" s="42"/>
      <c r="AC416" s="42"/>
      <c r="AD416" s="42"/>
      <c r="AE416" s="42"/>
      <c r="AF416" s="42"/>
    </row>
    <row r="417" spans="11:32" x14ac:dyDescent="0.25">
      <c r="K417" s="67"/>
      <c r="L417" s="67"/>
      <c r="M417" s="67"/>
      <c r="N417" s="67"/>
      <c r="O417" s="43"/>
      <c r="P417" s="42"/>
      <c r="Q417" s="43"/>
      <c r="R417" s="43"/>
      <c r="S417" s="43"/>
      <c r="T417" s="43"/>
      <c r="U417" s="42"/>
      <c r="V417" s="42"/>
      <c r="W417" s="42"/>
      <c r="X417" s="42"/>
      <c r="Y417" s="42"/>
      <c r="Z417" s="42"/>
      <c r="AA417" s="42"/>
      <c r="AB417" s="42"/>
      <c r="AC417" s="42"/>
      <c r="AD417" s="42"/>
      <c r="AE417" s="42"/>
      <c r="AF417" s="42"/>
    </row>
    <row r="418" spans="11:32" ht="15.75" x14ac:dyDescent="0.25">
      <c r="K418" s="60"/>
      <c r="L418" s="61"/>
      <c r="M418" s="62"/>
      <c r="N418" s="63"/>
      <c r="O418" s="68"/>
      <c r="P418" s="42"/>
      <c r="Q418" s="43"/>
      <c r="R418" s="43"/>
      <c r="S418" s="43"/>
      <c r="T418" s="43"/>
      <c r="U418" s="42"/>
      <c r="V418" s="42"/>
      <c r="W418" s="42"/>
      <c r="X418" s="42"/>
      <c r="Y418" s="42"/>
      <c r="Z418" s="42"/>
      <c r="AA418" s="42"/>
      <c r="AB418" s="42"/>
      <c r="AC418" s="42"/>
      <c r="AD418" s="42"/>
      <c r="AE418" s="42"/>
      <c r="AF418" s="42"/>
    </row>
    <row r="419" spans="11:32" ht="15.75" x14ac:dyDescent="0.25">
      <c r="K419" s="60"/>
      <c r="L419" s="61"/>
      <c r="M419" s="62"/>
      <c r="N419" s="63"/>
      <c r="O419" s="68"/>
      <c r="P419" s="42"/>
      <c r="Q419" s="43"/>
      <c r="R419" s="43"/>
      <c r="S419" s="43"/>
      <c r="T419" s="43"/>
      <c r="U419" s="42"/>
      <c r="V419" s="42"/>
      <c r="W419" s="42"/>
      <c r="X419" s="42"/>
      <c r="Y419" s="42"/>
      <c r="Z419" s="42"/>
      <c r="AA419" s="42"/>
      <c r="AB419" s="42"/>
      <c r="AC419" s="42"/>
      <c r="AD419" s="42"/>
      <c r="AE419" s="42"/>
      <c r="AF419" s="42"/>
    </row>
    <row r="420" spans="11:32" ht="15.75" x14ac:dyDescent="0.25">
      <c r="K420" s="65"/>
      <c r="L420" s="61"/>
      <c r="M420" s="62"/>
      <c r="N420" s="63"/>
      <c r="O420" s="68"/>
      <c r="P420" s="42"/>
      <c r="Q420" s="43"/>
      <c r="R420" s="43"/>
      <c r="S420" s="43"/>
      <c r="T420" s="43"/>
      <c r="U420" s="42"/>
      <c r="V420" s="42"/>
      <c r="W420" s="42"/>
      <c r="X420" s="42"/>
      <c r="Y420" s="42"/>
      <c r="Z420" s="42"/>
      <c r="AA420" s="42"/>
      <c r="AB420" s="42"/>
      <c r="AC420" s="42"/>
      <c r="AD420" s="42"/>
      <c r="AE420" s="42"/>
      <c r="AF420" s="42"/>
    </row>
    <row r="421" spans="11:32" ht="15.75" x14ac:dyDescent="0.25">
      <c r="K421" s="65"/>
      <c r="L421" s="66"/>
      <c r="M421" s="62"/>
      <c r="N421" s="63"/>
      <c r="O421" s="68"/>
      <c r="P421" s="42"/>
      <c r="Q421" s="43"/>
      <c r="R421" s="43"/>
      <c r="S421" s="43"/>
      <c r="T421" s="43"/>
      <c r="U421" s="42"/>
      <c r="V421" s="42"/>
      <c r="W421" s="42"/>
      <c r="X421" s="42"/>
      <c r="Y421" s="42"/>
      <c r="Z421" s="42"/>
      <c r="AA421" s="42"/>
      <c r="AB421" s="42"/>
      <c r="AC421" s="42"/>
      <c r="AD421" s="42"/>
      <c r="AE421" s="42"/>
      <c r="AF421" s="42"/>
    </row>
    <row r="422" spans="11:32" ht="15.75" x14ac:dyDescent="0.25">
      <c r="K422" s="65"/>
      <c r="L422" s="66"/>
      <c r="M422" s="62"/>
      <c r="N422" s="63"/>
      <c r="O422" s="68"/>
      <c r="P422" s="42"/>
      <c r="Q422" s="43"/>
      <c r="R422" s="43"/>
      <c r="S422" s="43"/>
      <c r="T422" s="43"/>
      <c r="U422" s="42"/>
      <c r="V422" s="42"/>
      <c r="W422" s="42"/>
      <c r="X422" s="42"/>
      <c r="Y422" s="42"/>
      <c r="Z422" s="42"/>
      <c r="AA422" s="42"/>
      <c r="AB422" s="42"/>
      <c r="AC422" s="42"/>
      <c r="AD422" s="42"/>
      <c r="AE422" s="42"/>
      <c r="AF422" s="42"/>
    </row>
  </sheetData>
  <autoFilter ref="A1:AL363" xr:uid="{85472D37-39B3-4B67-B146-F109096885C4}"/>
  <mergeCells count="26">
    <mergeCell ref="K367:L367"/>
    <mergeCell ref="K399:N399"/>
    <mergeCell ref="K405:N405"/>
    <mergeCell ref="K411:N411"/>
    <mergeCell ref="Z374:AA374"/>
    <mergeCell ref="AB374:AC374"/>
    <mergeCell ref="T374:U374"/>
    <mergeCell ref="V374:W374"/>
    <mergeCell ref="X374:Y374"/>
    <mergeCell ref="M367:AF367"/>
    <mergeCell ref="AD374:AE374"/>
    <mergeCell ref="P374:Q374"/>
    <mergeCell ref="R374:S374"/>
    <mergeCell ref="O418:O422"/>
    <mergeCell ref="K375:O375"/>
    <mergeCell ref="K417:N417"/>
    <mergeCell ref="O376:O380"/>
    <mergeCell ref="O382:O386"/>
    <mergeCell ref="O388:O392"/>
    <mergeCell ref="O394:O398"/>
    <mergeCell ref="O400:O404"/>
    <mergeCell ref="O406:O410"/>
    <mergeCell ref="O412:O416"/>
    <mergeCell ref="K381:N381"/>
    <mergeCell ref="K387:N387"/>
    <mergeCell ref="K393:N393"/>
  </mergeCells>
  <hyperlinks>
    <hyperlink ref="AC279" r:id="rId1" xr:uid="{3DBC5312-1E74-4E1C-AB16-78228224E168}"/>
    <hyperlink ref="AC4" r:id="rId2" xr:uid="{CF494B26-96C3-4FC0-AE93-25B1454D410D}"/>
    <hyperlink ref="AC15" r:id="rId3" xr:uid="{6F376F1E-DDD6-4BC0-8001-ADB80C25B941}"/>
    <hyperlink ref="AC270" r:id="rId4" xr:uid="{D3CCFE21-126B-44E0-A450-AF5FB7804AEB}"/>
    <hyperlink ref="AC90:AC93" r:id="rId5" display="https://www.ener2crowd.com/it/progetti/dettaglio/185-comunitagrave-energetica-4?_gl=1*1ws13mq*_up*MQ..&amp;gclid=CjwKCAjw-O6zBhASEiwAOHeGxbbww6yrUwosi5Q1mrnLA4PSrmOLG9F0a0I-4rs0Y3uo81NKhrIorhoCumMQAvD_BwE; personal communication with Ener2Crowd" xr:uid="{848A0430-7935-4DEB-89FF-1FD0DCAE9C03}"/>
    <hyperlink ref="AC114" r:id="rId6" display="https://esg.nexteconomia.org/utente/cer-di-sassofeltrio/" xr:uid="{46F9E5A2-9029-4DF0-A5BA-FD074B8F45EF}"/>
    <hyperlink ref="AC166" r:id="rId7" display="http://95.110.227.90/rosetocomunitaenergetica/Contenuto.asp?pg=1&amp;ipg=5&amp;lg=1" xr:uid="{E05E700A-8A43-41A9-9749-CA59AA81150D}"/>
    <hyperlink ref="AC236" r:id="rId8" display="https://www.enostra.it/nasce-la-comunita-energetica-di-santeramo-in-colle-ba/" xr:uid="{B9708473-EFC8-48EC-A155-952B6605DE88}"/>
    <hyperlink ref="AC139" r:id="rId9" display="https://www.enostra.it/nasce-la-cer-bolenergia-un-esempio-di-solidarieta-tra-cittadini/" xr:uid="{54F19075-7CD5-4A54-A1D2-372F6D33B419}"/>
    <hyperlink ref="AC290" r:id="rId10" xr:uid="{0C0075D4-AF32-4903-95B3-98F4E91B3335}"/>
    <hyperlink ref="AC289" r:id="rId11" xr:uid="{28786CEA-F21B-4556-BFB0-F0A893754815}"/>
    <hyperlink ref="AC221" r:id="rId12" xr:uid="{4BBAF5E4-F56B-427C-93ED-2840CBB4865A}"/>
    <hyperlink ref="AC292" r:id="rId13" xr:uid="{434D1776-557C-4E72-B198-DAE4542518A6}"/>
    <hyperlink ref="AC190" r:id="rId14" display="https://esg.nexteconomia.org/utente/ezio-chiaramello/" xr:uid="{21286CC4-8EB0-4E6B-856B-28EFC3C0C11A}"/>
    <hyperlink ref="AC251" r:id="rId15" display="https://esg.nexteconomia.org/utente/cerbermf/" xr:uid="{52A0ACDA-FB45-4345-967F-9D0F66656DF1}"/>
    <hyperlink ref="AC115" r:id="rId16" xr:uid="{7B485A4D-F1B2-46EB-8620-D4C1AF4FF476}"/>
    <hyperlink ref="AB239" r:id="rId17" display="https://rete-ries.it/soci/notizie-soci/co-energia-un-anno-di-incontri-sulle-cers/" xr:uid="{A3371114-92F5-49A4-8A01-B38D57CDA9CA}"/>
    <hyperlink ref="AC187" r:id="rId18" xr:uid="{DEBDD19F-F5E8-4951-ACFC-E86A2FCA1768}"/>
    <hyperlink ref="AC237" r:id="rId19" xr:uid="{6D3D3DBD-9577-466F-B078-30833761EC3A}"/>
    <hyperlink ref="AC260" r:id="rId20" display="https://www.rse-web.it/wp-content/uploads/2024/09/Elaborazione-del-Modello-di-Piano-dazione-locale-per-le-CER-del-Modello-di-Piano-organizzativo-di-comunita-e-integrazione-della-risorsa-geotermica.pdf" xr:uid="{5B8D9B78-65D9-4E91-83C6-898DA1ECBD10}"/>
    <hyperlink ref="AC110" r:id="rId21" display="https://esg.nexteconomia.org/utente/cersrinnovaanguillara/" xr:uid="{3FB240D5-9743-4457-B47A-BF5F454AE256}"/>
    <hyperlink ref="AC230" r:id="rId22" display="https://esg.nexteconomia.org/utente/sun-fai-cers/; GSE portal" xr:uid="{A6497865-EF60-4C76-A683-51C48E1C74EB}"/>
    <hyperlink ref="AC194" r:id="rId23" xr:uid="{BBE6EA89-4875-48E7-A41F-7FF468295595}"/>
    <hyperlink ref="AC232" r:id="rId24" display="https://www.gse.it/servizi-per-te/autoconsumo/mappa-interattiva-delle-cabine-primarie; v" xr:uid="{B1D07555-F7F8-43B2-8CE9-4832CADE286E}"/>
    <hyperlink ref="AC53" r:id="rId25" xr:uid="{DFE14C6F-31FC-4073-B612-618465F85170}"/>
    <hyperlink ref="AC269" r:id="rId26" display="https://www.comune.palermo.it/palermo-informa-dettaglio.php?id=37494&amp;tp=1#" xr:uid="{721A66F3-CDEA-417D-9598-EFA214C8C7B9}"/>
    <hyperlink ref="AC343" r:id="rId27" xr:uid="{AB7B2FCB-1911-4157-B776-531E4E24AD36}"/>
    <hyperlink ref="AC201" r:id="rId28" display="https://cer-amica.webnode.it/" xr:uid="{F16E0DA6-D505-4E58-B6CF-6B64919594A6}"/>
    <hyperlink ref="AC177" r:id="rId29" display="https://lozza.comunitaenergeticarinnovabile.it/; " xr:uid="{7B660519-BD9E-4168-A15F-B05ACD01B218}"/>
    <hyperlink ref="AC176" r:id="rId30" display="https://cercami.info/" xr:uid="{80590CB7-B705-468B-939F-588181EF3466}"/>
    <hyperlink ref="AC244" r:id="rId31" xr:uid="{CCD2533E-7A8A-4708-AA47-69E94F48077A}"/>
    <hyperlink ref="AC51" r:id="rId32" xr:uid="{185FDACA-F99B-4D0D-9847-2252C1EAB787}"/>
    <hyperlink ref="AC141" r:id="rId33" xr:uid="{103D6D74-93B8-403F-9C84-F37C5494128E}"/>
    <hyperlink ref="AC135" r:id="rId34" display="https://www.cer-anpci.it/cer-ternate/?" xr:uid="{CF42702D-4828-43B4-833D-85D7CA8AF8C1}"/>
    <hyperlink ref="AC185" r:id="rId35" display="https://www.unioncamere.gov.it/sistema-camerale/news-dal-sistema-camerale/varese-costituita-la-comunita-energetica-rinnovabile-di-malpensafiere?" xr:uid="{32547F8B-4DA4-4976-B83D-A2028C4B9907}"/>
    <hyperlink ref="AC347" r:id="rId36" location="google_vignette" display="https://www.luinonotizie.it/2024/09/24/valceresio-nasce-la-comunita-energetica-delle-5-vette/492620?utm_source=chatgpt.com#google_vignette" xr:uid="{B30271B4-0D7A-4E41-BF6F-F26CE09FA860}"/>
    <hyperlink ref="AC234" r:id="rId37" xr:uid="{EA9946F3-366C-4109-B400-872067D60040}"/>
    <hyperlink ref="AC220" r:id="rId38" display="https://www.ciaocomo.it/2024/12/06/nasce-la-cers-del-lario-ets-la-comunita-energetica-di-11-comuni-e-4-imprese/291876/?utm_source=chatgpt.com" xr:uid="{6348E61E-46E3-459F-A0F3-B9A1585AD362}"/>
    <hyperlink ref="AC215" r:id="rId39" xr:uid="{BB9B5044-5BC9-46B9-BA5E-722DCE67CC13}"/>
    <hyperlink ref="AC16" r:id="rId40" display="https://www.greenflex.com/it/progetti/referenze/impianto-fotovoltaico-chiavi-in-mano-edificio16/" xr:uid="{21975034-02E2-4650-940B-A65234D44B3D}"/>
    <hyperlink ref="AC349" r:id="rId41" xr:uid="{161BA0D9-D353-4AE4-A7D2-3C751B0BDC24}"/>
    <hyperlink ref="AC157" r:id="rId42" xr:uid="{E1CE2594-0D12-4D9B-AD78-AB7ACF5DB0DB}"/>
    <hyperlink ref="AC140" r:id="rId43" xr:uid="{5B4972C6-96A9-4DFF-8BB1-F480AD19CD13}"/>
    <hyperlink ref="AC158" r:id="rId44" xr:uid="{9C248E09-D29C-4A35-AD51-A4992F66CDE0}"/>
    <hyperlink ref="AC167" r:id="rId45" xr:uid="{535F9108-884F-4E55-9A17-918BEB3B87B6}"/>
    <hyperlink ref="AC112" r:id="rId46" display="https://www.lombardia.confcooperative.it/Dettaglio/ArtMID/523/ArticleID/4932/Parte-la-CER-di-Ronco-Briantino?utm_source=chatgpt.com" xr:uid="{DD5E3300-E9F0-4DA8-BD4B-CA21A795B901}"/>
    <hyperlink ref="AC142" r:id="rId47" xr:uid="{CFD65C97-7BBD-4B83-BD0F-AF403BE85DA7}"/>
    <hyperlink ref="AC99" r:id="rId48" xr:uid="{E38F6A8C-186D-422B-9407-E3E727282DD1}"/>
    <hyperlink ref="AC268" r:id="rId49" display="https://www.legambientelodi.it/aderire-alla-cers-comunita-solare-lodi-e-piacenza/?utm_source=chatgpt.com" xr:uid="{F7093AC5-76F6-4575-B3FC-F479E82CC523}"/>
    <hyperlink ref="AC216" r:id="rId50" xr:uid="{3F286AB1-3B98-4652-9911-1A897AFBCA8B}"/>
    <hyperlink ref="AC214" r:id="rId51" xr:uid="{550D6F26-B20A-491B-9DF0-41F489B74BDF}"/>
    <hyperlink ref="AC104" r:id="rId52" xr:uid="{E8179DDC-ACAD-4575-BD42-8A18FC3717F4}"/>
    <hyperlink ref="AC79" r:id="rId53" xr:uid="{A656A792-907E-4AFA-AC41-C8F8B6EFFAA0}"/>
    <hyperlink ref="AC175" r:id="rId54" xr:uid="{F7483C65-3FB5-4278-801E-5BAC16618245}"/>
    <hyperlink ref="AC105" r:id="rId55" display="https://www.sorgenia.it/content/approvato-il-progetto-la-comunita-energetica-di-casalpusterlengo?" xr:uid="{AE62ADF3-4C10-4976-A641-B5D322C28217}"/>
    <hyperlink ref="AC350" r:id="rId56" xr:uid="{E0DAA6A4-4A1F-4BED-BA88-A6ED807FAE7E}"/>
    <hyperlink ref="AC72" r:id="rId57" xr:uid="{29D4E61D-802C-42F7-B78C-9960A035323E}"/>
    <hyperlink ref="AC80" r:id="rId58" xr:uid="{AAE4F4CA-0756-4905-80C2-EEF0298D1D82}"/>
    <hyperlink ref="AC92" r:id="rId59" xr:uid="{676B0F97-9447-45C0-A046-9E08AC4D896C}"/>
    <hyperlink ref="AC127" r:id="rId60" xr:uid="{A43BFD46-E325-45A7-AD63-BA3CA0E2E7EF}"/>
    <hyperlink ref="AC82" r:id="rId61" xr:uid="{42971EE6-9B2D-42A2-B150-33FE0561D62B}"/>
    <hyperlink ref="AC351" r:id="rId62" xr:uid="{8B8AF17B-FCC9-4B46-9513-6C713A68713A}"/>
    <hyperlink ref="AC160" r:id="rId63" display="https://www.cer-anpci.it/wp-content/uploads/2024/02/Palazzolo-SullOglio_2023_CER-Studio-di-Fattibilita.pdf?" xr:uid="{D84C9FBC-BE9C-4CAD-8E0F-C1B3DF35ABE3}"/>
    <hyperlink ref="AC52" r:id="rId64" xr:uid="{814EC9CD-C98B-419A-A10A-F996523C1192}"/>
    <hyperlink ref="AC352" r:id="rId65" xr:uid="{3CF4BEFA-1277-45EA-8E68-2FB774D10625}"/>
    <hyperlink ref="AC192" r:id="rId66" xr:uid="{53327BCF-E04C-4A21-AABD-122DE082488B}"/>
    <hyperlink ref="AC217" r:id="rId67" xr:uid="{E46978E8-B5EB-444E-ACC0-79ECB768F394}"/>
    <hyperlink ref="AC91" r:id="rId68" display="https://cremonasera.it/cronaca/nasce-a-gussola-la-prima-comunit-energetica-rinnovabile-fondazione-cer-top-energie-ets-coinvolti-6-comuni-5-parrocchie-e-3-enti-del-terzo-settore-gi-pronti-altri-5-progetti" xr:uid="{E77933D0-AF97-494F-8E12-75D21A9B1F87}"/>
    <hyperlink ref="AC69" r:id="rId69" xr:uid="{47419C2F-2F90-4E95-8323-A747D1041CD5}"/>
    <hyperlink ref="AC63" r:id="rId70" xr:uid="{97A9E011-BBA9-46CB-B8D5-1FF58A99464F}"/>
    <hyperlink ref="AC32" r:id="rId71" xr:uid="{023F6D35-F55B-4CBF-933C-59595313724E}"/>
    <hyperlink ref="AC31" r:id="rId72" xr:uid="{485984A0-AE7F-4BAF-B130-791E0643D5D6}"/>
    <hyperlink ref="AC286" r:id="rId73" display="https://www.cerpiugreen.it/" xr:uid="{606479EB-8504-43D4-99EF-DFAEF7284039}"/>
    <hyperlink ref="AC131" r:id="rId74" xr:uid="{40B3B92A-75DA-4ECB-9076-BFFC5D367BFF}"/>
    <hyperlink ref="AC78" r:id="rId75" xr:uid="{3752C5DB-11FD-4D16-B2B7-22AF6DDCFB7C}"/>
    <hyperlink ref="AC152" r:id="rId76" xr:uid="{C18903D9-E44C-4393-9785-136A420C5630}"/>
    <hyperlink ref="AC196" r:id="rId77" xr:uid="{40FC96AE-8946-4160-93DC-2D079E8DD3AB}"/>
    <hyperlink ref="AC113" r:id="rId78" xr:uid="{9306B84D-C469-434B-8363-8708FDFEAA67}"/>
    <hyperlink ref="AC29" r:id="rId79" xr:uid="{1133157D-512F-4B19-8A68-ABAD511B8596}"/>
    <hyperlink ref="AC95" r:id="rId80" display="https://sinergiecondivise.it/comunita-energetiche-rinnovabili/" xr:uid="{E2A112B1-32B3-4754-A6CB-36DB4A2E7A58}"/>
    <hyperlink ref="AC259" r:id="rId81" xr:uid="{141C29E8-AEC4-403A-B7B6-11168C334A4B}"/>
    <hyperlink ref="AC165" r:id="rId82" xr:uid="{6FE81C7C-25B8-4236-A401-0BF076348C2A}"/>
    <hyperlink ref="AC144" r:id="rId83" xr:uid="{DF926880-B480-4781-91EA-89B97B1D031C}"/>
    <hyperlink ref="AC156" r:id="rId84" xr:uid="{968FD4B8-F89D-4702-B44C-6F96C73EE3EB}"/>
    <hyperlink ref="AC291" r:id="rId85" xr:uid="{29953172-5282-4299-AAC0-A97ED3E8C628}"/>
    <hyperlink ref="AC252" r:id="rId86" xr:uid="{1AA015A5-EC47-44A7-AA56-502591A35998}"/>
    <hyperlink ref="AC231" r:id="rId87" xr:uid="{DCDD6CA3-C215-4659-9397-F22B3E697086}"/>
  </hyperlinks>
  <pageMargins left="0.7" right="0.7" top="0.75" bottom="0.75" header="0.3" footer="0.3"/>
  <pageSetup paperSize="9" orientation="portrait" verticalDpi="0" r:id="rId8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C74E5-31E9-492A-85CD-7FF589FC500C}">
  <sheetPr codeName="Sheet7"/>
  <dimension ref="A1:X17"/>
  <sheetViews>
    <sheetView zoomScale="80" zoomScaleNormal="80" workbookViewId="0">
      <selection activeCell="F3" sqref="F3"/>
    </sheetView>
  </sheetViews>
  <sheetFormatPr defaultRowHeight="15" x14ac:dyDescent="0.25"/>
  <sheetData>
    <row r="1" spans="1:24" s="16" customFormat="1" ht="33.75" customHeight="1" x14ac:dyDescent="0.2">
      <c r="A1" s="11" t="s">
        <v>0</v>
      </c>
      <c r="B1" s="11" t="s">
        <v>1</v>
      </c>
      <c r="C1" s="12" t="s">
        <v>311</v>
      </c>
      <c r="D1" s="13" t="s">
        <v>412</v>
      </c>
      <c r="E1" s="13" t="s">
        <v>374</v>
      </c>
      <c r="F1" s="12" t="s">
        <v>505</v>
      </c>
      <c r="G1" s="13" t="s">
        <v>24</v>
      </c>
      <c r="H1" s="11" t="s">
        <v>128</v>
      </c>
      <c r="I1" s="13" t="s">
        <v>375</v>
      </c>
      <c r="J1" s="14" t="s">
        <v>83</v>
      </c>
      <c r="K1" s="14" t="s">
        <v>376</v>
      </c>
      <c r="L1" s="14" t="s">
        <v>377</v>
      </c>
      <c r="M1" s="14" t="s">
        <v>466</v>
      </c>
      <c r="N1" s="14" t="s">
        <v>378</v>
      </c>
      <c r="O1" s="15" t="s">
        <v>457</v>
      </c>
      <c r="P1" s="13" t="s">
        <v>4</v>
      </c>
      <c r="Q1" s="13" t="s">
        <v>249</v>
      </c>
      <c r="R1" s="13" t="s">
        <v>252</v>
      </c>
      <c r="S1" s="13" t="s">
        <v>2</v>
      </c>
      <c r="T1" s="13" t="s">
        <v>3</v>
      </c>
      <c r="U1" s="13" t="s">
        <v>6</v>
      </c>
      <c r="V1" s="11" t="s">
        <v>38</v>
      </c>
      <c r="W1" s="11" t="s">
        <v>5</v>
      </c>
      <c r="X1" s="13" t="s">
        <v>305</v>
      </c>
    </row>
    <row r="2" spans="1:24" ht="77.25" x14ac:dyDescent="0.25">
      <c r="A2" s="2" t="s">
        <v>127</v>
      </c>
      <c r="B2" s="2" t="s">
        <v>126</v>
      </c>
      <c r="C2" s="1"/>
      <c r="D2" s="2">
        <v>1</v>
      </c>
      <c r="E2" s="2">
        <v>31</v>
      </c>
      <c r="F2" s="1"/>
      <c r="G2" s="2" t="s">
        <v>129</v>
      </c>
      <c r="H2" s="2">
        <v>19.32</v>
      </c>
      <c r="I2" s="2">
        <v>25</v>
      </c>
      <c r="J2" s="2" t="s">
        <v>150</v>
      </c>
      <c r="K2" s="1"/>
      <c r="L2" s="1"/>
      <c r="M2" s="1"/>
      <c r="N2" s="1"/>
      <c r="P2" s="2" t="s">
        <v>148</v>
      </c>
      <c r="Q2" s="2" t="s">
        <v>125</v>
      </c>
      <c r="R2" s="2" t="s">
        <v>124</v>
      </c>
      <c r="S2" s="2" t="s">
        <v>153</v>
      </c>
      <c r="T2" s="2"/>
      <c r="U2" s="2"/>
      <c r="V2" s="2" t="s">
        <v>123</v>
      </c>
      <c r="W2" s="2" t="s">
        <v>164</v>
      </c>
      <c r="X2" s="2" t="s">
        <v>149</v>
      </c>
    </row>
    <row r="3" spans="1:24" ht="77.25" x14ac:dyDescent="0.25">
      <c r="A3" s="2" t="s">
        <v>130</v>
      </c>
      <c r="B3" s="2" t="s">
        <v>131</v>
      </c>
      <c r="C3" s="1"/>
      <c r="D3" s="2">
        <v>1</v>
      </c>
      <c r="E3" s="2">
        <v>40</v>
      </c>
      <c r="F3" s="1"/>
      <c r="G3" s="2" t="s">
        <v>132</v>
      </c>
      <c r="H3" s="2">
        <v>22.08</v>
      </c>
      <c r="I3" s="2">
        <v>20</v>
      </c>
      <c r="J3" s="2" t="s">
        <v>150</v>
      </c>
      <c r="K3" s="1"/>
      <c r="L3" s="1"/>
      <c r="M3" s="1"/>
      <c r="N3" s="1"/>
      <c r="P3" s="2" t="s">
        <v>148</v>
      </c>
      <c r="Q3" s="2" t="s">
        <v>125</v>
      </c>
      <c r="R3" s="2" t="s">
        <v>124</v>
      </c>
      <c r="S3" s="2" t="s">
        <v>153</v>
      </c>
      <c r="T3" s="2"/>
      <c r="U3" s="2"/>
      <c r="V3" s="2" t="s">
        <v>123</v>
      </c>
      <c r="W3" s="2" t="s">
        <v>164</v>
      </c>
      <c r="X3" s="2" t="s">
        <v>149</v>
      </c>
    </row>
    <row r="4" spans="1:24" ht="77.25" x14ac:dyDescent="0.25">
      <c r="A4" s="2" t="s">
        <v>133</v>
      </c>
      <c r="B4" s="2" t="s">
        <v>134</v>
      </c>
      <c r="C4" s="1"/>
      <c r="D4" s="2">
        <v>1</v>
      </c>
      <c r="E4" s="2">
        <v>40</v>
      </c>
      <c r="F4" s="5"/>
      <c r="G4" s="2" t="s">
        <v>135</v>
      </c>
      <c r="H4" s="2">
        <v>22.08</v>
      </c>
      <c r="I4" s="2">
        <v>18</v>
      </c>
      <c r="J4" s="2" t="s">
        <v>150</v>
      </c>
      <c r="K4" s="5"/>
      <c r="L4" s="5"/>
      <c r="M4" s="5"/>
      <c r="N4" s="5"/>
      <c r="P4" s="2" t="s">
        <v>148</v>
      </c>
      <c r="Q4" s="2" t="s">
        <v>125</v>
      </c>
      <c r="R4" s="2" t="s">
        <v>124</v>
      </c>
      <c r="S4" s="2" t="s">
        <v>153</v>
      </c>
      <c r="T4" s="2"/>
      <c r="U4" s="2"/>
      <c r="V4" s="2" t="s">
        <v>123</v>
      </c>
      <c r="W4" s="2" t="s">
        <v>164</v>
      </c>
      <c r="X4" s="2" t="s">
        <v>149</v>
      </c>
    </row>
    <row r="5" spans="1:24" ht="77.25" x14ac:dyDescent="0.25">
      <c r="A5" s="2" t="s">
        <v>136</v>
      </c>
      <c r="B5" s="2" t="s">
        <v>134</v>
      </c>
      <c r="C5" s="1"/>
      <c r="D5" s="2">
        <v>1</v>
      </c>
      <c r="E5" s="2">
        <v>36</v>
      </c>
      <c r="F5" s="5"/>
      <c r="G5" s="2" t="s">
        <v>137</v>
      </c>
      <c r="H5" s="2">
        <v>22.08</v>
      </c>
      <c r="I5" s="2">
        <v>30</v>
      </c>
      <c r="J5" s="2" t="s">
        <v>150</v>
      </c>
      <c r="K5" s="5"/>
      <c r="L5" s="5"/>
      <c r="M5" s="5"/>
      <c r="N5" s="5"/>
      <c r="P5" s="2" t="s">
        <v>148</v>
      </c>
      <c r="Q5" s="2" t="s">
        <v>125</v>
      </c>
      <c r="R5" s="2" t="s">
        <v>124</v>
      </c>
      <c r="S5" s="2" t="s">
        <v>153</v>
      </c>
      <c r="T5" s="2"/>
      <c r="U5" s="2"/>
      <c r="V5" s="2" t="s">
        <v>123</v>
      </c>
      <c r="W5" s="2" t="s">
        <v>164</v>
      </c>
      <c r="X5" s="2" t="s">
        <v>149</v>
      </c>
    </row>
    <row r="6" spans="1:24" ht="77.25" x14ac:dyDescent="0.25">
      <c r="A6" s="2" t="s">
        <v>138</v>
      </c>
      <c r="B6" s="2" t="s">
        <v>134</v>
      </c>
      <c r="C6" s="1"/>
      <c r="D6" s="2">
        <v>1</v>
      </c>
      <c r="E6" s="2">
        <v>40</v>
      </c>
      <c r="F6" s="5"/>
      <c r="G6" s="2" t="s">
        <v>139</v>
      </c>
      <c r="H6" s="2">
        <v>22.08</v>
      </c>
      <c r="I6" s="2">
        <v>44</v>
      </c>
      <c r="J6" s="2" t="s">
        <v>150</v>
      </c>
      <c r="K6" s="5"/>
      <c r="L6" s="5"/>
      <c r="M6" s="5"/>
      <c r="N6" s="5"/>
      <c r="P6" s="2" t="s">
        <v>148</v>
      </c>
      <c r="Q6" s="2" t="s">
        <v>125</v>
      </c>
      <c r="R6" s="2" t="s">
        <v>124</v>
      </c>
      <c r="S6" s="2" t="s">
        <v>153</v>
      </c>
      <c r="T6" s="2"/>
      <c r="U6" s="2"/>
      <c r="V6" s="2" t="s">
        <v>123</v>
      </c>
      <c r="W6" s="2" t="s">
        <v>164</v>
      </c>
      <c r="X6" s="2" t="s">
        <v>149</v>
      </c>
    </row>
    <row r="7" spans="1:24" ht="77.25" x14ac:dyDescent="0.25">
      <c r="A7" s="2" t="s">
        <v>140</v>
      </c>
      <c r="B7" s="2" t="s">
        <v>134</v>
      </c>
      <c r="C7" s="1"/>
      <c r="D7" s="2">
        <v>1</v>
      </c>
      <c r="E7" s="2">
        <v>40</v>
      </c>
      <c r="F7" s="5"/>
      <c r="G7" s="2" t="s">
        <v>141</v>
      </c>
      <c r="H7" s="2">
        <v>22.08</v>
      </c>
      <c r="I7" s="2">
        <v>62</v>
      </c>
      <c r="J7" s="2" t="s">
        <v>150</v>
      </c>
      <c r="K7" s="5"/>
      <c r="L7" s="5"/>
      <c r="M7" s="5"/>
      <c r="N7" s="5"/>
      <c r="P7" s="2" t="s">
        <v>148</v>
      </c>
      <c r="Q7" s="2" t="s">
        <v>125</v>
      </c>
      <c r="R7" s="2" t="s">
        <v>124</v>
      </c>
      <c r="S7" s="2" t="s">
        <v>153</v>
      </c>
      <c r="T7" s="2"/>
      <c r="U7" s="2"/>
      <c r="V7" s="2" t="s">
        <v>123</v>
      </c>
      <c r="W7" s="2" t="s">
        <v>164</v>
      </c>
      <c r="X7" s="2" t="s">
        <v>149</v>
      </c>
    </row>
    <row r="8" spans="1:24" ht="77.25" x14ac:dyDescent="0.25">
      <c r="A8" s="2" t="s">
        <v>142</v>
      </c>
      <c r="B8" s="2" t="s">
        <v>134</v>
      </c>
      <c r="C8" s="1"/>
      <c r="D8" s="2">
        <v>1</v>
      </c>
      <c r="E8" s="2">
        <v>40</v>
      </c>
      <c r="F8" s="5"/>
      <c r="G8" s="2" t="s">
        <v>143</v>
      </c>
      <c r="H8" s="2">
        <v>22.08</v>
      </c>
      <c r="I8" s="2">
        <v>39</v>
      </c>
      <c r="J8" s="2" t="s">
        <v>150</v>
      </c>
      <c r="K8" s="5"/>
      <c r="L8" s="5"/>
      <c r="M8" s="5"/>
      <c r="N8" s="5"/>
      <c r="P8" s="2" t="s">
        <v>148</v>
      </c>
      <c r="Q8" s="2" t="s">
        <v>125</v>
      </c>
      <c r="R8" s="2" t="s">
        <v>124</v>
      </c>
      <c r="S8" s="2" t="s">
        <v>153</v>
      </c>
      <c r="T8" s="2"/>
      <c r="U8" s="2"/>
      <c r="V8" s="2" t="s">
        <v>123</v>
      </c>
      <c r="W8" s="2" t="s">
        <v>164</v>
      </c>
      <c r="X8" s="2" t="s">
        <v>149</v>
      </c>
    </row>
    <row r="9" spans="1:24" ht="77.25" x14ac:dyDescent="0.25">
      <c r="A9" s="2" t="s">
        <v>144</v>
      </c>
      <c r="B9" s="2" t="s">
        <v>145</v>
      </c>
      <c r="C9" s="1"/>
      <c r="D9" s="2">
        <v>1</v>
      </c>
      <c r="E9" s="2">
        <v>40</v>
      </c>
      <c r="F9" s="5"/>
      <c r="G9" s="2"/>
      <c r="H9" s="2">
        <v>22.08</v>
      </c>
      <c r="I9" s="2">
        <v>38</v>
      </c>
      <c r="J9" s="2" t="s">
        <v>150</v>
      </c>
      <c r="K9" s="5"/>
      <c r="L9" s="5"/>
      <c r="M9" s="5"/>
      <c r="N9" s="5"/>
      <c r="P9" s="2" t="s">
        <v>148</v>
      </c>
      <c r="Q9" s="2" t="s">
        <v>125</v>
      </c>
      <c r="R9" s="2" t="s">
        <v>124</v>
      </c>
      <c r="S9" s="2" t="s">
        <v>153</v>
      </c>
      <c r="T9" s="2"/>
      <c r="U9" s="2"/>
      <c r="V9" s="2" t="s">
        <v>123</v>
      </c>
      <c r="W9" s="2" t="s">
        <v>164</v>
      </c>
      <c r="X9" s="2" t="s">
        <v>149</v>
      </c>
    </row>
    <row r="10" spans="1:24" ht="77.25" x14ac:dyDescent="0.25">
      <c r="A10" s="2" t="s">
        <v>146</v>
      </c>
      <c r="B10" s="2" t="s">
        <v>145</v>
      </c>
      <c r="C10" s="1"/>
      <c r="D10" s="2">
        <v>1</v>
      </c>
      <c r="E10" s="2">
        <v>40</v>
      </c>
      <c r="F10" s="5"/>
      <c r="G10" s="2"/>
      <c r="H10" s="2">
        <v>22.08</v>
      </c>
      <c r="I10" s="2">
        <v>38</v>
      </c>
      <c r="J10" s="2" t="s">
        <v>150</v>
      </c>
      <c r="K10" s="5"/>
      <c r="L10" s="5"/>
      <c r="M10" s="5"/>
      <c r="N10" s="5"/>
      <c r="P10" s="2" t="s">
        <v>148</v>
      </c>
      <c r="Q10" s="2" t="s">
        <v>125</v>
      </c>
      <c r="R10" s="2" t="s">
        <v>124</v>
      </c>
      <c r="S10" s="2" t="s">
        <v>153</v>
      </c>
      <c r="T10" s="2"/>
      <c r="U10" s="2"/>
      <c r="V10" s="2" t="s">
        <v>123</v>
      </c>
      <c r="W10" s="2" t="s">
        <v>164</v>
      </c>
      <c r="X10" s="2" t="s">
        <v>149</v>
      </c>
    </row>
    <row r="11" spans="1:24" ht="77.25" x14ac:dyDescent="0.25">
      <c r="A11" s="2" t="s">
        <v>147</v>
      </c>
      <c r="B11" s="2" t="s">
        <v>145</v>
      </c>
      <c r="C11" s="1"/>
      <c r="D11" s="2">
        <v>1</v>
      </c>
      <c r="E11" s="2">
        <v>40</v>
      </c>
      <c r="F11" s="5"/>
      <c r="G11" s="2"/>
      <c r="H11" s="2">
        <v>22.08</v>
      </c>
      <c r="I11" s="2">
        <v>38</v>
      </c>
      <c r="J11" s="2" t="s">
        <v>150</v>
      </c>
      <c r="K11" s="5"/>
      <c r="L11" s="5"/>
      <c r="M11" s="5"/>
      <c r="N11" s="5"/>
      <c r="P11" s="2" t="s">
        <v>148</v>
      </c>
      <c r="Q11" s="2" t="s">
        <v>125</v>
      </c>
      <c r="R11" s="2" t="s">
        <v>124</v>
      </c>
      <c r="S11" s="2" t="s">
        <v>153</v>
      </c>
      <c r="T11" s="2"/>
      <c r="U11" s="2"/>
      <c r="V11" s="2" t="s">
        <v>123</v>
      </c>
      <c r="W11" s="2" t="s">
        <v>164</v>
      </c>
      <c r="X11" s="2" t="s">
        <v>149</v>
      </c>
    </row>
    <row r="12" spans="1:24" ht="51.75" x14ac:dyDescent="0.25">
      <c r="A12" s="2" t="s">
        <v>151</v>
      </c>
      <c r="B12" s="2" t="s">
        <v>152</v>
      </c>
      <c r="C12" s="1"/>
      <c r="D12" s="2">
        <v>1</v>
      </c>
      <c r="E12" s="2"/>
      <c r="F12" s="5"/>
      <c r="G12" s="2"/>
      <c r="H12" s="2"/>
      <c r="I12" s="2"/>
      <c r="J12" s="2"/>
      <c r="K12" s="5"/>
      <c r="L12" s="5"/>
      <c r="M12" s="5"/>
      <c r="N12" s="5"/>
      <c r="P12" s="2" t="s">
        <v>157</v>
      </c>
      <c r="Q12" s="2" t="s">
        <v>155</v>
      </c>
      <c r="R12" s="2" t="s">
        <v>156</v>
      </c>
      <c r="S12" s="2" t="s">
        <v>154</v>
      </c>
      <c r="T12" s="2"/>
      <c r="U12" s="2"/>
      <c r="V12" s="2"/>
      <c r="W12" s="2" t="s">
        <v>164</v>
      </c>
      <c r="X12" s="2"/>
    </row>
    <row r="13" spans="1:24" ht="409.6" x14ac:dyDescent="0.25">
      <c r="A13" s="2" t="s">
        <v>158</v>
      </c>
      <c r="B13" s="2" t="s">
        <v>159</v>
      </c>
      <c r="C13" s="5"/>
      <c r="D13" s="2">
        <v>1</v>
      </c>
      <c r="E13" s="2">
        <v>250</v>
      </c>
      <c r="F13" s="5"/>
      <c r="G13" s="2">
        <v>57</v>
      </c>
      <c r="H13" s="2"/>
      <c r="I13" s="2"/>
      <c r="J13" s="2" t="s">
        <v>163</v>
      </c>
      <c r="K13" s="5"/>
      <c r="L13" s="5"/>
      <c r="M13" s="5"/>
      <c r="N13" s="5"/>
      <c r="P13" s="2" t="s">
        <v>215</v>
      </c>
      <c r="Q13" s="2" t="s">
        <v>160</v>
      </c>
      <c r="R13" s="2" t="s">
        <v>161</v>
      </c>
      <c r="S13" s="2"/>
      <c r="T13" s="2"/>
      <c r="U13" s="2"/>
      <c r="V13" s="2" t="s">
        <v>162</v>
      </c>
      <c r="W13" s="2" t="s">
        <v>164</v>
      </c>
      <c r="X13" s="2"/>
    </row>
    <row r="14" spans="1:24" ht="64.5" x14ac:dyDescent="0.25">
      <c r="A14" s="2" t="s">
        <v>179</v>
      </c>
      <c r="B14" s="2" t="s">
        <v>145</v>
      </c>
      <c r="C14" s="5"/>
      <c r="D14" s="2">
        <v>1</v>
      </c>
      <c r="E14" s="2">
        <v>15.2</v>
      </c>
      <c r="F14" s="5"/>
      <c r="G14" s="2"/>
      <c r="H14" s="2"/>
      <c r="I14" s="2"/>
      <c r="J14" s="2" t="s">
        <v>150</v>
      </c>
      <c r="K14" s="5"/>
      <c r="L14" s="5"/>
      <c r="M14" s="5"/>
      <c r="N14" s="5"/>
      <c r="P14" s="2" t="s">
        <v>181</v>
      </c>
      <c r="Q14" s="2" t="s">
        <v>180</v>
      </c>
      <c r="R14" s="2"/>
      <c r="S14" s="2"/>
      <c r="T14" s="2"/>
      <c r="U14" s="2"/>
      <c r="V14" s="2"/>
      <c r="W14" s="2"/>
      <c r="X14" s="2"/>
    </row>
    <row r="15" spans="1:24" ht="51.75" x14ac:dyDescent="0.25">
      <c r="A15" s="5" t="s">
        <v>257</v>
      </c>
      <c r="B15" s="5" t="s">
        <v>258</v>
      </c>
      <c r="C15" s="5"/>
      <c r="D15" s="5">
        <v>1</v>
      </c>
      <c r="E15" s="5">
        <v>51</v>
      </c>
      <c r="F15" s="5"/>
      <c r="G15" s="5"/>
      <c r="H15" s="5"/>
      <c r="I15" s="5"/>
      <c r="J15" s="2" t="s">
        <v>150</v>
      </c>
      <c r="K15" s="5"/>
      <c r="L15" s="5"/>
      <c r="M15" s="5"/>
      <c r="N15" s="5"/>
      <c r="P15" s="5" t="s">
        <v>183</v>
      </c>
      <c r="Q15" s="5" t="s">
        <v>259</v>
      </c>
      <c r="R15" s="5"/>
      <c r="S15" s="5" t="s">
        <v>12</v>
      </c>
      <c r="T15" s="5"/>
      <c r="U15" s="5"/>
      <c r="V15" s="5"/>
      <c r="W15" s="5" t="s">
        <v>264</v>
      </c>
      <c r="X15" s="5"/>
    </row>
    <row r="16" spans="1:24" ht="51.75" x14ac:dyDescent="0.25">
      <c r="A16" s="5" t="s">
        <v>260</v>
      </c>
      <c r="B16" s="5" t="s">
        <v>261</v>
      </c>
      <c r="C16" s="5"/>
      <c r="D16" s="5">
        <v>1</v>
      </c>
      <c r="E16" s="5">
        <v>43</v>
      </c>
      <c r="F16" s="5"/>
      <c r="G16" s="5"/>
      <c r="H16" s="5"/>
      <c r="I16" s="5"/>
      <c r="J16" s="2" t="s">
        <v>150</v>
      </c>
      <c r="K16" s="5"/>
      <c r="L16" s="5"/>
      <c r="M16" s="5"/>
      <c r="N16" s="5"/>
      <c r="P16" s="5" t="s">
        <v>183</v>
      </c>
      <c r="Q16" s="5" t="s">
        <v>259</v>
      </c>
      <c r="R16" s="5"/>
      <c r="S16" s="5" t="s">
        <v>12</v>
      </c>
      <c r="T16" s="5"/>
      <c r="U16" s="5"/>
      <c r="V16" s="5"/>
      <c r="W16" s="5" t="s">
        <v>264</v>
      </c>
      <c r="X16" s="5"/>
    </row>
    <row r="17" spans="1:24" ht="51.75" x14ac:dyDescent="0.25">
      <c r="A17" s="5" t="s">
        <v>262</v>
      </c>
      <c r="B17" s="5" t="s">
        <v>263</v>
      </c>
      <c r="C17" s="5"/>
      <c r="D17" s="5">
        <v>1</v>
      </c>
      <c r="E17" s="5">
        <v>150</v>
      </c>
      <c r="F17" s="5"/>
      <c r="G17" s="5"/>
      <c r="H17" s="5"/>
      <c r="I17" s="5">
        <v>125</v>
      </c>
      <c r="J17" s="2" t="s">
        <v>150</v>
      </c>
      <c r="K17" s="5"/>
      <c r="L17" s="5"/>
      <c r="M17" s="5"/>
      <c r="N17" s="5"/>
      <c r="P17" s="5" t="s">
        <v>183</v>
      </c>
      <c r="Q17" s="5" t="s">
        <v>259</v>
      </c>
      <c r="R17" s="5"/>
      <c r="S17" s="5" t="s">
        <v>12</v>
      </c>
      <c r="T17" s="5"/>
      <c r="U17" s="5"/>
      <c r="V17" s="5"/>
      <c r="W17" s="5" t="s">
        <v>264</v>
      </c>
      <c r="X17"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 CERs</vt:lpstr>
      <vt:lpstr>Existing AUC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Maksym Koltunov</dc:creator>
  <cp:lastModifiedBy>KOLTUNOV MAKSYM [PHD1500007]</cp:lastModifiedBy>
  <cp:lastPrinted>2024-03-19T15:59:21Z</cp:lastPrinted>
  <dcterms:created xsi:type="dcterms:W3CDTF">2024-03-15T07:12:02Z</dcterms:created>
  <dcterms:modified xsi:type="dcterms:W3CDTF">2025-10-30T10:35:09Z</dcterms:modified>
</cp:coreProperties>
</file>