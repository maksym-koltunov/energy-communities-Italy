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units-my.sharepoint.com/personal/s281158_ds_units_it/Documents/Documenti/PHD CE.TS/RESEARCH/4th paper/"/>
    </mc:Choice>
  </mc:AlternateContent>
  <xr:revisionPtr revIDLastSave="122" documentId="13_ncr:1_{C25C8D75-8FC8-4887-A1B5-C029FDE3F96A}" xr6:coauthVersionLast="47" xr6:coauthVersionMax="47" xr10:uidLastSave="{96785123-4AE5-45A6-A0ED-7D8FBB94FE59}"/>
  <bookViews>
    <workbookView xWindow="-120" yWindow="-120" windowWidth="20730" windowHeight="11760" xr2:uid="{5E35D81F-E4C0-4AA6-ADDD-00EAEB243957}"/>
  </bookViews>
  <sheets>
    <sheet name="Main CERs" sheetId="3" r:id="rId1"/>
    <sheet name="Calculations" sheetId="6" r:id="rId2"/>
    <sheet name="GSE portal data" sheetId="9" r:id="rId3"/>
    <sheet name="Piedmonte Typology of members" sheetId="7" r:id="rId4"/>
    <sheet name="Lombardy data" sheetId="10" r:id="rId5"/>
    <sheet name="Forecast + optimal" sheetId="1" r:id="rId6"/>
    <sheet name="BMs of Regulator" sheetId="2" r:id="rId7"/>
    <sheet name="Existing AUC" sheetId="4" r:id="rId8"/>
  </sheets>
  <definedNames>
    <definedName name="_xlnm._FilterDatabase" localSheetId="2" hidden="1">'GSE portal data'!$A$1:$E$104</definedName>
    <definedName name="_xlnm._FilterDatabase" localSheetId="4" hidden="1">'Lombardy data'!$A$1:$H$365</definedName>
    <definedName name="_xlnm._FilterDatabase" localSheetId="0" hidden="1">'Main CERs'!$A$1:$AK$363</definedName>
    <definedName name="_xlnm._FilterDatabase" localSheetId="3" hidden="1">'Piedmonte Typology of members'!$A$1:$V$1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72" i="3" l="1"/>
  <c r="N372" i="3"/>
  <c r="N369" i="3"/>
  <c r="N368" i="3"/>
  <c r="Q375" i="3" l="1"/>
  <c r="B385" i="3"/>
  <c r="B387" i="3"/>
  <c r="B390" i="3"/>
  <c r="B389" i="3"/>
  <c r="B388" i="3"/>
  <c r="B386" i="3"/>
  <c r="B384" i="3"/>
  <c r="Q379" i="3"/>
  <c r="Q378" i="3"/>
  <c r="Q377" i="3"/>
  <c r="Q376" i="3"/>
  <c r="G185" i="3"/>
  <c r="L384" i="3" a="1"/>
  <c r="L384" i="3" s="1"/>
  <c r="M379" i="3"/>
  <c r="M380" i="3"/>
  <c r="L420" i="3" l="1" a="1"/>
  <c r="L420" i="3" s="1"/>
  <c r="L418" i="3" a="1"/>
  <c r="L418" i="3" s="1"/>
  <c r="L416" i="3"/>
  <c r="L415" i="3"/>
  <c r="L414" i="3"/>
  <c r="L412" i="3" a="1"/>
  <c r="L412" i="3" s="1"/>
  <c r="L410" i="3"/>
  <c r="L409" i="3"/>
  <c r="L407" i="3"/>
  <c r="L406" i="3" a="1"/>
  <c r="L406" i="3" s="1"/>
  <c r="L404" i="3"/>
  <c r="L400" i="3" a="1"/>
  <c r="L400" i="3" s="1"/>
  <c r="L398" i="3" a="1"/>
  <c r="L398" i="3" s="1"/>
  <c r="L397" i="3" a="1"/>
  <c r="L397" i="3" s="1"/>
  <c r="L396" i="3" a="1"/>
  <c r="L396" i="3" s="1"/>
  <c r="L395" i="3" a="1"/>
  <c r="L395" i="3" s="1"/>
  <c r="L394" i="3" a="1"/>
  <c r="L394" i="3" s="1"/>
  <c r="L390" i="3" a="1"/>
  <c r="L390" i="3" s="1"/>
  <c r="L389" i="3" a="1"/>
  <c r="L389" i="3" s="1"/>
  <c r="L388" i="3" a="1"/>
  <c r="L388" i="3" s="1"/>
  <c r="AE2" i="6"/>
  <c r="L392" i="3" s="1"/>
  <c r="L386" i="3" a="1"/>
  <c r="L386" i="3" s="1"/>
  <c r="L385" i="3" a="1"/>
  <c r="L385" i="3" s="1"/>
  <c r="L383" i="3" a="1"/>
  <c r="L383" i="3" s="1"/>
  <c r="L382" i="3" a="1"/>
  <c r="L382" i="3" s="1"/>
  <c r="L422" i="3" a="1"/>
  <c r="L422" i="3" s="1"/>
  <c r="L421" i="3" a="1"/>
  <c r="L421" i="3" s="1"/>
  <c r="L380" i="3" a="1"/>
  <c r="L380" i="3" s="1"/>
  <c r="L379" i="3" a="1"/>
  <c r="L379" i="3" s="1"/>
  <c r="L378" i="3" a="1"/>
  <c r="L378" i="3" s="1"/>
  <c r="L377" i="3" a="1"/>
  <c r="L377" i="3" s="1"/>
  <c r="L376" i="3" a="1"/>
  <c r="L376" i="3" s="1"/>
  <c r="M416" i="3"/>
  <c r="M409" i="3"/>
  <c r="M378" i="3"/>
  <c r="M402" i="3" s="1"/>
  <c r="G45" i="3"/>
  <c r="F304" i="3"/>
  <c r="F290" i="3"/>
  <c r="F269" i="3"/>
  <c r="F216" i="3"/>
  <c r="F205" i="3"/>
  <c r="F191" i="3"/>
  <c r="F184" i="3"/>
  <c r="F182" i="3"/>
  <c r="F174" i="3"/>
  <c r="F172" i="3"/>
  <c r="F163" i="3"/>
  <c r="F162" i="3"/>
  <c r="F123" i="3"/>
  <c r="F113" i="3"/>
  <c r="F25" i="3"/>
  <c r="F23" i="3"/>
  <c r="F17" i="3"/>
  <c r="G284" i="3"/>
  <c r="G220" i="3"/>
  <c r="G203" i="3"/>
  <c r="G202" i="3"/>
  <c r="F197" i="3"/>
  <c r="G165" i="3"/>
  <c r="F165" i="3"/>
  <c r="F134" i="3"/>
  <c r="F131" i="3"/>
  <c r="F128" i="3"/>
  <c r="G104" i="3"/>
  <c r="F52" i="3"/>
  <c r="G52" i="3"/>
  <c r="G50" i="3"/>
  <c r="G49" i="3"/>
  <c r="G47" i="3"/>
  <c r="F40" i="3"/>
  <c r="G40" i="3"/>
  <c r="G29" i="3"/>
  <c r="G8" i="3"/>
  <c r="G216" i="3"/>
  <c r="E28" i="3"/>
  <c r="F28" i="3" s="1"/>
  <c r="F202" i="3"/>
  <c r="F8" i="3"/>
  <c r="F49" i="3"/>
  <c r="E182" i="3"/>
  <c r="R52" i="3"/>
  <c r="Q52" i="3"/>
  <c r="R51" i="3"/>
  <c r="Q51" i="3"/>
  <c r="Q50" i="3"/>
  <c r="M376" i="3" s="1"/>
  <c r="R50" i="3"/>
  <c r="J33" i="3"/>
  <c r="J34" i="3"/>
  <c r="J35" i="3"/>
  <c r="J32" i="3"/>
  <c r="AG357" i="3"/>
  <c r="AG355" i="3"/>
  <c r="J355" i="3"/>
  <c r="AG353" i="3"/>
  <c r="J353" i="3"/>
  <c r="AG352" i="3"/>
  <c r="AG351" i="3"/>
  <c r="J351" i="3"/>
  <c r="AG350" i="3"/>
  <c r="AG349" i="3"/>
  <c r="J349" i="3"/>
  <c r="AH348" i="3"/>
  <c r="AG348" i="3"/>
  <c r="J348" i="3"/>
  <c r="AG347" i="3"/>
  <c r="J347" i="3"/>
  <c r="AG346" i="3"/>
  <c r="J346" i="3"/>
  <c r="AG345" i="3"/>
  <c r="J345" i="3"/>
  <c r="G294" i="3"/>
  <c r="G321" i="3"/>
  <c r="AG344" i="3"/>
  <c r="AG343" i="3"/>
  <c r="AG341" i="3"/>
  <c r="J341" i="3"/>
  <c r="AG340" i="3"/>
  <c r="J340" i="3"/>
  <c r="AG339" i="3"/>
  <c r="J339" i="3"/>
  <c r="AG336" i="3"/>
  <c r="J336" i="3"/>
  <c r="AG335" i="3"/>
  <c r="AG334" i="3"/>
  <c r="AG333" i="3"/>
  <c r="AG332" i="3"/>
  <c r="J332" i="3"/>
  <c r="AG331" i="3"/>
  <c r="AG330" i="3"/>
  <c r="J330" i="3"/>
  <c r="AH329" i="3"/>
  <c r="AG329" i="3"/>
  <c r="AG328" i="3"/>
  <c r="AG326" i="3"/>
  <c r="J326" i="3"/>
  <c r="AG324" i="3"/>
  <c r="M377" i="3" l="1"/>
  <c r="M412" i="3"/>
  <c r="M382" i="3"/>
  <c r="N382" i="3" s="1"/>
  <c r="M397" i="3"/>
  <c r="M384" i="3"/>
  <c r="N384" i="3" s="1"/>
  <c r="M408" i="3"/>
  <c r="M391" i="3"/>
  <c r="M415" i="3"/>
  <c r="M390" i="3"/>
  <c r="N390" i="3" s="1"/>
  <c r="M414" i="3"/>
  <c r="N414" i="3" s="1"/>
  <c r="M421" i="3"/>
  <c r="M422" i="3"/>
  <c r="M400" i="3"/>
  <c r="M386" i="3"/>
  <c r="N386" i="3" s="1"/>
  <c r="M396" i="3"/>
  <c r="N396" i="3" s="1"/>
  <c r="M403" i="3"/>
  <c r="M410" i="3"/>
  <c r="N410" i="3" s="1"/>
  <c r="M406" i="3"/>
  <c r="M420" i="3"/>
  <c r="N420" i="3" s="1"/>
  <c r="M398" i="3"/>
  <c r="N398" i="3" s="1"/>
  <c r="M394" i="3"/>
  <c r="M418" i="3"/>
  <c r="M404" i="3"/>
  <c r="N404" i="3" s="1"/>
  <c r="N416" i="3"/>
  <c r="M385" i="3"/>
  <c r="N385" i="3" s="1"/>
  <c r="M392" i="3"/>
  <c r="N392" i="3" s="1"/>
  <c r="M388" i="3"/>
  <c r="N380" i="3"/>
  <c r="G28" i="3"/>
  <c r="AG323" i="3"/>
  <c r="J323" i="3"/>
  <c r="AG322" i="3"/>
  <c r="J321" i="3"/>
  <c r="AG321" i="3"/>
  <c r="AG316" i="3"/>
  <c r="AG306" i="3"/>
  <c r="J306" i="3"/>
  <c r="J305" i="3"/>
  <c r="AG305" i="3"/>
  <c r="AF304" i="3"/>
  <c r="AG304" i="3"/>
  <c r="AH304" i="3"/>
  <c r="AD304" i="3"/>
  <c r="E304" i="3"/>
  <c r="G304" i="3"/>
  <c r="AG303" i="3"/>
  <c r="AG302" i="3"/>
  <c r="AG300" i="3"/>
  <c r="AG299" i="3"/>
  <c r="AG298" i="3"/>
  <c r="AG297" i="3"/>
  <c r="AG296" i="3"/>
  <c r="AG292" i="3"/>
  <c r="J292" i="3"/>
  <c r="AG291" i="3"/>
  <c r="J291" i="3"/>
  <c r="G290" i="3"/>
  <c r="E290" i="3"/>
  <c r="AG284" i="3"/>
  <c r="AG285" i="3"/>
  <c r="J285" i="3"/>
  <c r="AK269" i="3"/>
  <c r="AI269" i="3"/>
  <c r="E269" i="3"/>
  <c r="J269" i="3"/>
  <c r="F203" i="3"/>
  <c r="M419" i="3" l="1"/>
  <c r="N419" i="3" s="1"/>
  <c r="M395" i="3"/>
  <c r="N395" i="3" s="1"/>
  <c r="M407" i="3"/>
  <c r="N407" i="3" s="1"/>
  <c r="M383" i="3"/>
  <c r="N383" i="3" s="1"/>
  <c r="M401" i="3"/>
  <c r="M413" i="3"/>
  <c r="N413" i="3" s="1"/>
  <c r="M389" i="3"/>
  <c r="N389" i="3" s="1"/>
  <c r="E197" i="3"/>
  <c r="G197" i="3" s="1"/>
  <c r="E216" i="3"/>
  <c r="J216" i="3"/>
  <c r="E205" i="3"/>
  <c r="G205" i="3" s="1"/>
  <c r="J205" i="3"/>
  <c r="J191" i="3"/>
  <c r="E191" i="3"/>
  <c r="G191" i="3" s="1"/>
  <c r="J123" i="3"/>
  <c r="E123" i="3"/>
  <c r="G123" i="3" s="1"/>
  <c r="E184" i="3"/>
  <c r="G184" i="3" s="1"/>
  <c r="J184" i="3"/>
  <c r="G183" i="3"/>
  <c r="G181" i="3"/>
  <c r="E174" i="3"/>
  <c r="G174" i="3" s="1"/>
  <c r="E172" i="3"/>
  <c r="G172" i="3" s="1"/>
  <c r="E163" i="3"/>
  <c r="E162" i="3"/>
  <c r="G162" i="3" s="1"/>
  <c r="G161" i="3"/>
  <c r="G152" i="3"/>
  <c r="G10" i="3" l="1"/>
  <c r="G121" i="3"/>
  <c r="G114" i="3"/>
  <c r="E113" i="3"/>
  <c r="G113" i="3" s="1"/>
  <c r="G109" i="3"/>
  <c r="G108" i="3" l="1"/>
  <c r="N376" i="3"/>
  <c r="G56" i="3"/>
  <c r="G58" i="3"/>
  <c r="G53" i="3"/>
  <c r="G66" i="3"/>
  <c r="G46" i="3"/>
  <c r="G43" i="3"/>
  <c r="G34" i="3"/>
  <c r="G32" i="3"/>
  <c r="G3" i="3"/>
  <c r="N406" i="3" l="1"/>
  <c r="N388" i="3"/>
  <c r="N412" i="3"/>
  <c r="N418" i="3"/>
  <c r="N394" i="3"/>
  <c r="N400" i="3"/>
  <c r="N415" i="3"/>
  <c r="N409" i="3"/>
  <c r="N397" i="3"/>
  <c r="N377" i="3"/>
  <c r="N378" i="3"/>
  <c r="N379" i="3"/>
  <c r="G51" i="3"/>
  <c r="G60" i="3"/>
  <c r="G19" i="3"/>
  <c r="G41" i="3"/>
  <c r="J53" i="3"/>
  <c r="J51" i="3"/>
  <c r="J52" i="3"/>
  <c r="J50" i="3"/>
  <c r="E25" i="3"/>
  <c r="G25" i="3" s="1"/>
  <c r="E23" i="3"/>
  <c r="G80" i="3"/>
  <c r="G36" i="3"/>
  <c r="G48" i="3"/>
  <c r="G7" i="3"/>
  <c r="G71" i="3"/>
  <c r="G64" i="3"/>
  <c r="G37" i="3"/>
  <c r="G69" i="3"/>
  <c r="G27" i="3"/>
  <c r="G9" i="3"/>
  <c r="G13" i="3"/>
  <c r="G79" i="3"/>
  <c r="G21" i="3"/>
  <c r="G16" i="3"/>
  <c r="G62" i="3"/>
  <c r="G65" i="3"/>
  <c r="G30" i="3"/>
  <c r="G70" i="3"/>
  <c r="G77" i="3"/>
  <c r="G4" i="3"/>
  <c r="G14" i="3"/>
  <c r="G54" i="3"/>
  <c r="G20" i="3"/>
  <c r="G31" i="3"/>
  <c r="G57" i="3"/>
  <c r="G22" i="3"/>
  <c r="G5" i="3"/>
  <c r="G61" i="3"/>
  <c r="G6" i="3"/>
  <c r="G12" i="3"/>
  <c r="G68" i="3"/>
  <c r="G26" i="3"/>
  <c r="G18" i="3"/>
  <c r="J17" i="3"/>
  <c r="E17" i="3"/>
  <c r="B45" i="2"/>
  <c r="B44" i="2"/>
  <c r="C18" i="2"/>
  <c r="D18" i="2"/>
  <c r="E18" i="2"/>
  <c r="B20" i="2" s="1"/>
  <c r="F18" i="2"/>
  <c r="B18" i="2"/>
  <c r="B17" i="2"/>
  <c r="B19" i="2" s="1"/>
  <c r="B35" i="2"/>
  <c r="B42" i="2" s="1"/>
  <c r="B43" i="2" s="1"/>
  <c r="C35" i="2"/>
  <c r="C42" i="2" s="1"/>
  <c r="D35" i="2"/>
  <c r="E35" i="2"/>
  <c r="F35" i="2"/>
  <c r="B34" i="2"/>
  <c r="C34" i="2"/>
  <c r="D34" i="2"/>
  <c r="E34" i="2"/>
  <c r="F34" i="2"/>
  <c r="B27" i="2"/>
  <c r="C25" i="2"/>
  <c r="C28" i="2" s="1"/>
  <c r="C39" i="2" s="1"/>
  <c r="D25" i="2"/>
  <c r="D28" i="2" s="1"/>
  <c r="D39" i="2" s="1"/>
  <c r="E25" i="2"/>
  <c r="E28" i="2" s="1"/>
  <c r="E39" i="2" s="1"/>
  <c r="F25" i="2"/>
  <c r="F28" i="2" s="1"/>
  <c r="F39" i="2" s="1"/>
  <c r="B25" i="2"/>
  <c r="B28" i="2" s="1"/>
  <c r="B39" i="2" s="1"/>
  <c r="C27" i="2"/>
  <c r="D27" i="2"/>
  <c r="E27" i="2"/>
  <c r="F27" i="2"/>
  <c r="C17" i="2"/>
  <c r="D17" i="2"/>
  <c r="E17" i="2"/>
  <c r="F17" i="2"/>
  <c r="G17" i="3" l="1"/>
  <c r="E29" i="3"/>
  <c r="J29" i="3"/>
  <c r="E42" i="2"/>
  <c r="E43" i="2" s="1"/>
  <c r="C43" i="2"/>
  <c r="D42" i="2"/>
  <c r="D43" i="2" s="1"/>
  <c r="F42" i="2"/>
  <c r="F43"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<sst xmlns="http://schemas.openxmlformats.org/spreadsheetml/2006/main" count="27875" uniqueCount="5341">
  <si>
    <t>Source</t>
  </si>
  <si>
    <t>Installed PV</t>
  </si>
  <si>
    <t>Installed BESS</t>
  </si>
  <si>
    <t>Other data</t>
  </si>
  <si>
    <t>MASE: 5,7 euro bln in total (3.5 incentive premium for 20 years, 2.2 capital costs coverage from PNRR funds)</t>
  </si>
  <si>
    <t>https://ec.europa.eu/commission/presscorner/detail/en/ip_23_5787</t>
  </si>
  <si>
    <t>Type</t>
  </si>
  <si>
    <t>Prediction</t>
  </si>
  <si>
    <t>Used as the assumption: 50% up to 200 kW, 50% up to 1 MW</t>
  </si>
  <si>
    <t>35% of remote self-consumption of individual users; 45% of self-consumption of CER</t>
  </si>
  <si>
    <t>Aid intensity</t>
  </si>
  <si>
    <t>PV, kw</t>
  </si>
  <si>
    <t>Measure 1, %</t>
  </si>
  <si>
    <t>Measure 2, %</t>
  </si>
  <si>
    <t>Measure 1, euro</t>
  </si>
  <si>
    <t>Measure 2, euro</t>
  </si>
  <si>
    <t>CAPEX, euro/kw</t>
  </si>
  <si>
    <t>OPEX,euro/kw</t>
  </si>
  <si>
    <t>WACC, %</t>
  </si>
  <si>
    <t>Shared energy (self-consumed), %</t>
  </si>
  <si>
    <t>Measure 1+ Measure 2, %</t>
  </si>
  <si>
    <t>NPV without aid (funding gap), euro</t>
  </si>
  <si>
    <t>Aid amount for 1 project, euro</t>
  </si>
  <si>
    <t>CAPEX for 1 installation, euro</t>
  </si>
  <si>
    <t>Average CAPEX of all, euro</t>
  </si>
  <si>
    <t>Min Envisioned capacity Measure 2, MW</t>
  </si>
  <si>
    <t>Max Envisoned capacity Measure 1, MW</t>
  </si>
  <si>
    <t>Distribution by MW</t>
  </si>
  <si>
    <t>N of projects if only 1 typology:</t>
  </si>
  <si>
    <t>Number of projects from Measure 2 by typology</t>
  </si>
  <si>
    <t>Total aided CAPEX by all typologies (Measure 2):</t>
  </si>
  <si>
    <t>Total needed CAPEX (Measure 2)</t>
  </si>
  <si>
    <t>Number of "Typicals" (Measure 2)</t>
  </si>
  <si>
    <t>CAPEX + OPEX for 1 installation, euro</t>
  </si>
  <si>
    <t>Average CAPEX+OPEX of all, euro</t>
  </si>
  <si>
    <t>Measure 1 budget annual, euro</t>
  </si>
  <si>
    <t>Measure 1 budget total, euro</t>
  </si>
  <si>
    <t>Measure 2 budget total, euro</t>
  </si>
  <si>
    <t>Number of "Typicals" (Measure 1) 20 years horizon</t>
  </si>
  <si>
    <t>Envisioned projects supported by Measure 1 (time horizon 20 years)</t>
  </si>
  <si>
    <t>Envisioned projects supported by Measure 2 (time horizon 2 years)</t>
  </si>
  <si>
    <t>Projected average 20 year electricity price, euro/MWh</t>
  </si>
  <si>
    <t>Av. self-consumed energy of individual prosumers, %</t>
  </si>
  <si>
    <t>Av. self-consumed energy of configurations, %</t>
  </si>
  <si>
    <t>Name</t>
  </si>
  <si>
    <t>Location</t>
  </si>
  <si>
    <t>Technology</t>
  </si>
  <si>
    <t>Legal form</t>
  </si>
  <si>
    <t>CAPEX financing source</t>
  </si>
  <si>
    <t>Reference</t>
  </si>
  <si>
    <t xml:space="preserve">Stage of development </t>
  </si>
  <si>
    <t>CER Nuove Energie Alpine</t>
  </si>
  <si>
    <t>Valle Maira e Valle Grana (provincia di Cuneo)</t>
  </si>
  <si>
    <t>Associazione “Comunità Energetica Valli Maira e Grana” (CEVMG)</t>
  </si>
  <si>
    <t>Comune di Busca – co
fondatore
Comune di Villar San Costanzo
– co-fondatore
Comune di Macra – co
fondatore
Comune di Pradleves – co
fondatore
Enerbrain – partner tecnico</t>
  </si>
  <si>
    <t>15 + ?</t>
  </si>
  <si>
    <t>PV</t>
  </si>
  <si>
    <t>Centro di raccolta e mercato
del riuso; centro unico di
distribuzione alimentare;
ostello cittadino; un
condominio di quartiere; polo
sportivo ASD Rivasamba
(campo Andersen); uffici,
magazzini e archivio uffici
tecnici comunali in Via Salvi.</t>
  </si>
  <si>
    <t>Comune di Sestri Levante</t>
  </si>
  <si>
    <t>PV, solar termal</t>
  </si>
  <si>
    <t>Operational</t>
  </si>
  <si>
    <t>Design</t>
  </si>
  <si>
    <t>Comune di Basiglio</t>
  </si>
  <si>
    <t>Design, PV installed</t>
  </si>
  <si>
    <t>CER Basiglio A</t>
  </si>
  <si>
    <t>CER “Solisca”</t>
  </si>
  <si>
    <t>CER Quartiere Tannino</t>
  </si>
  <si>
    <t>Comune di Turano Lodigiano</t>
  </si>
  <si>
    <t>Self-consumption level, %</t>
  </si>
  <si>
    <t>Comune di Foiano di Turano, Comitato Idea Turano
Lodigiano</t>
  </si>
  <si>
    <t>Sorgenia S.p.A., citizens</t>
  </si>
  <si>
    <t>energy poverty</t>
  </si>
  <si>
    <t>Private</t>
  </si>
  <si>
    <t>Public (Municipal)</t>
  </si>
  <si>
    <t>Public, private</t>
  </si>
  <si>
    <t>Public (n. 395 “Programma
innovativo Qualità
dell’Abitare”)</t>
  </si>
  <si>
    <t>energy poverty, e-vehicle sharing</t>
  </si>
  <si>
    <t>PV, e-vehicle</t>
  </si>
  <si>
    <t>“Monticello Green Hill”</t>
  </si>
  <si>
    <t>Comune di Monticello Brianza</t>
  </si>
  <si>
    <t>Energy Saving Management
Consultants Spa</t>
  </si>
  <si>
    <t>associazione</t>
  </si>
  <si>
    <t>Other</t>
  </si>
  <si>
    <t>Residential (prosumers+consumers)</t>
  </si>
  <si>
    <t xml:space="preserve"> </t>
  </si>
  <si>
    <t>The medium-term objective is to expand the Brianza energy community by involving other prosumer subjects such as the Municipality, the three parishes present in the municipal area, commercial establishments, industrial factories and other Monticello families. remaining 50% will be used to finance territorial welfare initiatives, precisely in the "community" spirit</t>
  </si>
  <si>
    <t>CER Comunità Collinare
del Friuli – San Daniele 1</t>
  </si>
  <si>
    <t>Comune di San Daniele del
Friuli</t>
  </si>
  <si>
    <t>RECOCER project (Comunità Collinare del Friuli; Comune di San Daniele)</t>
  </si>
  <si>
    <t>associazione non riconosciuta</t>
  </si>
  <si>
    <t>Energia Verde Connessa</t>
  </si>
  <si>
    <t>Comune di Imola</t>
  </si>
  <si>
    <t>3 SMEs (2 prosumers, 1 consumer)</t>
  </si>
  <si>
    <t>Bryo SpA</t>
  </si>
  <si>
    <t>Private (ESCO-type contract)</t>
  </si>
  <si>
    <t>CER Gallese</t>
  </si>
  <si>
    <t>Comune di Gallese</t>
  </si>
  <si>
    <t>Redream EU project (Fondazione “Bio-distretto della Via Amerina e delle Forre”)</t>
  </si>
  <si>
    <t>Public (EU Horizon), private (loan from ESCO)</t>
  </si>
  <si>
    <t>CER "Verso il Futuro"</t>
  </si>
  <si>
    <t>Comune di Cassino</t>
  </si>
  <si>
    <t>Together Green S.r.l.</t>
  </si>
  <si>
    <t>2 Residential (prosumer+consumer), 1 SME (consumer)</t>
  </si>
  <si>
    <t>Superbonus tax relief, CER incentive</t>
  </si>
  <si>
    <t>Municipality</t>
  </si>
  <si>
    <t>CER Ventotene</t>
  </si>
  <si>
    <t>Comune di Ventotene</t>
  </si>
  <si>
    <t>Yes</t>
  </si>
  <si>
    <t>Associazione studentesca
GC-FSAlumni (Vincitori Bando
regionale VitaminaG)
Università La Sapienza di
Roma, D.I.M.A.
Lega Navale sezione di
Ventotene</t>
  </si>
  <si>
    <t>Public (PNRR)</t>
  </si>
  <si>
    <t>CER "CERossini"</t>
  </si>
  <si>
    <t>Comune di Montelabbate</t>
  </si>
  <si>
    <t>Public</t>
  </si>
  <si>
    <t>1 public (prosumer), 6 residential (consumer), 3 SMEs (commercial, consumer)</t>
  </si>
  <si>
    <t>Plans to grow in capacity, etc</t>
  </si>
  <si>
    <t>CER AMARES</t>
  </si>
  <si>
    <t>Comune di Ripalimosani</t>
  </si>
  <si>
    <t>Gruppo Amaranto</t>
  </si>
  <si>
    <t>Società Cooperativa a
responsabilità limitata
denominata “A.RE.S.”
“Amaranto Software Factory
S.r.l.” (Gruppo Amaranto)
società “Energia Prima
Services S.r.l.” (Gruppo
Amaranto)</t>
  </si>
  <si>
    <t>CER di Foiano di Val Fortore</t>
  </si>
  <si>
    <t>Comune di Foiano di Val
Fortore</t>
  </si>
  <si>
    <t>Comune di Foiano di Val
Fortore
Suprema – gestore dei servizi
elettrici comunali</t>
  </si>
  <si>
    <t>58 (hydro)</t>
  </si>
  <si>
    <t>Private (equity with Superbonus tax relief)</t>
  </si>
  <si>
    <t>Plan to grow</t>
  </si>
  <si>
    <t>CER Blue Green Energy</t>
  </si>
  <si>
    <t>Comune di Blufi</t>
  </si>
  <si>
    <t>Typology of members (role)</t>
  </si>
  <si>
    <t>CER di Messina</t>
  </si>
  <si>
    <t>Comune di Messina</t>
  </si>
  <si>
    <t>Public (D.L. Crescita 2021)</t>
  </si>
  <si>
    <t>Public (DL MISE 30/4/2019 interventi
per efficientamento
energetico)</t>
  </si>
  <si>
    <t>CER di Ragusa</t>
  </si>
  <si>
    <t>Comune di Ragusa</t>
  </si>
  <si>
    <t>Enel X</t>
  </si>
  <si>
    <t>Public (regional), Private</t>
  </si>
  <si>
    <t xml:space="preserve">1) 1 public (school, prosumer), 10 residential (consumer) and SMEs (consumer); 2) 25 residential (consumer); 3) 3 SMEs; 4) 4 public actors (prosumers) </t>
  </si>
  <si>
    <t>CER di Sortino</t>
  </si>
  <si>
    <t>Comune di Sortino</t>
  </si>
  <si>
    <t>Comune di Sortino;
Centro Sociale Giovanile;
Church San Giuseppe.</t>
  </si>
  <si>
    <t>CER GECO</t>
  </si>
  <si>
    <t xml:space="preserve">CAAB (prosumer); Fondazione FICO (prosumer); </t>
  </si>
  <si>
    <t>CER CommOn Light</t>
  </si>
  <si>
    <t>Comune di Ferla</t>
  </si>
  <si>
    <t>1 public (municipality, prosumer), 2 residential (consumer), 2 SMEs (consumer)</t>
  </si>
  <si>
    <t>Università di Catania</t>
  </si>
  <si>
    <t>CER Biddanoa E’ Forru</t>
  </si>
  <si>
    <t>Comune di Villanovaforru</t>
  </si>
  <si>
    <t>Comune di Villanovaforru
Cooperativa Energetica
ènostra</t>
  </si>
  <si>
    <t>Public (municipality)</t>
  </si>
  <si>
    <t>CER di Ussaramanna</t>
  </si>
  <si>
    <t>Comune di Ussaramanna</t>
  </si>
  <si>
    <t>Comune di Ussaramanna
Cooperativa Energetica
ènostra</t>
  </si>
  <si>
    <t>CER Miracer</t>
  </si>
  <si>
    <t>Mirabello Sannitico</t>
  </si>
  <si>
    <t>Ener4com coop.</t>
  </si>
  <si>
    <t>Consortium of municipalities</t>
  </si>
  <si>
    <t>1 Public (municipality, prosumer), 4 residentials (consumers)</t>
  </si>
  <si>
    <t>CER di Amendolara</t>
  </si>
  <si>
    <t>Comune di Amendolara</t>
  </si>
  <si>
    <t>CER d`imprese a Bari</t>
  </si>
  <si>
    <t>SMEs</t>
  </si>
  <si>
    <t>Confindustria Bari BAT, ASI Consortium of Bari</t>
  </si>
  <si>
    <t>aree del Consorzio
Asi di Bari</t>
  </si>
  <si>
    <t>CER di Fondo Saccà - E.T.S</t>
  </si>
  <si>
    <t>Fondazione di Comunità di Messina</t>
  </si>
  <si>
    <t>cost reduction of industry</t>
  </si>
  <si>
    <t>Progetto Energheia</t>
  </si>
  <si>
    <t>Tecnozenith</t>
  </si>
  <si>
    <t>ACEA Pinerolese Energia</t>
  </si>
  <si>
    <t>Comune di Cavour</t>
  </si>
  <si>
    <t>Condominio Genovesio</t>
  </si>
  <si>
    <t>BESS kwh</t>
  </si>
  <si>
    <t>80 (electric), 45 (termal)</t>
  </si>
  <si>
    <t>Condominio Cooperativa
Racconigese</t>
  </si>
  <si>
    <t>Comune di Racconigi</t>
  </si>
  <si>
    <t>77 (electric), 58 (termal)</t>
  </si>
  <si>
    <t>Condominio La Madonnina</t>
  </si>
  <si>
    <t>Comune di Pinerolo</t>
  </si>
  <si>
    <t>72 (electric), 32 (termal)</t>
  </si>
  <si>
    <t>Condominio Goffi</t>
  </si>
  <si>
    <t>66 (electric), 22 (termal)</t>
  </si>
  <si>
    <t>Condominio Bertairone</t>
  </si>
  <si>
    <t>79 (electric), 29 (termal)</t>
  </si>
  <si>
    <t>Condominio Gioberti</t>
  </si>
  <si>
    <t>57 (electric), 17 (termal)</t>
  </si>
  <si>
    <t>Condominio Alliaudi</t>
  </si>
  <si>
    <t>81 (electric), 37 (termal)</t>
  </si>
  <si>
    <t>Condominio Venere</t>
  </si>
  <si>
    <t>Comune di Torino</t>
  </si>
  <si>
    <t>Condominio Saturno</t>
  </si>
  <si>
    <t>Condominio Urano</t>
  </si>
  <si>
    <t>Private (utility with Superbonus tax relief)</t>
  </si>
  <si>
    <t>Superbonus tax relief, AUC incentive</t>
  </si>
  <si>
    <t>Residential (prosumer)</t>
  </si>
  <si>
    <t>Il Residence Cicogna</t>
  </si>
  <si>
    <t>Comune di Ponzano Veneto</t>
  </si>
  <si>
    <t>PV, BESS</t>
  </si>
  <si>
    <t>PV, solar termal, BESS</t>
  </si>
  <si>
    <t>Crema Costruzioni Snc</t>
  </si>
  <si>
    <t>Regalgrid Europe Srl</t>
  </si>
  <si>
    <t>Public (regional)</t>
  </si>
  <si>
    <t>RE(Y) VENICE</t>
  </si>
  <si>
    <t>Comune di Venezia</t>
  </si>
  <si>
    <t>InfinityHub: acceleratore di
startup ed ESCo.</t>
  </si>
  <si>
    <t>eAmbiente: società italiana di consulenza e progettazione ambientale per aziende ed enti pubblici.
Habitech: consorzio di 300 imprese specializzate nei settori dell’edilizia sostenibile, dell’efficienza energetica e delle tecnologie intelligenti per la gestione del territorio.
Ca’ Foscari Alumni: associazione degli ex-studenti dell’Università Ca’ Foscari di Venezia.
Regalgrid Europe srl.
Ecomill.</t>
  </si>
  <si>
    <t>redevelopment of a shopping center  "La Piazza"</t>
  </si>
  <si>
    <t>Commercial (prosumer), ? etcetera</t>
  </si>
  <si>
    <t>Legambiente 2022 report</t>
  </si>
  <si>
    <t>25 PV + 6 solar termal</t>
  </si>
  <si>
    <t>CER "Le Vele"</t>
  </si>
  <si>
    <t>Comune di Roma</t>
  </si>
  <si>
    <t>Banco dell’energia</t>
  </si>
  <si>
    <t>Private (grant from utility)</t>
  </si>
  <si>
    <t>Edison Energia, Istituto Leonardo Vaccari, Istituto Comprensivo Claudio Abbado, Associazione VAILV, Associazione “Il vento sulla vela”, Federconsumatori Lazio (operations coordinator in future)</t>
  </si>
  <si>
    <t>CER CERtosa</t>
  </si>
  <si>
    <t>ènostra, plesso Carlo Pisacane,
panificio dei Fratelli Marrocchini,
CDCA</t>
  </si>
  <si>
    <t>42 Residential, 1 public (school), 2 NPOs, 1 SME.</t>
  </si>
  <si>
    <t>Solar Club Ascoli Piceno</t>
  </si>
  <si>
    <t>Comune di Ascoli Piceno</t>
  </si>
  <si>
    <t>Octopus Energy</t>
  </si>
  <si>
    <t>Private (equity of promoter)</t>
  </si>
  <si>
    <t>80 residential, 1 SME</t>
  </si>
  <si>
    <t>Gruppo IREN Torino</t>
  </si>
  <si>
    <t>IREN Mercato</t>
  </si>
  <si>
    <t>Private (ESCO type contract), Public</t>
  </si>
  <si>
    <t>Comune di Parma</t>
  </si>
  <si>
    <t>Private (ESCO type contract)</t>
  </si>
  <si>
    <t>CER di Baganzola</t>
  </si>
  <si>
    <t>Residential (prosumer, condominium but CER not AUC)</t>
  </si>
  <si>
    <t>Intesa Sanpaolo Bank</t>
  </si>
  <si>
    <t>Private (bank loan)</t>
  </si>
  <si>
    <t>enostra</t>
  </si>
  <si>
    <t>Very innovative sheme combining coop members as consumers and Gubbio HHs and SMEs as members of a CER</t>
  </si>
  <si>
    <t>wind</t>
  </si>
  <si>
    <t>Comune di Gubbio</t>
  </si>
  <si>
    <t>CER di Plangreen</t>
  </si>
  <si>
    <t>Comune di Misano Adriatico</t>
  </si>
  <si>
    <t>Plangreen S.r.l.</t>
  </si>
  <si>
    <t>company employee welfare</t>
  </si>
  <si>
    <t>900 Residential + SMEs (consumers)+ enostra (producer), 1 public (municipality, consumer)</t>
  </si>
  <si>
    <t>CER Buccino</t>
  </si>
  <si>
    <t>CER Gubbio</t>
  </si>
  <si>
    <t>Enel X, Gruppo Magaldi</t>
  </si>
  <si>
    <t>FICEI</t>
  </si>
  <si>
    <t>CER Vallette</t>
  </si>
  <si>
    <t>Private (grant)</t>
  </si>
  <si>
    <t>1 Church (prosumer), 8 residential (consumer)</t>
  </si>
  <si>
    <t>IREN Smart Solutions</t>
  </si>
  <si>
    <t>Legacoop</t>
  </si>
  <si>
    <t>cooperativa</t>
  </si>
  <si>
    <t>PV at ex-landfill</t>
  </si>
  <si>
    <t>CER CESLA</t>
  </si>
  <si>
    <t>Comune di Pozza di Fassa</t>
  </si>
  <si>
    <t>students established</t>
  </si>
  <si>
    <t>Consorzio Elettrico di Storo, FassaCoop, Cassa Rurale Dolomiti, Cassa Raiffeisen</t>
  </si>
  <si>
    <t>Public (regional, municipal), private (equity crowdfunding at later stages)</t>
  </si>
  <si>
    <t>Private (loan, equity crowdfunding)</t>
  </si>
  <si>
    <t>Private (grants from coops and banks, equity crowdfunding)</t>
  </si>
  <si>
    <t>Private (equity crowdfunding)</t>
  </si>
  <si>
    <t>1 Public (school, prosumer), ? Residential</t>
  </si>
  <si>
    <t>Consorzio elettrico
di Pozza di Fassa</t>
  </si>
  <si>
    <t>CER Cagliari</t>
  </si>
  <si>
    <t>Comune di Cagliari</t>
  </si>
  <si>
    <t>CER Garda Uno</t>
  </si>
  <si>
    <t>Garda Uno Spa</t>
  </si>
  <si>
    <t>area bresciana del
Lago di Garda</t>
  </si>
  <si>
    <t>biggest CER in Italy</t>
  </si>
  <si>
    <t>Lombardia region</t>
  </si>
  <si>
    <t>Comunità Montana della Valtrompia</t>
  </si>
  <si>
    <t>Weproject</t>
  </si>
  <si>
    <t>CER Trissino</t>
  </si>
  <si>
    <t>Comune di Trissino</t>
  </si>
  <si>
    <t>Green Wolf S.r.l.</t>
  </si>
  <si>
    <t>Public, Private</t>
  </si>
  <si>
    <t>Public, Private (equity)</t>
  </si>
  <si>
    <t>CER Sole</t>
  </si>
  <si>
    <t>Comune di Genova</t>
  </si>
  <si>
    <t>Citizens</t>
  </si>
  <si>
    <t>brand Fra’Diavolo, Comune di Genova.</t>
  </si>
  <si>
    <t>CER Provinciale Asti</t>
  </si>
  <si>
    <t>Comune di Asti</t>
  </si>
  <si>
    <t>Provincia di Asti</t>
  </si>
  <si>
    <t>Comune di Milano</t>
  </si>
  <si>
    <t>CER Bovisa</t>
  </si>
  <si>
    <t>CER Città Studi</t>
  </si>
  <si>
    <t>CER Ghisolfa</t>
  </si>
  <si>
    <t>CER Niguarda/Affori</t>
  </si>
  <si>
    <t>CER Chiaravalle</t>
  </si>
  <si>
    <t>CER Magliano Alpi</t>
  </si>
  <si>
    <t>Comune di Magliano Alpi</t>
  </si>
  <si>
    <t>Legambiente 2024 report</t>
  </si>
  <si>
    <t>Energy Center of Politecnico di Torino, Ufficio Tecnico di Magliano Alpi</t>
  </si>
  <si>
    <t>Main Promoter</t>
  </si>
  <si>
    <t>Public (PNRR Fraccaro law)</t>
  </si>
  <si>
    <t>CER Energy Sporting Center</t>
  </si>
  <si>
    <t>Assistant promoters, CER-builders, financing entities</t>
  </si>
  <si>
    <t>Fondazione
Cassa di Risparmio di Cuneo</t>
  </si>
  <si>
    <t>3 Public (2 consumer, 1 prosumer 20kw), 2 SMEs, 2 residentials (1 prosumer 3kw, 1 consumer)</t>
  </si>
  <si>
    <t>CER Industrial Facility</t>
  </si>
  <si>
    <t>CER Parma North</t>
  </si>
  <si>
    <t>Condominio Biava</t>
  </si>
  <si>
    <t>Bergamo</t>
  </si>
  <si>
    <t>Edison Energia</t>
  </si>
  <si>
    <t>Condominio  Gardenia</t>
  </si>
  <si>
    <t>Dalmine</t>
  </si>
  <si>
    <t>Vimercate AUC</t>
  </si>
  <si>
    <t>Vimercate</t>
  </si>
  <si>
    <t>https://www.rinnovabili.it/mercato/le-aziende-informano/autoconsumo-condominiale-edison-energia-200-cer/</t>
  </si>
  <si>
    <t>AgriGreen</t>
  </si>
  <si>
    <t>Fondi (Latina)</t>
  </si>
  <si>
    <t>Cesab (Centro di Ricerche interuniversitario di Scienze Ambientali), Banca Popolare di Fondi</t>
  </si>
  <si>
    <r>
      <t xml:space="preserve">https://www.edison.it/it/edison-cesab; </t>
    </r>
    <r>
      <rPr>
        <b/>
        <sz val="10"/>
        <color theme="1"/>
        <rFont val="Calibri"/>
        <family val="2"/>
        <charset val="204"/>
        <scheme val="minor"/>
      </rPr>
      <t>https://www.repubblica.it/economia/rapporti/energitalia/lascossa/2023/09/25/news/comunita_energetiche_edison_e_cesab_insieme_per_la_presentazione_di_agrigreen_fondi-415776211/</t>
    </r>
  </si>
  <si>
    <t>Huge agricultural (greenhouse mostly) CER; Companies interested in adhere to an energy-environmental certification, the Bioagropro Certification, and obviously reduce energy costs.</t>
  </si>
  <si>
    <t>SMEs, Public (national park, municipality)</t>
  </si>
  <si>
    <t>CER Valpellice</t>
  </si>
  <si>
    <t>Valpellice</t>
  </si>
  <si>
    <t>Acea Pinerolese</t>
  </si>
  <si>
    <t>Private (equity)</t>
  </si>
  <si>
    <t>Tecnozenith, CONI national sports association</t>
  </si>
  <si>
    <t>Public (PNRR, Programma Nextappenino)</t>
  </si>
  <si>
    <t>PV, hydro</t>
  </si>
  <si>
    <t>Earthquake reconstruction</t>
  </si>
  <si>
    <t>PV, hydro, biomass</t>
  </si>
  <si>
    <t>PV, wind</t>
  </si>
  <si>
    <t>Legambiente 2024 report, https://sisma2016.gov.it/2024/04/02/finanziata-comunita-energetica-rinnovabile-a-tossicia-teramo/</t>
  </si>
  <si>
    <t>CER Fiemme</t>
  </si>
  <si>
    <t>Cooperativa</t>
  </si>
  <si>
    <t>FiemmePer Fondazione ETS</t>
  </si>
  <si>
    <t>Cassa Rurale Val di Fiemme ,  Famiglia Cooperativa di Cavalese ,  Cooperativa Terre altre,  BioEnergia Fiemme ,  Eurostandard ,  Elabora srl ,  Seda sas ,  Magnifica SB essence</t>
  </si>
  <si>
    <t xml:space="preserve">Municipalities of: Anterivo, Baselga di Pinè, Capriana, Castello-Molina di Fiemme, Cavalese, Lona-Lases, Panchià, Pieve Tesino, Sover, Telve, Tesero, Valfloriana, Ville di Fiemme and Ziano. </t>
  </si>
  <si>
    <t>https://energia.incooperazione.it/cer-in-trentino</t>
  </si>
  <si>
    <t>CERTO</t>
  </si>
  <si>
    <t>Baselga di Pinè, Bieno, Borgo Valsugana, Carzano, Castello Tesino, Castel Ivano, Castelnuovo, Cavalese, Castello-Molina di Fiemme, Cinte Tesino, Enego, Grigno, Fierozzo, Frassilongo, Novaledo, Palù del Fersina, Ospedaletto, Panchià, Pieve Tesino, Roncegno Terme, Ronchi Valsugana, Samone, Scurelle, Tesero, Telve, Telve di sopra, Torcegno and Ziano di Fiemme</t>
  </si>
  <si>
    <t xml:space="preserve">CER Valledeilaghi </t>
  </si>
  <si>
    <t>Biodistretto della Valle dei Laghi</t>
  </si>
  <si>
    <t>Madruzzo , Vallelaghi , Cavedine , Dro and Drena .</t>
  </si>
  <si>
    <t>Green Land</t>
  </si>
  <si>
    <t>Municipality of Lavarone</t>
  </si>
  <si>
    <t>Municipalities of: Altopiano della Vigolana, Besenello, Borgo Valsugana, Calceranica, Caldonazzo, Folgaria, Lavarone, Levico Terme, Luserna, Pergine Valsugana, Tenna and Vignola-Falesina.</t>
  </si>
  <si>
    <t>KönCerT</t>
  </si>
  <si>
    <t>Municipalities of: Fai della Paganella, Mezzocorona, Mezzolombardo, San Michele a/A, Roverè della Luna, Spormaggiore and Ton</t>
  </si>
  <si>
    <t>Call for involvment open to all entities of municipalities under the same cabin</t>
  </si>
  <si>
    <t>Banco dell'Energia</t>
  </si>
  <si>
    <t>Available info</t>
  </si>
  <si>
    <t>Number of CERs</t>
  </si>
  <si>
    <t>No number/no typology</t>
  </si>
  <si>
    <t>Self-consumption level</t>
  </si>
  <si>
    <t>BESS</t>
  </si>
  <si>
    <t>Additional OPEX financing source</t>
  </si>
  <si>
    <t>North</t>
  </si>
  <si>
    <t>Sestri Levante</t>
  </si>
  <si>
    <t>Central South</t>
  </si>
  <si>
    <t>Central North</t>
  </si>
  <si>
    <t>South</t>
  </si>
  <si>
    <t>Electrcitiy zone</t>
  </si>
  <si>
    <t>Sicily</t>
  </si>
  <si>
    <t>Sardegna</t>
  </si>
  <si>
    <t>Maregrosso, Messina</t>
  </si>
  <si>
    <t>CEDIS</t>
  </si>
  <si>
    <t>CER di Napoli Est</t>
  </si>
  <si>
    <t>Legambiente
Campania</t>
  </si>
  <si>
    <t>Fondazione Famiglia di Maria, Fondazione con il Sud</t>
  </si>
  <si>
    <t>CER Borutta</t>
  </si>
  <si>
    <t>Borutta</t>
  </si>
  <si>
    <t>Comune di
Borutta</t>
  </si>
  <si>
    <t>De Vidovich &amp; Tricarico</t>
  </si>
  <si>
    <t>Turano
Lodigiano e
Bertonico</t>
  </si>
  <si>
    <t>Macerata
Feltria (PU)</t>
  </si>
  <si>
    <t>Società ILM
Srl</t>
  </si>
  <si>
    <t>Gruppo Professione Energia, Energy People Alliance</t>
  </si>
  <si>
    <t>CER
dell’Università
G. D’Annunzio</t>
  </si>
  <si>
    <t>Chieti</t>
  </si>
  <si>
    <t>Università G.
D’Annunzio
di Chieti e
Pescara</t>
  </si>
  <si>
    <t>CER Tito</t>
  </si>
  <si>
    <t>Tito (PZ)</t>
  </si>
  <si>
    <t>Friendly Power
Srl</t>
  </si>
  <si>
    <t>Comune di Tito</t>
  </si>
  <si>
    <t>Filadelfia (VV)</t>
  </si>
  <si>
    <t>Comune di
Filadelfia</t>
  </si>
  <si>
    <t>Chamois e La
Magdeleine
(AO)</t>
  </si>
  <si>
    <t>Comune</t>
  </si>
  <si>
    <t>CER di Sferro</t>
  </si>
  <si>
    <t>Paternò (CT)</t>
  </si>
  <si>
    <t>Comune di Paterno</t>
  </si>
  <si>
    <t>CER di Biccari</t>
  </si>
  <si>
    <t>Comune di
Biccari, Arca
Capitanata</t>
  </si>
  <si>
    <t>energy poverty - main goal</t>
  </si>
  <si>
    <t>Biccari</t>
  </si>
  <si>
    <t>CER LELAT</t>
  </si>
  <si>
    <t>Rione
Mangialupi
(ME)</t>
  </si>
  <si>
    <t>Comune di
Messina</t>
  </si>
  <si>
    <t>Lega Lotta
Aids e Tossicodipendenza, Enel X</t>
  </si>
  <si>
    <t>Public, ? Residential</t>
  </si>
  <si>
    <t>De Vidovich &amp; Tricarico (2021), https://www.comunirinnovabili.it/comunita-energetica-di-macerata-feltria/</t>
  </si>
  <si>
    <t>Public,?  SMEs, ? residential</t>
  </si>
  <si>
    <t>De Vidovich &amp; Tricarico (2021), Orange Book RSE</t>
  </si>
  <si>
    <t>CER dell’Angitola</t>
  </si>
  <si>
    <t>De Vidovich &amp; Tricarico (2021), Orange Book RSE, https://www.comunirinnovabili.it/comunita-energetica-dellangitola/</t>
  </si>
  <si>
    <t>CER di Chamois - La Magdeleine</t>
  </si>
  <si>
    <t>Consorzio di
Bonifica, MACs Italia</t>
  </si>
  <si>
    <t>De Vidovich &amp; Tricarico (2021), Orange Book RSE, https://www.respira.coop/news/a-biccari-in-puglia-nasce-la-prima-cer-da-una-cooperativa-di-comunita/</t>
  </si>
  <si>
    <t>SMEs (prosumer)</t>
  </si>
  <si>
    <t>CER di Macerata Feltria</t>
  </si>
  <si>
    <t>Solisca</t>
  </si>
  <si>
    <t>Comuni
di Turano
Lodigiano e
Bertonico</t>
  </si>
  <si>
    <t>Sorgenia</t>
  </si>
  <si>
    <t>Solisca is served by a digital platform developed by Sorgenia , plan to add BESS</t>
  </si>
  <si>
    <t>De Vidovich &amp; Tricarico (2021), Orange Book RSE, https://www.thegoodintown.it/solisca-la-comunita-energetica-di-turano-lodigiano/, https://www.qualenergia.it/pro/articoli-pro/caso-comunita-energetica-rinnovabile-turano-lodigiano/</t>
  </si>
  <si>
    <t>1 Public (prosumer 9 PODs), 1 Church (consumer), 18 residential (consumers)</t>
  </si>
  <si>
    <t>San Giovanni a Teduccio</t>
  </si>
  <si>
    <t>Production and consumption are monitored through the Tesla app</t>
  </si>
  <si>
    <t>Riccomassimo, Storo (TN)</t>
  </si>
  <si>
    <t xml:space="preserve">CER di Riccomassimo </t>
  </si>
  <si>
    <t>Comune di Storo, Trentina Cooperation Federation, Associazione "La Buona Fonte”</t>
  </si>
  <si>
    <t>Only typology of members, no number</t>
  </si>
  <si>
    <t>AESS; ENEA; Università di Bologna; Agenzia locale di Sviluppo Pilastro Distretto Nord Est; Regione Emilia-Romagna e Comune di Bologna</t>
  </si>
  <si>
    <t>Public (EU Horizon, EIT Climate-KIC), Private (equity)</t>
  </si>
  <si>
    <t>Capacity (installed or foreseen) kw</t>
  </si>
  <si>
    <t>Number of members</t>
  </si>
  <si>
    <t>Public prosumer, %</t>
  </si>
  <si>
    <t>Residential prosumer, %</t>
  </si>
  <si>
    <t>NPO prosumer,%</t>
  </si>
  <si>
    <t>Public (prosumer), residential (consumer)</t>
  </si>
  <si>
    <t>PVs: 20+20, e-vehicle</t>
  </si>
  <si>
    <t>1) 3 residential (consumer) 2)1 public lightening (prosumer), 1 SME (prosumer), 1 municipal warehouse (prosumer)</t>
  </si>
  <si>
    <t>3 public (prosumer), 1 commercial (consumer), ? SME (1 hostel [prosumer] + ? Others), 1 residential (condominium, consumer)</t>
  </si>
  <si>
    <t>1 public (canteen, town hall, gymnasium, sports fileds, post office, firefighters [prosumers]), 1 religious (consumer), 20 residential (consumer)</t>
  </si>
  <si>
    <t>Public (school, prosumer), residential (consumer)</t>
  </si>
  <si>
    <t>Residential (consumers), SME (farm [prosumer])</t>
  </si>
  <si>
    <t>Public (prosumers), Residential (consumers)</t>
  </si>
  <si>
    <t>Associazione Le.LA.T.</t>
  </si>
  <si>
    <t>Enel X, Comune di Messina</t>
  </si>
  <si>
    <t>1 public (social center [prosumer]), 1 church (consumer), ? Residential (consumers)</t>
  </si>
  <si>
    <t>Enostra</t>
  </si>
  <si>
    <t>Public (school [prosumer]), Residential (consumers), SMEs (consumers)</t>
  </si>
  <si>
    <t>Public (town hall, social center [prosumers]), ? Residentials (consumers),? SMEs (consumers)</t>
  </si>
  <si>
    <t>Public (EU, Interreg)</t>
  </si>
  <si>
    <t>59 Public,? Residential, ? SMEs</t>
  </si>
  <si>
    <t>Legambiente 2022 report,https://www.ilbenecomune.it/2021/12/01/mirabello-sannitico-entra-nel-vivo-il-processo-di-costituzione-della-comunita-energetica-rinnovabile/</t>
  </si>
  <si>
    <t>? Residential (consumer),? SMEs (farm [prosumer 300kw]), RES standalone 1000 kw</t>
  </si>
  <si>
    <t>Public (school [prosumer]), ?Residentials (consumers)</t>
  </si>
  <si>
    <r>
      <t xml:space="preserve">De Vidovich &amp; Tricarico (2021), Orange Book RSE, </t>
    </r>
    <r>
      <rPr>
        <b/>
        <sz val="10"/>
        <color theme="1"/>
        <rFont val="Calibri"/>
        <family val="2"/>
        <charset val="204"/>
        <scheme val="minor"/>
      </rPr>
      <t>https://wec-italia.org/upload/pdf/riccomassima.pdf</t>
    </r>
  </si>
  <si>
    <t>Public (RSE bando), Private (equity)</t>
  </si>
  <si>
    <t>De Vidovich &amp; Tricarico (2021), Orange Book RSE, https://comune.tito.pz.it/wp-content/uploads/2022/04/1.-Modello-Economico-CER-1.pdf</t>
  </si>
  <si>
    <t>2 Public (school 20 kw, library 45 kw [prosumers]), 32 residential and SMEs (consumers)</t>
  </si>
  <si>
    <t>PV, e-vehicles</t>
  </si>
  <si>
    <t>All</t>
  </si>
  <si>
    <t>All North</t>
  </si>
  <si>
    <t>All Central North</t>
  </si>
  <si>
    <t>All Central South</t>
  </si>
  <si>
    <t>All South</t>
  </si>
  <si>
    <t>All Sicily</t>
  </si>
  <si>
    <t>All Sardegna</t>
  </si>
  <si>
    <t>Data for the construction of a synthetic EC</t>
  </si>
  <si>
    <t>Legambiente 2024 report, https://www.provinciaasti-consultazionecer.it/</t>
  </si>
  <si>
    <t>90 Public (89 municipalities: ? schools [prosumers], 1 municipality [consumer]), ? residential</t>
  </si>
  <si>
    <t>Number of configurations</t>
  </si>
  <si>
    <t>https://www.chiesadimilano.it/news/chiesa-diocesi/energie-rinnovabili-cosi-a-greco-si-fa-soledarieta-2797667.html</t>
  </si>
  <si>
    <t>Milano</t>
  </si>
  <si>
    <t>SOLEdarietà</t>
  </si>
  <si>
    <t>Caritas Ambrosiana</t>
  </si>
  <si>
    <t>Banco dell'Energia, Church of Greco</t>
  </si>
  <si>
    <t>energy poverty, solid impact assessment is envisaged</t>
  </si>
  <si>
    <t>Iren Mercato</t>
  </si>
  <si>
    <t>BBVA
Cooperativa Parma 80</t>
  </si>
  <si>
    <t>CER di Stifone</t>
  </si>
  <si>
    <t>Narni</t>
  </si>
  <si>
    <t>La Sapienza University of Rome, Local APS 'VitaNova Stifone'</t>
  </si>
  <si>
    <t>Comune di Narni</t>
  </si>
  <si>
    <t>PV, hydro, hydro-pump, e-vehicle</t>
  </si>
  <si>
    <t>Keystone is the recovery of the historic Stifone hydroelectric power plant, multimedia visitor center in the village</t>
  </si>
  <si>
    <t>https://www.ternitoday.it/zone/narni/narni-comunita-energetica-rinnovabile-a-stifone-comune-premiato-da-legambiente.html</t>
  </si>
  <si>
    <t>CER di Perugia 1</t>
  </si>
  <si>
    <t>CER di Perugia 2</t>
  </si>
  <si>
    <t>CER di Perugia 3</t>
  </si>
  <si>
    <t>CER di Perugia 4</t>
  </si>
  <si>
    <t>Perugia</t>
  </si>
  <si>
    <t>Solar Cash ESCO</t>
  </si>
  <si>
    <t>Ener2Crowd</t>
  </si>
  <si>
    <t>Private (lending crowdfunding)</t>
  </si>
  <si>
    <t>CER di Elmas</t>
  </si>
  <si>
    <t>SMEs (prosumer/office building), ?others (consumers)</t>
  </si>
  <si>
    <t>Elmas</t>
  </si>
  <si>
    <t>insurance is used on laon interet</t>
  </si>
  <si>
    <t>CER di Corciano</t>
  </si>
  <si>
    <t>Corciano</t>
  </si>
  <si>
    <t>SME (prosumer), others (consumers)</t>
  </si>
  <si>
    <t>Aequo ESCO</t>
  </si>
  <si>
    <t>CER di Rocchetta di Vara</t>
  </si>
  <si>
    <t>Rocchetta di Vara</t>
  </si>
  <si>
    <t>? Public (municipality [prosumer]), ?others (consumers)</t>
  </si>
  <si>
    <t>Ener2Crowd, Comune</t>
  </si>
  <si>
    <t>Private (45% lending crowdfunding, equity)</t>
  </si>
  <si>
    <t>Private (83 % lending crowdfunding, equity)</t>
  </si>
  <si>
    <t>https://www.ener2crowd.com/it/progetti/dettaglio/185-comunitagrave-energetica-4?_gl=1*1ws13mq*_up*MQ..&amp;gclid=CjwKCAjw-O6zBhASEiwAOHeGxbbww6yrUwosi5Q1mrnLA4PSrmOLG9F0a0I-4rs0Y3uo81NKhrIorhoCumMQAvD_BwE; personal communication with Ener2Crowd</t>
  </si>
  <si>
    <t>https://www.ener2crowd.com/it/progetti/dettaglio/236-comunitagrave-energetica-7?_gl=1*1ui9y0n*_up*MQ..&amp;gclid=CjwKCAjw-O6zBhASEiwAOHeGxbbww6yrUwosi5Q1mrnLA4PSrmOLG9F0a0I-4rs0Y3uo81NKhrIorhoCumMQAvD_BwE;; personal communication with Ener2Crowd</t>
  </si>
  <si>
    <t>https://www.ener2crowd.com/it/progetti/dettaglio/235-comunitagrave-energetica-2?_gl=1*1ui9y0n*_up*MQ..&amp;gclid=CjwKCAjw-O6zBhASEiwAOHeGxbbww6yrUwosi5Q1mrnLA4PSrmOLG9F0a0I-4rs0Y3uo81NKhrIorhoCumMQAvD_BwE; personal communication with Ener2Crowd</t>
  </si>
  <si>
    <t>CER di Tossicia (Teramo)</t>
  </si>
  <si>
    <t>Comune di Tossicia</t>
  </si>
  <si>
    <t>https://sisma2016.gov.it/2024/04/02/finanziata-comunita-energetica-rinnovabile-a-tossicia-teramo/</t>
  </si>
  <si>
    <t>Comune di Aquila</t>
  </si>
  <si>
    <t>Producer standalone</t>
  </si>
  <si>
    <t xml:space="preserve">Comune di Aquila </t>
  </si>
  <si>
    <t>CER 1 di Rete CER l'Aquila</t>
  </si>
  <si>
    <t>Public (Programma Nextapennino 2016 - 100%)</t>
  </si>
  <si>
    <t>CER 2 di Rete CER l'Aquila</t>
  </si>
  <si>
    <t>2 Public (prosumer [2 sport centers]), 105 residential and industrial</t>
  </si>
  <si>
    <t>CER 3 di Rete CER l'Aquila</t>
  </si>
  <si>
    <t>PV, e-vehicle (charged from PV on car parking)</t>
  </si>
  <si>
    <t>CER 4 di Rete CER l'Aquila</t>
  </si>
  <si>
    <t>SME (ind/com) prosumer, %</t>
  </si>
  <si>
    <t>prosumers: Office of utility company, waste collection facility</t>
  </si>
  <si>
    <t>2 Public (local utilitiy facilities [prosumer]), 50 residential and SMEs</t>
  </si>
  <si>
    <t>Public (Programma Nextapennino 2009 - 50%, municipality - 50%)</t>
  </si>
  <si>
    <t>University of Teramo</t>
  </si>
  <si>
    <t>CER di Matelica</t>
  </si>
  <si>
    <t>Comune di Matelica</t>
  </si>
  <si>
    <t>Public (Programma Nextapennino 2009 - 65%, municipalities - 35%)</t>
  </si>
  <si>
    <t>CER di Mountain Union of Monti Azzurri</t>
  </si>
  <si>
    <t>CER di Camerino</t>
  </si>
  <si>
    <t>Comune di Camerino</t>
  </si>
  <si>
    <t>Mountain Union of Monti Azzurri</t>
  </si>
  <si>
    <t>University of Camerino</t>
  </si>
  <si>
    <t>Public (Programma Nextapennino 2009 - 40%, municipalities - 60%)</t>
  </si>
  <si>
    <t>Public (Programma Nextapennino 2009 - 70%, municipalities - 30%)</t>
  </si>
  <si>
    <t>https://picchionews.it/varie/sisma-2016-comunita-energetiche-rinnovabili-oltre-50-milioni-nelle-marche-matelica-e-camerino-capofila</t>
  </si>
  <si>
    <t>PV, hydro (360 kw)</t>
  </si>
  <si>
    <t>CER di Castel Sant'Angelo</t>
  </si>
  <si>
    <t xml:space="preserve">CER di Micigliano </t>
  </si>
  <si>
    <t>Comune di Micigliano</t>
  </si>
  <si>
    <t>57 Residential (prosumer), 1 Public (consumer)</t>
  </si>
  <si>
    <t>https://www.corrieredirieti.it/rieti-provincia/otto-milioni-per-tre-comunita-energetiche-del-cratere/</t>
  </si>
  <si>
    <t>CER di Amatrice</t>
  </si>
  <si>
    <t>8 Residential (consumer), Public (17 PVs [prosumer], 1 hydro [producer])</t>
  </si>
  <si>
    <t>2387 Residential (consumers), 12 public (prosumers)</t>
  </si>
  <si>
    <t>Other CERs cumulative in Abruzzo</t>
  </si>
  <si>
    <t>Consorzio del Bacino Imbrifero Montano del Nera e Velino della Provincia di Perugia</t>
  </si>
  <si>
    <t>CER Valnerina</t>
  </si>
  <si>
    <t xml:space="preserve">Public (Programma Nextappenino 2016 - 20%, municipality 20%), Private 60% </t>
  </si>
  <si>
    <t>http://bimcascia.pg.it/cnsrzbimnv/po/mostra_news.php?id=25&amp;area=H</t>
  </si>
  <si>
    <t>940 Residential and SMEs (consumers), 7 public (prosumers, producer hydro and biomass)</t>
  </si>
  <si>
    <t>Industrial (100 kw), Public (parking (50 kw, producer hydro 10 kw)</t>
  </si>
  <si>
    <t>Suprema</t>
  </si>
  <si>
    <t>Legambiente 2022 report, https://www.comunirinnovabili.it/la-comunita-energetica-di-foiano-val-fortore/</t>
  </si>
  <si>
    <t>PV (939,51kw), wind (499 kw), hydrostorage (58,4kwp)</t>
  </si>
  <si>
    <t>Legambiente 2024 report; https://www.gardapost.it/2023/05/19/comunita-energetiche-rinnovabili-43-comuni-con-garda-uno-per-lenergia-pulita/</t>
  </si>
  <si>
    <t>43 municipalities, ENEA</t>
  </si>
  <si>
    <t>43 Public (31 municipality prosumers 80%- mostly schools, gyms, town hall, swimming pool, seniour center, etc.: , 12 municipality consumers, Producers 20%: hydro, biomass), ? 47 Residential (consumer).</t>
  </si>
  <si>
    <t>https://www.unite.it/UniTE/Bandi_di_gara_e_contratti/COMUNITA_ENERGETICA_DELL_UNIVERSITA_DI_TERAMO</t>
  </si>
  <si>
    <t>Capacity per PV rooftop configuration, kw</t>
  </si>
  <si>
    <t>Legambiente 2022 report; https://www.comunirinnovabili.it/geco-green-energy-community/</t>
  </si>
  <si>
    <t>CER UniTeramo</t>
  </si>
  <si>
    <t>CER Valle Trompia</t>
  </si>
  <si>
    <t>Legambiente 2024 report; https://www.comunitaenergetica-valletrompia.it/; https://weproject.it/project/la-cer-della-valle-trompia/</t>
  </si>
  <si>
    <t>10 Public (municipality [prosumer]), ? Residentials, ? SMEs, ?NPOs</t>
  </si>
  <si>
    <t>Ind/Com/Office (SME) prosumer, %</t>
  </si>
  <si>
    <t>NPO (Office) prosumer,%</t>
  </si>
  <si>
    <t>Legambiente</t>
  </si>
  <si>
    <t xml:space="preserve">Plan to add 400 more kw through new members to be more economically viable </t>
  </si>
  <si>
    <t>Public (regional bando FVG)</t>
  </si>
  <si>
    <t>Parrocchia di S. Domenico, Fondazione «Casa dell’Immacolata», ComunitàPiergiorgio onlus, Comune di Udine</t>
  </si>
  <si>
    <t>Fondazione</t>
  </si>
  <si>
    <t>CER S. Domenico di Udine</t>
  </si>
  <si>
    <t>Udine</t>
  </si>
  <si>
    <t>Palmanova</t>
  </si>
  <si>
    <t>Associazione no-profit</t>
  </si>
  <si>
    <t>personal participation at FVG regional event; https://www.e-oikos.it/</t>
  </si>
  <si>
    <t>CER E-Oikos</t>
  </si>
  <si>
    <t>CER di Lignano</t>
  </si>
  <si>
    <t>First seaside CER in Italy</t>
  </si>
  <si>
    <t>Lignano Pineta company</t>
  </si>
  <si>
    <t>https://www.gsaigieneurbana.it/in-evidenza/comunita-energetiche-rinnovabili-lignano-ud-la-prima-cer-balneare-della-penisola/</t>
  </si>
  <si>
    <t>Public (regional bando FVG), Private</t>
  </si>
  <si>
    <t>Public (school, [prosumer]), SME (hotel [prosumer]</t>
  </si>
  <si>
    <t>Comuni di Lignano Sabbiadoro, Latisana, Palazzolo dello Stella, Precenicco e Ronchis</t>
  </si>
  <si>
    <t>1 NPO (office, prosumer), 39 residential (consumer)</t>
  </si>
  <si>
    <t>3 NPO (1 prosumer social center, 2 consumer), 1 public (school, prosumer)</t>
  </si>
  <si>
    <t>19 Residential (consumers), NPO (prosumer, office)</t>
  </si>
  <si>
    <t>CERs with Public prosumers</t>
  </si>
  <si>
    <t>CERs with Residential prosumers</t>
  </si>
  <si>
    <t>CERs with SMEs prosumers</t>
  </si>
  <si>
    <t>CERs with NPO prosumers</t>
  </si>
  <si>
    <t>School</t>
  </si>
  <si>
    <t>Gym &amp; sports</t>
  </si>
  <si>
    <t>Commercial</t>
  </si>
  <si>
    <t>Farm</t>
  </si>
  <si>
    <t>Hotel</t>
  </si>
  <si>
    <t xml:space="preserve">Industrial </t>
  </si>
  <si>
    <t>Office</t>
  </si>
  <si>
    <t>Church</t>
  </si>
  <si>
    <t>Social center</t>
  </si>
  <si>
    <t>PV alone</t>
  </si>
  <si>
    <t>PV on parking</t>
  </si>
  <si>
    <t>Wind</t>
  </si>
  <si>
    <t>Standalone facility</t>
  </si>
  <si>
    <t>Public (prosumer 30 kw), 50 residentials (prosumer 60 kw)</t>
  </si>
  <si>
    <t>SMEs (parking space [producer]), NPO</t>
  </si>
  <si>
    <t>Generator capacity information</t>
  </si>
  <si>
    <t>Public Prosumers</t>
  </si>
  <si>
    <t>Residential Prosumers</t>
  </si>
  <si>
    <t>SME prosumers</t>
  </si>
  <si>
    <t>NPO prosumers</t>
  </si>
  <si>
    <t>SMEs [prosumers]</t>
  </si>
  <si>
    <t>Roofs of Pubilc Prosumers, N</t>
  </si>
  <si>
    <t>Roofs of Residential Prosumers, N</t>
  </si>
  <si>
    <t>Roofs of SMEs Prosumers, N</t>
  </si>
  <si>
    <t>Roofs of NPO Prosumers, N</t>
  </si>
  <si>
    <t>PV size average per one Prosumer/Producer</t>
  </si>
  <si>
    <t>CER di Vado Ligure</t>
  </si>
  <si>
    <t>Vado Ligure</t>
  </si>
  <si>
    <t>Public (PNRR), Private</t>
  </si>
  <si>
    <t>https://www.solareb2b.it/vado-ligure-comunita-energetica-impianto-fotovoltaico-1-mwp/; https://www.tirrenopower.com/sostenibilita/</t>
  </si>
  <si>
    <t>4 SMEs (consumers), 2 public (consumers), producer standalone PV on 2 roofs of power plants.</t>
  </si>
  <si>
    <t>municipalitiy of Vado Ligure</t>
  </si>
  <si>
    <t>municipality of Quiliano</t>
  </si>
  <si>
    <t>Public (region)</t>
  </si>
  <si>
    <t>5 members but 19 PODs. 15 consumers, 6 prosumers</t>
  </si>
  <si>
    <t>Sassofeltrio, Monte Scudo-Monte Colombo, Gemmano, Mercatino Conca, Montegrimano Terme, Monte Cerignone</t>
  </si>
  <si>
    <t>https://esg.nexteconomia.org/utente/cer-di-sassofeltrio/; https://energy4com.eu/progetti/bando-emilia-romagna-comune-di-sassofeltrio</t>
  </si>
  <si>
    <t>CER Sinergia</t>
  </si>
  <si>
    <t>Fondazione di Partecipazione</t>
  </si>
  <si>
    <t>Ener4Com coop. ESCo, 23 founding municipalities</t>
  </si>
  <si>
    <t>https://energy4com.eu/progetti/</t>
  </si>
  <si>
    <t>CER di Trento B.I.M.</t>
  </si>
  <si>
    <t>Aldeno
Calliano
Besenello
Nogaredo
Nomi
Volano</t>
  </si>
  <si>
    <t>5 public (prosumers)</t>
  </si>
  <si>
    <t>Ener4com, Sinloc</t>
  </si>
  <si>
    <t>Consorzio dei Comuni della provincia di Trento B.I.M.</t>
  </si>
  <si>
    <t>Consorzio dei Comuni del B.I.M. SARCA MINCIO GARDA</t>
  </si>
  <si>
    <t>CER di B.I.M. SARCA MINCIO GARDA</t>
  </si>
  <si>
    <t>hydro</t>
  </si>
  <si>
    <t>CER “Via del Sole”</t>
  </si>
  <si>
    <t>Ener4com coop ESCO</t>
  </si>
  <si>
    <t>Sestu</t>
  </si>
  <si>
    <t>Public (various needs), producer standalone hydro</t>
  </si>
  <si>
    <t>Comune di Agliana</t>
  </si>
  <si>
    <t>CER di Salvadori Televisione SpA</t>
  </si>
  <si>
    <t>6 SMEs (2 prosumers [office]), 4 consumers)</t>
  </si>
  <si>
    <t>Salvadori Televisione SpA</t>
  </si>
  <si>
    <t>ENEA, Uni Pisa, Uni Cagliari, Uni Padua, Uni Tor Vergata.</t>
  </si>
  <si>
    <t>CER di Budrio</t>
  </si>
  <si>
    <t>Budrio</t>
  </si>
  <si>
    <t>Public (EU EFRD)</t>
  </si>
  <si>
    <t>Associazione</t>
  </si>
  <si>
    <t>Municipality of Budrio</t>
  </si>
  <si>
    <t>14 consumers, 9 prosumers</t>
  </si>
  <si>
    <t>https://esg.nexteconomia.org/utente/budrio/</t>
  </si>
  <si>
    <t>Municipality of Sassofeltrio</t>
  </si>
  <si>
    <t>Sinloc, Ener4com ESCO, Sani Zangrando law firm</t>
  </si>
  <si>
    <t>Alta Valle del Conca</t>
  </si>
  <si>
    <t>CER di Municipio VIII and the University of Rome 3</t>
  </si>
  <si>
    <t>ScuolaLiberaTutti NPO</t>
  </si>
  <si>
    <t>Municipio VIII, University of Rome 3</t>
  </si>
  <si>
    <t>Roma</t>
  </si>
  <si>
    <t>The entities have already decided that they will not redistribute the revenues among the individual users of the CER but will use them to finance educational projects for the benefit of all citizens. A collaboration agreement to be stipulated between the University, the Municipality, the CER and the organizations active in the territory will regulate everything .</t>
  </si>
  <si>
    <t>Almenno San Bartolomeo , Barzana, Bonate Sotto, Brembate Sopra, Calusco, Caprino, Carvico, Cisano, Lomagna, Mapello, Medolago, Monte Marenzo, Osnago, Paderno d'Adda, Paladina, Palazzago , Ponte San Pietro, Robbiate, Roncola , Sotto il Monte, Suisio, Terno d'Isola, Torre de' Busi, Verderio, Villa d'Adda.</t>
  </si>
  <si>
    <t>Cooperativa COAGRI</t>
  </si>
  <si>
    <t>Private (foundation grant, bank loans), Public (EU)</t>
  </si>
  <si>
    <t>https://www.sinloc.com/en/progetti/jessica-sardegna-implementation-of-an-energy-community-at-agri-food-wholesale-market-in-sestu/; https://energy4com.eu/progetti/; https://www.agromercatosardegna.it/unione-di-forze-per-lenergia-sostenibile-nasce-il-progetto-cer-via-del-sole/</t>
  </si>
  <si>
    <t>CER of the wholesale vegetabes and fruit market of Sardegna (largest market). Benefits estimated at around 3 million euros and a 20% reduction in energy costs for the approximately 70 market players. Project plans growing to 7 MW. Market consumes in morning, shopping center in evening thus maximizing profit by balancing becomes possible.</t>
  </si>
  <si>
    <t>Ener4com coop ESCO, Sinloc Spa, Legacoop, “La Corte del Sole” Shopping Centre (Domus de Janas owning company)</t>
  </si>
  <si>
    <t>CER PARMA 2030</t>
  </si>
  <si>
    <t>E'Nostra, Consiglio Nazionale delle Ricerche, dall’Università di Parma e dall’Azienda Unità Sanitaria Locale di Parma</t>
  </si>
  <si>
    <t>https://esg.nexteconomia.org/utente/c-e-r-parma-2030/; https://www.enostra.it/nasce-la-grande-cer-del-comune-di-parma/</t>
  </si>
  <si>
    <t>The Ljubljana Configuration , located in the city's district of the same name and promoted by the Municipality of Parma, will see the construction of a 224 kWp photovoltaic system , financed by the Cariparma Foundation, on the roof of the Albertelli-Newton Comprehensive Institute. The Campus Configuration , promoted by CNR and the University, will instead be powered by a 700 kWp photovoltaic system , financed by the CNR and which will be built on the site of the CNR-IMEM Institute within the Science and Technology Campus of the University of Parma. Plans to grow in capacity.</t>
  </si>
  <si>
    <t>Private (foundation grant, member equity), Public (region grant for feasibility)</t>
  </si>
  <si>
    <t>Public (1 prosumer 224 kwp [university/scientif institute], 1 standalone 700 kwp)</t>
  </si>
  <si>
    <t>La Pianticella</t>
  </si>
  <si>
    <t>Monastero S. Chiara</t>
  </si>
  <si>
    <t>Market (prosumer [market roof])</t>
  </si>
  <si>
    <t>17 consumers, 1 NPO  ([prosumer], church/monastery)</t>
  </si>
  <si>
    <t>https://esg.nexteconomia.org/utente/cer-la-pianticella/</t>
  </si>
  <si>
    <t>Associazione non Riconosciuta</t>
  </si>
  <si>
    <t>Alta Valle del Farfa</t>
  </si>
  <si>
    <t>Casaprota (RI)</t>
  </si>
  <si>
    <t>Cooperative</t>
  </si>
  <si>
    <t>Jesi</t>
  </si>
  <si>
    <t>Confindustria Ancona, Confcooperative Marche, Legacoop Marche, Anci Marche</t>
  </si>
  <si>
    <t>CER+Green</t>
  </si>
  <si>
    <t>Cer di Barberino Tavarnelle</t>
  </si>
  <si>
    <t>Firenze</t>
  </si>
  <si>
    <t>Comune di Barberino Tavarnelle</t>
  </si>
  <si>
    <t>Public (5 prosumers [66 kw school, 33 kw cemetry, 51 kw gym, 56kw nursery school, 62 kw primary school])</t>
  </si>
  <si>
    <t>https://esg.nexteconomia.org/utente/cer-di-barberino-tavarnelle/</t>
  </si>
  <si>
    <t>PV, e-charging planned</t>
  </si>
  <si>
    <t>CER di Borgo Val di Taro</t>
  </si>
  <si>
    <t>Comune di Borgo Val di Taro</t>
  </si>
  <si>
    <t>23 consumers, 7 prosumers</t>
  </si>
  <si>
    <t>Borgo Val di Taro</t>
  </si>
  <si>
    <t>CER Gualdo</t>
  </si>
  <si>
    <t>Gualdo Tadino</t>
  </si>
  <si>
    <t>https://www.comunisostenibili.eu/2024/11/07/presentata-la-cer-gualdo-comunita-energetica-a-gualdo-tadino-un-passo-verso-la-sostenibilita-e-lautosufficienza-energetica/</t>
  </si>
  <si>
    <t>Comune di Gualdo Tadino</t>
  </si>
  <si>
    <t>CER di Poggio Mirtero</t>
  </si>
  <si>
    <t>Comune di Poggio Mirteto</t>
  </si>
  <si>
    <t>Poggio Mirtero</t>
  </si>
  <si>
    <t>86 consumers, 7 prosumers</t>
  </si>
  <si>
    <t>https://esg.nexteconomia.org/utente/cer-di-cottanello/</t>
  </si>
  <si>
    <t>Cer di Quiliano e Vado Ligure</t>
  </si>
  <si>
    <t>Quiliano</t>
  </si>
  <si>
    <t xml:space="preserve">SMEs: MecPlast, See Art Hotel, Birrificio AltaVia, Vernazza Autogru. </t>
  </si>
  <si>
    <t>Tirreno Power as 3d-party producer. Municipality of Quiliano, Municipality of Vado Ligure</t>
  </si>
  <si>
    <t>4 SMEs [consumers], 3d party [prosumer, 2 roofs of thermo plant]</t>
  </si>
  <si>
    <t>The benefits intended for local authorities will be assigned through an agreement to the municipalities of Quiliano and Vado Ligure.</t>
  </si>
  <si>
    <t>https://esg.nexteconomia.org/utente/cer-di-quiliano-e-vado-ligure/; https://www.tirrenopower.com/Storia/la-condivisione-e-la-nuova-energia/; https://www.qualenergia.it/articoli/inaugurata-quiliano-vado-ligure-cer-piu-grande-italia/</t>
  </si>
  <si>
    <t>Comune di San Marcello Piteglio</t>
  </si>
  <si>
    <t>San Marcello Piteglio</t>
  </si>
  <si>
    <t>104 consumers, 27 prosumers</t>
  </si>
  <si>
    <t>Investment cost: €1,297,400. Regulation of redistribution of benefits:
Prosumer 45%
Consumer 45%
Management costs 10%</t>
  </si>
  <si>
    <t>Sinloc, Energy4com</t>
  </si>
  <si>
    <t>https://esg.nexteconomia.org/utente/cer-di-sal-marcello-piteglio/</t>
  </si>
  <si>
    <t xml:space="preserve">CER di Sal Marcello </t>
  </si>
  <si>
    <t>CER Energie Future</t>
  </si>
  <si>
    <t>Ancona</t>
  </si>
  <si>
    <t>30 consumers, 10 prosumers</t>
  </si>
  <si>
    <t>Investment cost: 52000 euro</t>
  </si>
  <si>
    <t>https://esg.nexteconomia.org/utente/cer-energie-future/</t>
  </si>
  <si>
    <t>Plan to grow in number of configurations. An economic benefit of 13,000 euros per year, for 20 years, has been foreseen.</t>
  </si>
  <si>
    <t>Legambiente 2022 report, https://esg.nexteconomia.org/utente/cer-green-blue-energy/</t>
  </si>
  <si>
    <t>Sovisma – Agenzia di sviluppo, Enel X, locale delle Madonie.</t>
  </si>
  <si>
    <t>13 SMEs and coops, 83 persons.</t>
  </si>
  <si>
    <t>https://energia.incooperazione.it/cer-in-trentino; https://greenland.tn.it/</t>
  </si>
  <si>
    <t>CER Guizzo di Energia</t>
  </si>
  <si>
    <t>https://www.guizzodienergia.it/</t>
  </si>
  <si>
    <t>Padova</t>
  </si>
  <si>
    <t>33 Residential</t>
  </si>
  <si>
    <t>https://esg.nexteconomia.org/utente/cer-i-care-reggio-emilia/</t>
  </si>
  <si>
    <t>Reggio Emilia</t>
  </si>
  <si>
    <t>27 Residential [22 consumers, 5 prosumers]</t>
  </si>
  <si>
    <t>Regulation of redistribution of benefits
the value of the energy fed into the grid is returned to the owners of the renewable energy plants, the value of the shared and incentivised energy is used to support families in energy poverty and in environmental projects</t>
  </si>
  <si>
    <t>Cer "I Care"</t>
  </si>
  <si>
    <t>Private citizens</t>
  </si>
  <si>
    <t>Fondazione di partecipazione</t>
  </si>
  <si>
    <t>Comune di Montevarchi</t>
  </si>
  <si>
    <t>Green Wolf srl, Gruppo SIM TEL</t>
  </si>
  <si>
    <t>Valdarno</t>
  </si>
  <si>
    <t>Private (members by equity crowdfunding)</t>
  </si>
  <si>
    <t>The financiers, or crowdfunders, will get a 4% return on investment</t>
  </si>
  <si>
    <t>MondoCer</t>
  </si>
  <si>
    <t>Mondovì (CN)</t>
  </si>
  <si>
    <t>https://unionemonregalese.it/2024/04/26/a-mondovi-nasce-la-comunita-energetica-mondocer/; https://esg.nexteconomia.org/utente/cer-mondocer/</t>
  </si>
  <si>
    <t>Private (foundation Cassa Risparmio Cuneo grant)</t>
  </si>
  <si>
    <t>Environment Park</t>
  </si>
  <si>
    <t>Fondazione Cassa Risparmio di Cuneo, Environment Park</t>
  </si>
  <si>
    <t>Professional Training Center at "Beila"</t>
  </si>
  <si>
    <t>Roero</t>
  </si>
  <si>
    <t>associazione riconosciuta</t>
  </si>
  <si>
    <t>Baldissero d'Alba, Bra, Canale, Castagnito, Castellinaldo, d'Alba, Corneliano d'Alba, Guarene, Magliano Alfieri, Montà, Montaldo Roero, Monteu Roero, Piobesi d'Alba, Pocapaglia, Priocca, Santa Vittoria d'Alba, Santo
Stefano Roero, Sommariva del Bosco, Sommariva Perno, Vezza d'Alba, Monticello d'Alba</t>
  </si>
  <si>
    <t>EU project - RECROSSES</t>
  </si>
  <si>
    <t>Private (foundations Cassa Risparmio Cuneo grant, Compagnia di San Paolo grant), Public (EU project)</t>
  </si>
  <si>
    <t>20 municipality members</t>
  </si>
  <si>
    <t>Cer Roseto Valfortore</t>
  </si>
  <si>
    <t>Roseto Valfortore (FG)</t>
  </si>
  <si>
    <t>Leasing from the energy company</t>
  </si>
  <si>
    <t>Creta Energie Speciali UniCalabria spin-off.</t>
  </si>
  <si>
    <t>Municipality, Friendly Power srl.</t>
  </si>
  <si>
    <t>Leasing from the Friendly Power srl.</t>
  </si>
  <si>
    <t>Plans to grow in capacity, and innovate creating microgrid. However, DSO bloked connection of further capacity for grid congestion reasons for a time-being.</t>
  </si>
  <si>
    <t>https://www.emiliaromagna.archiworld.it/wp-content/uploads/2023/10/Masterfile-Panel-3.pdf; https://www.pv-magazine.it/2023/08/29/crescono-gli-impianti-fotovoltaici-della-cer-di-roseto-valfortore/; https://wayback.archive-it.org/12090/20240323040459/https://rural-energy-community-hub.ec.europa.eu/document/download/b630e095-d38b-4507-8b09-eeb79445aa23_en?filename=Rural%20Energy%20Community%20Best%20Practice%20-%20Roseto%20Valfortore.pdf; http://95.110.227.90/rosetocomunitaenergetica/Contenuto.asp?pg=1&amp;ipg=5&amp;lg=1</t>
  </si>
  <si>
    <t>22 Public (municipality [13 kw prosumer/town hall, 7 kw another mun. building, 20 consumers]), 15 residential [consumers], 3 SMEs [consumer]</t>
  </si>
  <si>
    <t>San Lazzaro di Savena</t>
  </si>
  <si>
    <t>San Lazzaro di Savena (BO)</t>
  </si>
  <si>
    <t>Comune di San Lazzaro di Savena</t>
  </si>
  <si>
    <t>3 centri sociali Fiorenzo Malpensa, Annalena Tonelli e La Terrazza, al Circolo ARCI San Lazzaro e ai due centri di formazione professionale del territorio CEFAL e CNOS-FAP.</t>
  </si>
  <si>
    <t>https://www.comune.sanlazzaro.bo.it/argomenti/energie-rinnovabili/comunita-energetiche-e-gruppi-di-autoconsumo; https://esg.nexteconomia.org/utente/cer-san-lazzaro-di-savena/</t>
  </si>
  <si>
    <t>Energy poverty as a primary objective. The potential amount of shared energy, considering only these plants, will be equal to 656,292 kWh/year and the amount of avoided CO2 will be equal to 244 tons of CO2eq/year.</t>
  </si>
  <si>
    <t>Sant'Elia che energia!</t>
  </si>
  <si>
    <t>Brindisi (BR)</t>
  </si>
  <si>
    <t>E'Nostra</t>
  </si>
  <si>
    <t>E'Nostra, Municipality of Brindisi</t>
  </si>
  <si>
    <t>Public (EU project)</t>
  </si>
  <si>
    <t>Associazione ETS</t>
  </si>
  <si>
    <t xml:space="preserve">Legami di Comunità cooperative </t>
  </si>
  <si>
    <t>Public [30 kw prosumer/school], 19 consumers</t>
  </si>
  <si>
    <t>https://esg.nexteconomia.org/utente/cersantelia/; https://www.enostra.it/e-nata-a-brindisi-una-comunita-energetica-rinnovabile-con-obiettivi-sociali/</t>
  </si>
  <si>
    <t>Santeramo in Colle</t>
  </si>
  <si>
    <t>Santeramo In Colle (BA)</t>
  </si>
  <si>
    <t>Municipality of Santeramo</t>
  </si>
  <si>
    <t>https://www.enostra.it/nasce-la-comunita-energetica-di-santeramo-in-colle-ba/; https://esg.nexteconomia.org/utente/comunita-energetica-rinnovabile-santeramo-in-colle-ets/</t>
  </si>
  <si>
    <t>Energy poverty aim. E'nostra has then identified the families of the council houses near the school as potential members of the CER with a view to fighting energy poverty</t>
  </si>
  <si>
    <t>1 Public [prosumer/school], 5 SMEs [consumers/commercial], 20 residential [non-activated PODs]</t>
  </si>
  <si>
    <t>5 prosumers, 4 consumers, 39 Public (municipalities, other local authorities)</t>
  </si>
  <si>
    <t>Hservizi Spa, Bergamo Province</t>
  </si>
  <si>
    <t>https://esg.nexteconomia.org/utente/cer-di-udine/; https://energy4com.eu/progetti/; https://fondazionesinergia.it/; https://primamerate.it/attualita/la-cer-sinergia-cresce-e-si-presenta-ai-cittadini/</t>
  </si>
  <si>
    <t>Cer Antrodoco</t>
  </si>
  <si>
    <t>15 prosumers, 88 consumers</t>
  </si>
  <si>
    <t>Antrodoco</t>
  </si>
  <si>
    <t>PV 528 kw, biomass 100 kw</t>
  </si>
  <si>
    <t>University Sapienza,  Università di Camerino, Engreen s.r.l.</t>
  </si>
  <si>
    <t>Municipality Antrodoco</t>
  </si>
  <si>
    <t>https://esg.nexteconomia.org/utente/cerantrodoco/; https://engreen.world/en/rec-antrodoco-cera-comunita-energetica-rinnovabile/</t>
  </si>
  <si>
    <t>BolEnergia</t>
  </si>
  <si>
    <t>Bolotana (NU)</t>
  </si>
  <si>
    <t>Investment cost</t>
  </si>
  <si>
    <t>Associazione non riconosciuta</t>
  </si>
  <si>
    <t>31 Residential [10 consumers], 1 Public (municipality [prosumer/school]), 2 SMEs (commercial/non-users), 1 NPO (non-user)</t>
  </si>
  <si>
    <t>Technical indicators</t>
  </si>
  <si>
    <t>Energia totale prodotta
19.4 MWh
Energia totale immessa in rete
24.82 MWh
Energia totale incentivata/condivisa
5 MWh</t>
  </si>
  <si>
    <t>The benefits will go entirely to social activities for the area</t>
  </si>
  <si>
    <t>Legambiente 2022 report; https://esg.nexteconomia.org/utente/cer-common-light-associazione-ets/</t>
  </si>
  <si>
    <t>Total energy produced
22 MWh
Total energy fed into the grid
7.49 MWh
Total incentivized/shared energy
3.49 MWh</t>
  </si>
  <si>
    <t>Maiolo</t>
  </si>
  <si>
    <t>CER di Maiolo</t>
  </si>
  <si>
    <t>Comuna di Maiolo</t>
  </si>
  <si>
    <t>11 prosumers, 4 consumers</t>
  </si>
  <si>
    <t>Total energy produced
MWh
Total energy fed into the grid
252.9 MWh
Total incentivized/shared energy
6.8 MWh
Physical self-consumption
4.7 MWh</t>
  </si>
  <si>
    <t>Petralia Sottana (PA)</t>
  </si>
  <si>
    <t>Energie d'Alta Quota</t>
  </si>
  <si>
    <t>PV 376kw, hydro 15kw</t>
  </si>
  <si>
    <t>Total energy produced
600 MWh
Total energy fed into the grid
247 MWh
Total incentivized/shared energy
158 MWh</t>
  </si>
  <si>
    <t>Comune, private citizens</t>
  </si>
  <si>
    <t>1 Public, 79 Residential, 1 SME</t>
  </si>
  <si>
    <t>13 members in energy poverty</t>
  </si>
  <si>
    <t>https://esg.nexteconomia.org/utente/cer-energie-dalta-quota/</t>
  </si>
  <si>
    <t>Energia totale prodotta 50 MWh, 30% of which have been shared among the members. Almost 15 MW of virtual self-consumption</t>
  </si>
  <si>
    <t>actual self-consumption of solar energy consumed directly on site, generating an overall economic benefit of almost 15 thousand euros.</t>
  </si>
  <si>
    <t>Stat Cap IV miglio</t>
  </si>
  <si>
    <t>Total energy produced
97.65 MWh
Total energy fed into the grid
94.01 MWh
Total incentivized/shared energy
44.39 MWh</t>
  </si>
  <si>
    <t>Among the actions planned to be activated with the resources that will come from the incentives are: plastic collection with a specific delivery system, requalification of furniture in the parks of the territory (benches, planting of trees) environmental training activities, guided tours of the territory.</t>
  </si>
  <si>
    <t>STELLA ARAGONA</t>
  </si>
  <si>
    <t>Belpasso (CT)</t>
  </si>
  <si>
    <t>FEDERCER MEDITERRANEO</t>
  </si>
  <si>
    <t>https://esg.nexteconomia.org/utente/cer-stella-aragona/</t>
  </si>
  <si>
    <t>https://esg.nexteconomia.org/</t>
  </si>
  <si>
    <t>EGP srl</t>
  </si>
  <si>
    <t>Total energy fed into the grid
1,200 MWh
Total incentivized/shared energy
1,000 MWh
Physical self-consumption
300 MWh</t>
  </si>
  <si>
    <t>STIF-ONE</t>
  </si>
  <si>
    <t>PV 70kw, hydro 4kw</t>
  </si>
  <si>
    <t>Municipality of Narni</t>
  </si>
  <si>
    <t>Total energy produced
95 MWh
Total energy fed into the grid
86 MWh
Total incentivized/shared energy
86 MWh</t>
  </si>
  <si>
    <t>https://esg.nexteconomia.org/utente/cer-stif-one/</t>
  </si>
  <si>
    <t>University La Sapienza spin off Dream Srl</t>
  </si>
  <si>
    <t>1 prosumer, 374 consumers</t>
  </si>
  <si>
    <t>La Quercia - Viterbo</t>
  </si>
  <si>
    <t>Lomellina</t>
  </si>
  <si>
    <t>NOSenergia</t>
  </si>
  <si>
    <t>Toricella di Capoluogo</t>
  </si>
  <si>
    <t>Val Maremola</t>
  </si>
  <si>
    <t>Valle di Tevere</t>
  </si>
  <si>
    <t>Valledeilaghi</t>
  </si>
  <si>
    <t>Vallerano</t>
  </si>
  <si>
    <t>CERBER-MF</t>
  </si>
  <si>
    <t>Anzio Nettuno</t>
  </si>
  <si>
    <t>Cabiaglio</t>
  </si>
  <si>
    <t>Casal Brunori Aps</t>
  </si>
  <si>
    <t>De Pazzi</t>
  </si>
  <si>
    <t>CER di Lecco</t>
  </si>
  <si>
    <t>Rodello</t>
  </si>
  <si>
    <t>San Possidonio</t>
  </si>
  <si>
    <t>Illuminati Sabina</t>
  </si>
  <si>
    <t>Portuenze</t>
  </si>
  <si>
    <t>Quarticciolo</t>
  </si>
  <si>
    <t>CERSOLE A CINEST</t>
  </si>
  <si>
    <t>EMMAUS FOGGIA</t>
  </si>
  <si>
    <t>EUDECoop</t>
  </si>
  <si>
    <t>Noicer</t>
  </si>
  <si>
    <t>Oremo Energie Solidale</t>
  </si>
  <si>
    <t>VAL-Energetica SCaRL</t>
  </si>
  <si>
    <t>Coiano Solare APS</t>
  </si>
  <si>
    <t>https://esg.nexteconomia.org/utente/cer-la-quercia-viterbo-sud/</t>
  </si>
  <si>
    <t>Veterbo</t>
  </si>
  <si>
    <t>Torre Beretti</t>
  </si>
  <si>
    <t xml:space="preserve">Comune di Torre Beretti </t>
  </si>
  <si>
    <t>1 Public (municipality [prosumer/sport complex], 18 Residential [consumers]</t>
  </si>
  <si>
    <t>Total energy produced
28 MWh
Total energy fed into the grid
12 MWh
Total incentivized/shared energy
6 MWh</t>
  </si>
  <si>
    <t>https://esg.nexteconomia.org/utente/cerlomellina/</t>
  </si>
  <si>
    <t>Rumo</t>
  </si>
  <si>
    <t>Cassa Rurale Val di Non Rotaliana and Giov, Caseificio di Rumo</t>
  </si>
  <si>
    <t>https://esg.nexteconomia.org/utente/cer-nosenergia/</t>
  </si>
  <si>
    <t>Torricella In Sabina</t>
  </si>
  <si>
    <t>Municipality of Torricella in Sabina</t>
  </si>
  <si>
    <t>Total energy produced
73 MWh
Total energy fed into the grid
72.72 MWh
Total incentivized/shared energy
63.11 MWh</t>
  </si>
  <si>
    <t>https://esg.nexteconomia.org/utente/certorricellacapoluogo/</t>
  </si>
  <si>
    <t>Public (municipality,university, region)</t>
  </si>
  <si>
    <t>Public (region feasibility study)</t>
  </si>
  <si>
    <t>Public (EU Impetus, region feasibility study), Private</t>
  </si>
  <si>
    <t>Public (EU project, rergion feasibility study)</t>
  </si>
  <si>
    <t>https://www.enostra.it/nasce-la-cer-bolenergia-un-esempio-di-solidarieta-tra-cittadini/; https://www.viterbotoday.it/economia/comunita-energetiche-pubblicata-la-graduatoria-per-lo-studio-di-fattibilita.html</t>
  </si>
  <si>
    <t>60 consumers, 1 prosumer</t>
  </si>
  <si>
    <t>https://www.enostra.it/il-lazio-fa-il-pieno-di-cer-7-i-progetti-coordinati-da-enostra/; https://esg.nexteconomia.org/utente/cerromatre/</t>
  </si>
  <si>
    <t>2 Public (2 prosumers [university 3MW, school 15 kw]),  ? 23 [consumers]</t>
  </si>
  <si>
    <t>Pietra Ligure, Borgio Verezzi, Giustenice, Magliolo e Tovo san Giacomo</t>
  </si>
  <si>
    <t>Regulation of redistribution of benefits
40/40/20 redistribution model, minus management costs – 2 cents/kwh shared.
40 prosumer
40 consumer
20 social impact</t>
  </si>
  <si>
    <t>Total energy produced
320 MWh
Total energy fed into the grid
195 MWh
Total incentivized/shared energy
156 MWh</t>
  </si>
  <si>
    <t>Municiaplity</t>
  </si>
  <si>
    <t>Private (members),</t>
  </si>
  <si>
    <t>https://esg.nexteconomia.org/utente/cer-val-maremola/; https://www.ivg.it/2023/10/a-borgio-verezzi-la-prima-comunita-energetica-nel-savonese-abbattimento-dei-costi-e-sostenibilita-ambientale/#single-sidebar-share-anchor-fake</t>
  </si>
  <si>
    <t>Progetto 1998, PoliTorino</t>
  </si>
  <si>
    <t>? [15 prosumers], ? 85 [consumers]</t>
  </si>
  <si>
    <t>Total energy produced
164 MWh
Total energy fed into the grid
108 MWh
Total incentivized/shared energy
108 MWh</t>
  </si>
  <si>
    <t>Progetto Energheia, reconversion of a disused industrial site in Luserna San Giovanni. It is strange that founding utility became a member of CER, probably through its subsidiary APE Rinnovabili S.r.l. but still for the subsidiary making ECs is basically main activity. So, they violate CER legislation. Instead they should be CEC and not get premium from GSE. Regulation of redistribution of benefits
Mixed criterion: Fixed quota (power base) + Variable quota based on shared energy contribution. Plans to grow substntially to 2200 kw capacity.</t>
  </si>
  <si>
    <t>Torrita Tiberina</t>
  </si>
  <si>
    <t>Comune di Torrita Tiberina, private citizens</t>
  </si>
  <si>
    <t>https://esg.nexteconomia.org/utente/comunita-energetica-rinnovabile-valle-del-tevere/</t>
  </si>
  <si>
    <t>Regulation of redistribution of benefits
40% divided among all participants
60% in proportion to self-consumption</t>
  </si>
  <si>
    <t>Total energy fed into the grid
56 MWh
Total incentivized/shared energy
42 MWh</t>
  </si>
  <si>
    <t>7 prosumers, 13 consumers</t>
  </si>
  <si>
    <t>https://www.giornaletrentino.it/ambiente-ed-energia/nascono-le-cer-della-bassa-valsugana-e-della-valle-dei-laghi-1.3528249</t>
  </si>
  <si>
    <t xml:space="preserve"> Madruzzo, Vallelaghi, Cavedine, Dro and Drena</t>
  </si>
  <si>
    <t>Total energy produced
190 MWh
Total energy fed into the grid
35 MWh
Total incentivized/shared energy
80 MWh</t>
  </si>
  <si>
    <t>Public (region feasibiity study)</t>
  </si>
  <si>
    <t>1 Public [prosumer], 24 ? [consumers]</t>
  </si>
  <si>
    <t>https://esg.nexteconomia.org/utente/cer-vallerano/</t>
  </si>
  <si>
    <t>It is ISLAND</t>
  </si>
  <si>
    <t>Public (PNRR, EU project, region feasibility study). Private (members).</t>
  </si>
  <si>
    <t>Legambiente 2022 report; https://esg.nexteconomia.org/utente/cerventotene/; https://www.corriere.it/pianeta2020/21_ottobre_14/sull-isola-che-cattura-vento-nasce-prima-comunita-energetica-mediterraneo-elettricita-condivisa-9246b3c2-2ccd-11ec-88e3-c56da7ff1543.shtml; https://www.qualenergia.it/articoli/progettazione-europea-transizione-energetica-isole-minori-caso-ventotene/</t>
  </si>
  <si>
    <t>1 public (municipality [prosumer/port]), 3 SMEs (bar, hotel, supermarket [prosumers]), 41 Residential [11 prosumers, 29 consumers]</t>
  </si>
  <si>
    <t>Fiumicino (RM)</t>
  </si>
  <si>
    <t>Biodistretto Etrusco-Romano di Maccarese-Fregene</t>
  </si>
  <si>
    <t>Regulation of redistribution of benefits
The Statute (art.8) regulates the redistribution of benefits
50% to consumers and 50% to producers, with the possibility of reserving 20% ​​for social initiatives, protection of energy poverty and energy requalification.</t>
  </si>
  <si>
    <t>Total energy produced
53 MWh
Total energy fed into the grid
20 MWh
Total incentivized/shared energy
27 MWh</t>
  </si>
  <si>
    <t>1 Public (municipality [prosumer]), 2 SMEs (agricultural), 23 Residential</t>
  </si>
  <si>
    <t>https://esg.nexteconomia.org/utente/cerbermf/; https://www.cerber-fm.it/2024/01/associazione-cerber-fm.html#more</t>
  </si>
  <si>
    <t>Anzio</t>
  </si>
  <si>
    <t>Regulation of redistribution of benefits
15% in social utility projects</t>
  </si>
  <si>
    <t>Total energy fed into the grid
26 MWh
Total incentivized/shared energy
11.80 MWh</t>
  </si>
  <si>
    <t>https://esg.nexteconomia.org/utente/cers-anzio-nettuno/</t>
  </si>
  <si>
    <t>5 NPOs (1 church, 4 other NPOs [prosumers]), 15 Residential [consumers]</t>
  </si>
  <si>
    <t>Castello Cabiaglio</t>
  </si>
  <si>
    <t>Total energy produced
70.2 MWh
Total energy fed into the grid
54.3 MWh
Total incentivized/shared energy
32 MWh</t>
  </si>
  <si>
    <t>PV, plans for biomass</t>
  </si>
  <si>
    <t>https://reteperilclimadelverbano.it/wp-content/uploads/2024/10/CER-29ott24-rev-tp.pdf</t>
  </si>
  <si>
    <t>Luino, Castelveccana, Germignaga, Maccagno con Pino e Veddasca</t>
  </si>
  <si>
    <t>CER DEL LUINESE</t>
  </si>
  <si>
    <t>Comune, ANPCI (National Association of Small Municipalities of Italy)</t>
  </si>
  <si>
    <t>https://esg.nexteconomia.org/utente/cersbabiaglio/; https://rete-ries.it/soci/notizie-soci/co-energia-un-anno-di-incontri-sulle-cers/</t>
  </si>
  <si>
    <t xml:space="preserve">45 consumers, </t>
  </si>
  <si>
    <t>Private (foundation)</t>
  </si>
  <si>
    <t>Ecofficine</t>
  </si>
  <si>
    <t>CER-amica</t>
  </si>
  <si>
    <t>Laveno Mombello</t>
  </si>
  <si>
    <t xml:space="preserve"> associazione non riconosciuta</t>
  </si>
  <si>
    <t>2 prosumer, 23 consumer</t>
  </si>
  <si>
    <t>CER dei Laghi</t>
  </si>
  <si>
    <t>Travedona Monate</t>
  </si>
  <si>
    <t>Plans to grow</t>
  </si>
  <si>
    <t>1 Public [prosumer/school],  10 consumers, 9 Future prosumers</t>
  </si>
  <si>
    <t>1 Public [prosumer/park building], 22 consumers</t>
  </si>
  <si>
    <t>https://esg.nexteconomia.org/utente/cers-casal-brunori-aps/</t>
  </si>
  <si>
    <t>Total energy produced
14 MWh
Total energy fed into the grid
109.66 MWh
Total incentivized/shared energy
37.68 MWh</t>
  </si>
  <si>
    <t>Sun4All project</t>
  </si>
  <si>
    <t>Regulation of redistribution of benefits
The funds from the community facility are donated to the Educating Community, while those from private facilities are divided for the economic and social benefits of the CER</t>
  </si>
  <si>
    <t>Residential [5 prosumers, 12 consumers], 1 Standalone PV [producer]</t>
  </si>
  <si>
    <t>https://esg.nexteconomia.org/utente/cers-de-pazzi/</t>
  </si>
  <si>
    <t>Total energy produced
60 MWh
Total energy fed into the grid
55 MWh
Total incentivized/shared energy
40 MWh</t>
  </si>
  <si>
    <t>Municipality of Lecco</t>
  </si>
  <si>
    <t>associazione ETS</t>
  </si>
  <si>
    <t xml:space="preserve">Plans to grow to all province Lecco municipalities installing 150 MW capacity. Most of the incentives produced by the Lecco Cers will be allocated to a Community Fund, established at the Community Foundation, and will be used to support local projects with social or environmental purposes. </t>
  </si>
  <si>
    <t>Lecco, other municiaplities in the Lecco provice</t>
  </si>
  <si>
    <t>https://primalecco.it/attualita/cer-di-lecco-ci-siamo-il-28-maggio-nasce-la-comunita-energetica-rinnovabile/; https://esg.nexteconomia.org/utente/cers-di-lecco/</t>
  </si>
  <si>
    <t>Fondazione Cariplo</t>
  </si>
  <si>
    <t>Private (foundation, feasibility study), Public (PNRR)</t>
  </si>
  <si>
    <t>Total energy produced
416.72 MWh</t>
  </si>
  <si>
    <t>The parish priest Don Valerio Pennaso was chosen as president. Regulation of redistribution of benefits
40% social purposes, the remaining part for investments to benefit the CER and/or to repay the investment of the members</t>
  </si>
  <si>
    <t>Santi Lorenzo and Teobaldo Foundation</t>
  </si>
  <si>
    <t>Rodello, Cerretto Langhe, Cravanzana</t>
  </si>
  <si>
    <t>Private (foundations), Public (PNRR)</t>
  </si>
  <si>
    <t>Municipality of Rodello, Municiaplity of Cerreto Langhe, Diocese of Alba, the parish of San Lorenzo, Sofein ESCo. Cassa Risparmio di Cuneo Fondazione. Fondazione Compagnia di San Paolo</t>
  </si>
  <si>
    <t>Comune di San Possidonio</t>
  </si>
  <si>
    <t>Total energy produced
64 MWh
Total energy fed into the grid
45 MWh
Total incentivized/shared energy
36 MWh</t>
  </si>
  <si>
    <t>Parroccchia San Possidonio, Pro loco Associazione</t>
  </si>
  <si>
    <t>1 Public (municipality [prosumers/20 kw sport center +18kw public building + 7kw cemetery), 2 NPOs (church, NPO [consumers]), 44 Residential [6 prosumers, 38 consumers].</t>
  </si>
  <si>
    <t xml:space="preserve">https://comunivirtuosi.org/wp-content/uploads/2024/11/San-Possidonio.pdf; https://esg.nexteconomia.org/utente/comunita-energetica-rinnovabile-di-san-possidonio/; https://www.settimanesociali.it/news/san-possidonio-mo-nasce-nasce-la-comunita-energetica-rinnovabile/; </t>
  </si>
  <si>
    <t>Will grow to include more private citizens and SMEs. Energy poverty focus. Regulation of redistribution of benefits
After deducting management costs, 60% of the incentives will go to producers and 40% to the community's consumer members in the form of shopping vouchers at the municipal service providers.</t>
  </si>
  <si>
    <t>Rieti</t>
  </si>
  <si>
    <t>Regulation of redistribution of benefits
To repay the members' financing in the first years, the revenue from the energy sold will be used to repay the investment. Until the internal and external financing is fully repaid, 80% of the incentives will be used to repay them, and the remaining 20% ​​will be placed in the CERS Savings Fund.</t>
  </si>
  <si>
    <t>Total energy produced
36 MWh
Total energy fed into the grid
31.31 MWh
Total incentivized/shared energy
18.21 MWh</t>
  </si>
  <si>
    <t>Public (region feasibility study, PNRR)</t>
  </si>
  <si>
    <t>https://esg.nexteconomia.org/utente/cersilluminatisabina/; https://attac-italia.org/e-nata-una-cers-i-primi-44-gatti-di-una-rivoluzione-energetica/; https://solho.eu/impianto-privato-cer-illuminati-sabina-ets/</t>
  </si>
  <si>
    <t>1 SME [prosumer/farm], 37 Residential [3 prosumers: 1 3,9kwp, 34 consumers], 7 non-users</t>
  </si>
  <si>
    <t>Polo Civico Esquilino Poléis</t>
  </si>
  <si>
    <t>https://esg.nexteconomia.org/utente/cers-polo-civico-esquilino/</t>
  </si>
  <si>
    <t>Total energy produced
75 MWh
Total energy fed into the grid
75 MWh
Total incentivized/shared energy
56 MWh</t>
  </si>
  <si>
    <t>1 NPO [prosumer], 69 Residential [consumers]</t>
  </si>
  <si>
    <t>Esquilino</t>
  </si>
  <si>
    <t>Total energy fed into the grid
23 MWh
Total incentivized/shared energy
8.5 MWh</t>
  </si>
  <si>
    <t>Energy poverty focused</t>
  </si>
  <si>
    <t>14 Residential [7 prosumers, 7 consumers]</t>
  </si>
  <si>
    <t>https://esg.nexteconomia.org/utente/stefano-lucidi/</t>
  </si>
  <si>
    <t>Cinecittà Bene Comune NPO</t>
  </si>
  <si>
    <t>Total energy produced
50 MWh
Total energy fed into the grid
35 MWh
Total incentivized/shared energy
40 MWh</t>
  </si>
  <si>
    <t>Quadraro Don Bosco</t>
  </si>
  <si>
    <t>2 NPOs [1 consumer/coop., 1 non-user], 18 Residential [consumers], 1 Public [prosumers/social center, school].</t>
  </si>
  <si>
    <t>https://comune-info.net/scuole-aperte/lenergia-del-nostro-quartiere/; https://esg.nexteconomia.org/utente/cersquadrarodonbosco/</t>
  </si>
  <si>
    <t>Municipio VII of Roma</t>
  </si>
  <si>
    <t>They are looking at ESG conscious PV and works suppliers. Support paid training projects for the unemployed and job placement and cultural projects.</t>
  </si>
  <si>
    <t>Total energy produced
87 MWh
Total energy fed into the grid
68 MWh
Total incentivized/shared energy
32 MWh</t>
  </si>
  <si>
    <t>support the maintenance and care of the common public spaces of the neighborhood</t>
  </si>
  <si>
    <t>Polo civico del Quarticciolo NPO</t>
  </si>
  <si>
    <t>University La Sapienza</t>
  </si>
  <si>
    <t>1 NPO [prosumer], 13 consumers</t>
  </si>
  <si>
    <t>https://esg.nexteconomia.org/utente/cersquarticciolo/; https://www.rse-web.it/wp-content/uploads/2024/09/Elaborazione-del-Modello-di-Piano-dazione-locale-per-le-CER-del-Modello-di-Piano-organizzativo-di-comunita-e-integrazione-della-risorsa-geotermica.pdf</t>
  </si>
  <si>
    <t>Anguillara Sabazia</t>
  </si>
  <si>
    <t>Total energy produced
133.53 MWh
Total energy fed into the grid
118.05 MWh
Total incentivized/shared energy
53.75 MWh</t>
  </si>
  <si>
    <t>ENEA, Comune</t>
  </si>
  <si>
    <t>Rinnovanguillara NPO, Solidarity Purchasing Group “AttivaAnguillaraGAS”,  Regina Pacis Parish</t>
  </si>
  <si>
    <t>https://www.cersanguillara.it/chi-siamo/; https://esg.nexteconomia.org/utente/cersrinnovaanguillara/; https://www.orticaweb.it/anguillara-verso-una-comunita-energetica-rinnovabile/</t>
  </si>
  <si>
    <t>RenewAnguillara APS</t>
  </si>
  <si>
    <t>Associazione di Promozione Sociale</t>
  </si>
  <si>
    <t>5 NPOs [prosumer/44,1kw church, consumers], 1 Public (municipality [prosumer/65,6kw agricultural consortium), 25 Residential [consumers]</t>
  </si>
  <si>
    <t>Total energy produced
90 MWh
Total energy fed into the grid
77 MWh
Total incentivized/shared energy
69 MWh
Physical self-consumption
30 MWh
Self-consumption index
110%
Self-sufficiency index
30%</t>
  </si>
  <si>
    <t>Total energy produced
25 MWh
Total energy fed into the grid
21.25 MWh
Total incentivized/shared energy
18 MWh</t>
  </si>
  <si>
    <t>50 Residential [5 prosumers, 45 consumers]</t>
  </si>
  <si>
    <t>Energia totale prodotta
164.5 MWh
Energia totale immessa in rete
154.4 MWh
Energia totale incentivata/condivisa
37 MWh</t>
  </si>
  <si>
    <t>Comitato di Quartiere Certosa, associazione A Sud</t>
  </si>
  <si>
    <t>Legambiente 2024 report; https://www.viterbotoday.it/economia/comunita-energetiche-pubblicata-la-graduatoria-per-lo-studio-di-fattibilita.html; https://esg.nexteconomia.org/utente/certosaenergia/; https://asud.net/wp-content/uploads/2023/12/report-cer.tosa_.pdf</t>
  </si>
  <si>
    <t>CER di Ravenna</t>
  </si>
  <si>
    <t>Ravenna</t>
  </si>
  <si>
    <t>Legacoop Romagna</t>
  </si>
  <si>
    <t>Leasing 3d party</t>
  </si>
  <si>
    <t>Energia totale prodotta
1.100 MWh
Energia totale immessa in rete
1.000 MWh
Energia totale incentivata/condivisa
979.98 MWh</t>
  </si>
  <si>
    <t>Public (region feasibility study), Leasing 3d party</t>
  </si>
  <si>
    <t>https://esg.nexteconomia.org/utente/comunita-energetica-cooperativa-ravenna/; https://legacoopromagna.it/2024/05/07/e-nata-comunita-energetica-cooperativa-ravenna-e-la-piu-grande-cer-cooperativa-ditalia/</t>
  </si>
  <si>
    <t>Enostra, Bryo Spa of Imola as 3d party producer.</t>
  </si>
  <si>
    <t>Bryo Spa, Diocense Church Authority</t>
  </si>
  <si>
    <t>https://www.bryo-spa.it/2024/10/22/nasce-la-prima-comunita-energetica-del-territorio-imolese-sotto-forma-di-cooperativa/</t>
  </si>
  <si>
    <t>CER del Nuovo Circondario Imolese</t>
  </si>
  <si>
    <t>Imola, Mordano, Castel San Pietro Terme</t>
  </si>
  <si>
    <t>The idea is to create by the end of 2024 a Memorandum of Bryo in the period 2024 – 2025 has set itself the goal of producing 7.2 Mw of new plants that enter energy community this also expanding EC to 7 configurations.Understanding open to all installers in the area, in terms of types of material to install, but above all uniform prices, so that a citizen who wants to proceed with a photovoltaic installation has some certain point of reference in terms of costs.  Public bodies, which by choice will not enter the CER, will have a role as developers and in making available the surfaces, for example parking lots or roofs of public structures, on which entities such as Bryo will then be able to build the systems serving the CER.</t>
  </si>
  <si>
    <t>Municipalities of the Imola district</t>
  </si>
  <si>
    <t>Cooperative of cooperatives. Plans to grow to 6 configurations/primary cabins covering whole area.</t>
  </si>
  <si>
    <t>9 NPOs (coops [consumers]), 3d party [standalone 1 MW]</t>
  </si>
  <si>
    <t>CER del Crinale</t>
  </si>
  <si>
    <t>Ramiseto</t>
  </si>
  <si>
    <t xml:space="preserve">The goal for the two-year period 2024-2025 is to install five photovoltaic systems at the companies associated with the second Energy Community (which will produce approximately 350 megawatt hours per year) and eight at the companies associated with the Dairy. </t>
  </si>
  <si>
    <t>https://www.prefina.it/proroga-bando-sostegno-comunita-energetiche-rinnovabili-2022/; https://www.redacon.it/2024/05/17/nasce-a-ramiseto-la-comunita-energetica-rinnovabile-del-crinale/</t>
  </si>
  <si>
    <t>Production of 276 MWh of energy per year</t>
  </si>
  <si>
    <t>Prefina srl ESCO (referente)</t>
  </si>
  <si>
    <t>CER dell’Appennino Reggiano</t>
  </si>
  <si>
    <t>Cavola, Toano</t>
  </si>
  <si>
    <t>Production of 690 MWh of energy per year</t>
  </si>
  <si>
    <t xml:space="preserve">12 SMEs (farms [8 prosumers each with one system, 4 consumers], 50 Residential [consumers]. </t>
  </si>
  <si>
    <t>Cna Reggio Emilia</t>
  </si>
  <si>
    <t>https://www.prefina.it/proroga-bando-sostegno-comunita-energetiche-rinnovabili-2022/; https://www.terredemilia.confcooperative.it/News/Notizie/il-caseificio-di-cavola-lancia-la-comunita-energetica-dappennino</t>
  </si>
  <si>
    <t>Torre Boldone</t>
  </si>
  <si>
    <t>CER Imotorre</t>
  </si>
  <si>
    <t>Total energy produced
4,000,000 MWh</t>
  </si>
  <si>
    <t>https://esg.nexteconomia.org/utente/comunita-energetica-torre-boldone/; https://www.cerimotorre.it/</t>
  </si>
  <si>
    <t>Comune di Torre Boldone</t>
  </si>
  <si>
    <t>Immotore srl, Lalus srl, Comunità Scuola Paolo VI coop.</t>
  </si>
  <si>
    <t>Minister arrived to visit them. Plants situated within one primary station thus I think only 1 MW will be incentivized. In the next few days, a colony of bees with approximately 40 hives will be placed along the photovoltaic rows, as well as crops specifically designed to encourage the pollination activity of nomadic bees. Finally, about a thousand shrubs will be planted along the perimeter of the photovoltaic park, in addition to new plantings between one row and another. Destiniamo il 5% dell'introito annuo della CER al Comune di Torre Boldone che li utilizzerà per il conseguimento di progetti sociali.</t>
  </si>
  <si>
    <t>Marsciano</t>
  </si>
  <si>
    <t>Via dei Partigiani</t>
  </si>
  <si>
    <t>1 Residential [prosumer], 3 SME [consumers]</t>
  </si>
  <si>
    <t>Prosumer obtains 52% of the revenues deriving from the MISE incentives, to which are added the benefits of direct self-consumption, while the remaining part of the incentives will be divided equally between the three Consumers</t>
  </si>
  <si>
    <t>https://esg.nexteconomia.org/utente/comunita-energetica-via-dei-partigiani/</t>
  </si>
  <si>
    <t>Private (residential member)</t>
  </si>
  <si>
    <t>Techne srl, Private citizen</t>
  </si>
  <si>
    <t>https://esg.nexteconomia.org/utente/emmaus-foggia/</t>
  </si>
  <si>
    <t>Foggia</t>
  </si>
  <si>
    <t>Private (foundaitons grant and donation)</t>
  </si>
  <si>
    <t>Comunità sulla Strada di Emmaus NPO</t>
  </si>
  <si>
    <t>Associazione APS</t>
  </si>
  <si>
    <t>One of ECs to which Edison Energhia donated PVs. Energy poverty focused.</t>
  </si>
  <si>
    <t>University of Foggia, COMMUNITY ON THE ROAD TO EMMAUS
EURICSE,
“SINISCALCO CECI-EMMAUS” FOUNDATION,
FORTORE ENERGIA SPA,
GANDALF SCS CONSORTIUM OF SOCIAL COOPERATIVES,
TERRA BIO AGRICULTURAL COMPANY A RL – SOCIAL ENTERPRISE.</t>
  </si>
  <si>
    <t>5 NPOs [prosumer/farm, consumers], 40 Residential [consumers]</t>
  </si>
  <si>
    <t>Total energy produced
50 MWh
Total energy fed into the grid
23 MWh
Total incentivized/shared energy
20 MWh</t>
  </si>
  <si>
    <t>CITERA Sapienza</t>
  </si>
  <si>
    <t>https://esg.nexteconomia.org/utente/eudecoop/; https://www.lazioinnova.it/innovazione-aperta/partner/eudecoop/</t>
  </si>
  <si>
    <t>EUDEcoop NPO</t>
  </si>
  <si>
    <t>Sun4All</t>
  </si>
  <si>
    <t>Public (15 prosumers/schools]</t>
  </si>
  <si>
    <t>https://sunforall.eu/pilots/rome</t>
  </si>
  <si>
    <t>Energy poverty focused. Energy share of at least 0.5 kW per year for each participating household, which will be credited on the participants’ energy bills and lead to a reduction of their actual energy costs.</t>
  </si>
  <si>
    <t>Sapienza University</t>
  </si>
  <si>
    <t>Call for involvment open to all entities of municipalities under the same cabin. The energy sold remains with the members who made the investment. The energy self-consumed virtually receives GSE incentive that goes to CER.</t>
  </si>
  <si>
    <t>Total energy fed into the grid
310 MWh
Total incentivized/shared energy
140 MWh</t>
  </si>
  <si>
    <t>Public (EU "Rural Energy Community Advisory Hub", Private (sector association freasiblity study grant -Federazione Trentina della Cooperazione )</t>
  </si>
  <si>
    <t>https://www.alpinvision.it/koncert/; https://energia.incooperazione.it/it/news/la-comunita-energetica-koncert-cresce-e-diventa-impresa-sociale-con-lo-sguardo-diretto-a-un-futuro-sostenibile; https://esg.nexteconomia.org/utente/koncert/</t>
  </si>
  <si>
    <t>Residential, SMEs, Public,  51 consumers, 7 prosumers, 82 non-user members</t>
  </si>
  <si>
    <t>Alpinvision srl of Mattia Dallapiccola and Alessia Cornella</t>
  </si>
  <si>
    <t>Cerveteri</t>
  </si>
  <si>
    <t>Noinet Cooperative</t>
  </si>
  <si>
    <t>Total energy produced
26.5 MWh
Total energy fed into the grid
5 MWh
Total incentivized/shared energy
5 MWh</t>
  </si>
  <si>
    <t>https://esg.nexteconomia.org/utente/noicer/</t>
  </si>
  <si>
    <t>Comune, University of Sapienza</t>
  </si>
  <si>
    <t>Residential [12 consumers, 25 prosumers]</t>
  </si>
  <si>
    <t>Biella</t>
  </si>
  <si>
    <t>PV, e-mobility</t>
  </si>
  <si>
    <t>Private (foundations grants)</t>
  </si>
  <si>
    <t>EpC – Energie per Comunità ESCO spin off of CGM and Fratello Sole, Fondazione Cassa di Risparmio di Biella, Fondazione Compagnia di San Paolo, Confcooperative Piemonte Nord</t>
  </si>
  <si>
    <t>E-mobility already functioning. Plans to expand to 700 kwp. Regulation of redistribution of benefits
90% distribution of incentives to families
10% distributed to CERS members as services
As regards the revenue due to the sale of energy, in this phase it will be left to the producer and prosumer members</t>
  </si>
  <si>
    <t>https://csvnet.it/component/content/article/144-notizie/5052-a-biella-nasce-oremo-la-prima-comunita-energetica-con-il-contributo-del-csv?Itemid=893&amp;fbclid=IwZXh0bgNhZW0CMTAAAR2P5UCdDni6az-Q4PV8dVxYF6gBiZqdJf62O5wcSZwLhK4iCA6gLWgEK7c_aem_IjJjhflr_SMDPZcb_hOIYw; https://esg.nexteconomia.org/utente/oremo-energia-solidale/; https://cgm.coop/cer-oremo-auto-elettrica/</t>
  </si>
  <si>
    <t>Cooperativa (Società Cooperativa di Impresa Sociale)</t>
  </si>
  <si>
    <t>4 coops (Consorzio Sociale Il Filo da Tessere, the Cooperativa Sociale Domus Laetitiae, the Cooperativa Sociale Sportivamente and the Cooperativa Sociale Tantintenti) that manage Cascina Oremo educational center, on which roof 200 kw was built.</t>
  </si>
  <si>
    <t>University of Siena</t>
  </si>
  <si>
    <t>Siena 2 Committee, Archdiocese of Siena</t>
  </si>
  <si>
    <t>Public (PNRR), Private (bank loans)</t>
  </si>
  <si>
    <t>3500 (for 75 kw)</t>
  </si>
  <si>
    <t>4200 (for 75 kw)</t>
  </si>
  <si>
    <t>150000 (for 75 kw)</t>
  </si>
  <si>
    <t>Total energy fed into the grid for 75 kw:
3 MWh
Total incentivized/shared energy
2 MWh
Physical self-consumption
2.5 MWh</t>
  </si>
  <si>
    <t>Energy poverty focused. BILL REDUCTION FOR SELF-CONSUMPTION OF PRODUCERS, INCENTIVE SPLIT BETWEEN OPERATING COSTS AND THE RESIDUAL AMOUNT 40% PRODUCERS 60% CONSUMERS. Plans to grow. To manage energy flows within Siena CER, AI SUMMA project proposes the adoption of federated reinforcement learning models, capable of stabilizing distribution curves and optimizing the use of renewable energy. The developed algorithms will maximize the use of renewable energy and ensure the reliability of the energy production and distribution system in the primary distribution cabins, where CERs operate. The two companies have also registered their employees, 150 and 20 respectively, in the Energy Community, thus allowing these families to participate in the energy benefits, even if they are not residents in the territory of cabin 491.</t>
  </si>
  <si>
    <t>Siena, Monteriggioni, Castelnuovo Berardenga, Castellina in Chianti, More di cuna, Ponte a Tressa, Isola d'Arbia, Renaccio area, Taverne d'Arbia, Casetta, Le Cortine, Ruffolo, Viale Europa, Montalbuccio, Costafabbri, Cerchiaia, Massetana Romana, Volte Basse, Volte Alte, S.Andrea, Carpineto</t>
  </si>
  <si>
    <t>https://www.pv-magazine.it/2024/11/26/la-cer-di-siena-e-in-espansione/; https://sienafree.it/164553-sienaenergie-la-comunita-energetica-rinnovabile-con-maggior-potenza-fotovoltaica-in-toscana; https://www.pv-magazine.it/2024/11/26/la-cer-di-siena-e-in-espansione/; https://esg.nexteconomia.org/utente/sienaenerge-ets/; https://www.sienaenergie.it/2024/09/23/le-ultime-novita/</t>
  </si>
  <si>
    <t>200 Residentials [135 non-user members, 65 consumers], NPOs (coops, churches, env. NPOs [non-user members]), Public (municipalities, university [non-user members]), SMEs (standalone 760 kw, prosumer/industrial 60 kwp, prosumer 10 kw, prosumer 27 kw).</t>
  </si>
  <si>
    <t>SIENAENERGIE ETS</t>
  </si>
  <si>
    <t>https://esg.nexteconomia.org/utente/cerpartenergy/</t>
  </si>
  <si>
    <t>COM-E' San Vito</t>
  </si>
  <si>
    <t>461000 (for 3848 kw plans)</t>
  </si>
  <si>
    <t>417000 (for 3848 kw plans)</t>
  </si>
  <si>
    <t>Total energy produced (for 3848 kw plans): 4.713.61 MWh</t>
  </si>
  <si>
    <t>3650000 (for 3848 kw plans)</t>
  </si>
  <si>
    <t>Plans to grow considerably, already acquired land for building 3 MW plant standalone solar.</t>
  </si>
  <si>
    <t>Omnia Energy energy generator, Municipalities of Valvasone Arzene, Casarsa della Delizia and San Martino al Tagliamento</t>
  </si>
  <si>
    <t>Leasing 3-party provider</t>
  </si>
  <si>
    <t>3-d party standalone 750 kw</t>
  </si>
  <si>
    <t>CER di Monfalcone</t>
  </si>
  <si>
    <t>Monfalcone</t>
  </si>
  <si>
    <t>https://www.ilpiccolo.it/cronaca/maxi-parco-fotovoltaico-ai-piedi-del-carso-a-monfalcone-x5pq4wac</t>
  </si>
  <si>
    <t>Public (region, PNRR)</t>
  </si>
  <si>
    <t>Public (municipality [prosumer/town hall 26,1 kw, prosumer/firefighters 33,5 kw + BESS], standalone/parking 156,7 kw)</t>
  </si>
  <si>
    <t>San Vito al Tagliamento</t>
  </si>
  <si>
    <t>CER di San Vito di Leguzzano</t>
  </si>
  <si>
    <t>San Vito di Leguzzano</t>
  </si>
  <si>
    <t>WATT srls</t>
  </si>
  <si>
    <t>https://www.watt.srl/fotovoltaico/le-cer-in-pratica-un-impianto-a-s-vito-di-leguzzano-vi/</t>
  </si>
  <si>
    <t>Part-Energy Benefit Coop. (similar in a way to For Green spa. But without utility activities)</t>
  </si>
  <si>
    <t>Sol Solari e Solidali (ex La Rotonda)</t>
  </si>
  <si>
    <t>1 NPO (office, prosumer), 39 Residentials [consumers]</t>
  </si>
  <si>
    <t>Municipality, Fondazione AEM, NextEnergy Foundation.</t>
  </si>
  <si>
    <t>Private (foundation grant)</t>
  </si>
  <si>
    <t>Personal communication, https://esg.nexteconomia.org/utente/sol-solari-e-solidali/; https://larotonda.org/upload/documenti/1/15/153/1537.pdf</t>
  </si>
  <si>
    <t>Total energy produced 93.29 MWh, Total energy fed into the grid 64 MWh, Total incentivized/shared energy 69.5 MWh, Energia eccedente l’autoconsumo diretto e immessa in rete: 75,71% Energia condivisa dalle 20 famiglie inizialmente associate alla C.S.E.R. (circa 1200 kWh all’anno per famiglia): 25,24%</t>
  </si>
  <si>
    <t>Baranzate</t>
  </si>
  <si>
    <t>Total energy produced
280 MWh
Total energy fed into the grid
154.28 MWh
Total incentivized/shared energy
150 MWh</t>
  </si>
  <si>
    <t>Sun Fai</t>
  </si>
  <si>
    <t>Private (members)</t>
  </si>
  <si>
    <t>https://esg.nexteconomia.org/utente/sun-fai-cers/; GSE portal; https://sun-fai.org/dist/about/</t>
  </si>
  <si>
    <t>1 SME [prosumer 240kw], Residential [prosumer 4kw, [consumers])</t>
  </si>
  <si>
    <t>Private (members, equity crowdfunding)</t>
  </si>
  <si>
    <t>Regulation of redistribution of benefits: 60% redistributed, 40% social benefits (40% of the incentives will be allocated to energy poverty based on indications from the first listening centre in collaboration with social services). Plans to grow and help building other CERs, etc. New plants connection is being in the streamline.</t>
  </si>
  <si>
    <t>Frassineto</t>
  </si>
  <si>
    <t>S.c.a.r.l. (Societa cooperativa se a responsabilità limitata)</t>
  </si>
  <si>
    <t>Regulation of redistribution of benefits
The distribution of the fee paid by GSE takes place in equal shares for each member, and the other half is divided according to consumption.</t>
  </si>
  <si>
    <t>Total energy fed into the grid 4.5 MWh, Total incentivized/shared energy 2 MWh, Self-sufficiency index 27%</t>
  </si>
  <si>
    <t>https://esg.nexteconomia.org/utente/val-energetica-scarl/</t>
  </si>
  <si>
    <t>10 Residential [prosumer 5kw, 9 consumers]</t>
  </si>
  <si>
    <t>https://esg.nexteconomia.org/utente/cerchia/</t>
  </si>
  <si>
    <t>Regulation of redistribution of benefits
we think that the redistribution will be linked to the kWh actually consumed</t>
  </si>
  <si>
    <t>Total energy produced
94.8 MWh
Total energy fed into the grid
77.1 MWh
Total incentivized/shared energy
14.4 MWh</t>
  </si>
  <si>
    <t>Soriano nel Cimino</t>
  </si>
  <si>
    <t>Chia - La cerchia</t>
  </si>
  <si>
    <t>Residential [13 prosumers, 8 consumers]</t>
  </si>
  <si>
    <t>Rocca Priora</t>
  </si>
  <si>
    <t>https://esg.nexteconomia.org/utente/caianosolare/</t>
  </si>
  <si>
    <t>Energia totale prodotta
209.18 MWh
Energia totale immessa in rete
168.82 MWh
Energia totale incentivata/condivisa
31.17 MWh</t>
  </si>
  <si>
    <t>Private (members), Public (region feasibility study)</t>
  </si>
  <si>
    <t>16 prosumers, 21 consumers, 2 NPOs (church, coop.), SMEs</t>
  </si>
  <si>
    <t>Plans to grow to several hundreds kwt on the roof of cooperative in the future.</t>
  </si>
  <si>
    <t>Enostra, Comune, Parish of San Giuseppe Artigiano,  Vivere Insieme Cooperative</t>
  </si>
  <si>
    <t>DruentoinCERchio</t>
  </si>
  <si>
    <t>Druento</t>
  </si>
  <si>
    <t>Fondazione Compagnia di San Paolo</t>
  </si>
  <si>
    <t>Shared energy 39,1 MWh/year, produced energy 638 MWh/year</t>
  </si>
  <si>
    <t>https://sinergiecondivise.it/comunita-energetiche-rinnovabili/</t>
  </si>
  <si>
    <t>Alpignano</t>
  </si>
  <si>
    <t>Alpignano energia in comune</t>
  </si>
  <si>
    <t>Energy produced 2013,96 MWh/year, shared energy 42,01 MWh/year</t>
  </si>
  <si>
    <t>CER Cambiano</t>
  </si>
  <si>
    <t>Cambiano</t>
  </si>
  <si>
    <t>Energy produced 5567 MWh/year, shared energy 1961 MWh/year</t>
  </si>
  <si>
    <t>Valsesia</t>
  </si>
  <si>
    <t>Gattinara</t>
  </si>
  <si>
    <t>Energy produced 3338 MWh/year, shared energy 530 MWh/year</t>
  </si>
  <si>
    <t>Dora5Laghi</t>
  </si>
  <si>
    <t>Borgofranco d'Ivrea, Burolo, Chiaverano, Lessolo, Montalto Dora, Quassolo, Quincinetto</t>
  </si>
  <si>
    <t>Energy produced 206 MWh/year, shared energy MWh/year</t>
  </si>
  <si>
    <t>Mirafiori</t>
  </si>
  <si>
    <t>Torino</t>
  </si>
  <si>
    <t>Energy produced 184 MWh/year, shared energy 54,2 MWh/year</t>
  </si>
  <si>
    <t>Piccoli</t>
  </si>
  <si>
    <t>Carigna</t>
  </si>
  <si>
    <t>Energy produced 432,18 MWh/year, shared energy 379,46 MWh/year</t>
  </si>
  <si>
    <t>https://sinergiecondivise.it/comunita-energetiche-rinnovabili/; https://esg.nexteconomia.org/utente/cer-roero/; https://www.ceroero.it/</t>
  </si>
  <si>
    <t>Produced energy  1081,28 MWh/year. Shared energy 533,03 MWh/year</t>
  </si>
  <si>
    <t xml:space="preserve">CER tra i comuni di Balangero e Corio </t>
  </si>
  <si>
    <t>Balangero</t>
  </si>
  <si>
    <t>Energy produced 1411 MWh/year, shared energy 233 MWh/year</t>
  </si>
  <si>
    <t>Legambiente 2024 report; https://sinergiecondivise.it/comunita-energetiche-rinnovabili/</t>
  </si>
  <si>
    <t>Vidraacco</t>
  </si>
  <si>
    <t>Viddracco</t>
  </si>
  <si>
    <t>Energy produced 44,31 MWh/year, shared energy 39,8 MWh/year</t>
  </si>
  <si>
    <t>Beinasco</t>
  </si>
  <si>
    <t>Energy produced 382 MWh/year, shared energy 306 MWh/year</t>
  </si>
  <si>
    <t>Grugliasco</t>
  </si>
  <si>
    <t>Energy produced 359,95 MWh/year, shared energy 44,36 MWh/year</t>
  </si>
  <si>
    <t>Pinerolese</t>
  </si>
  <si>
    <t>Coopertiva</t>
  </si>
  <si>
    <t>Energy produced 8152,6 MWh/year, shared energy 1816 MWh/year</t>
  </si>
  <si>
    <t>Reale</t>
  </si>
  <si>
    <t>Venaria Reale</t>
  </si>
  <si>
    <t>Energy produced 593 MWh/year, shared energy 63,2 MWh/year</t>
  </si>
  <si>
    <t>CER di Leini</t>
  </si>
  <si>
    <t>Leini</t>
  </si>
  <si>
    <t>Energy produced 143 MWh/year, shared energy 61,9 MWh/year</t>
  </si>
  <si>
    <t>CER di Avigliana</t>
  </si>
  <si>
    <t>Avigliana</t>
  </si>
  <si>
    <t>Energy produced 219,35 MWh/year, shared energy 3,56 MWh/year</t>
  </si>
  <si>
    <t>CER di Verbania</t>
  </si>
  <si>
    <t>Verbania</t>
  </si>
  <si>
    <t>Energy produced 754,93 MWh/year, shared energy 231,8 MWh/year</t>
  </si>
  <si>
    <t>CER di Vercellese</t>
  </si>
  <si>
    <t>Vercelesse di San Germano, Crova, Olcenengo</t>
  </si>
  <si>
    <t>Energy produced 275 MWh/year, shared energy MWh/year</t>
  </si>
  <si>
    <t>CER Pinerolo</t>
  </si>
  <si>
    <t>Pinerolo</t>
  </si>
  <si>
    <t>Energy produced 914 MWh/year, shared energy 100,2 MWh/year</t>
  </si>
  <si>
    <t>Per dare Energia</t>
  </si>
  <si>
    <t>Cervasca</t>
  </si>
  <si>
    <t>Energy produced 232 MWh/year, shared energy 99 MWh/year</t>
  </si>
  <si>
    <t>Energia pulita e condivisa</t>
  </si>
  <si>
    <t>Carcoforo</t>
  </si>
  <si>
    <t>Energy produced 48,67 MWh/year, shared energy 10,96 MWh/year</t>
  </si>
  <si>
    <t>Energie Comunitarie</t>
  </si>
  <si>
    <t>Energy produced 193 MWh/year, shared energy 155 MWh/year</t>
  </si>
  <si>
    <t>Energie per la Comunita</t>
  </si>
  <si>
    <t>Saint Marcel</t>
  </si>
  <si>
    <t>Energy produced 3881 MWh/year, shared energy 1906 MWh/year</t>
  </si>
  <si>
    <t>EnerStura</t>
  </si>
  <si>
    <t>Demonte</t>
  </si>
  <si>
    <t>Energy produced 346 MWh/year, shared energy 154 MWh/year</t>
  </si>
  <si>
    <t>FERVORES</t>
  </si>
  <si>
    <t>Pont Canavese</t>
  </si>
  <si>
    <t>Energy produced 385,14 MWh/year, shared energy 308,31 MWh/year</t>
  </si>
  <si>
    <t>HELIOS</t>
  </si>
  <si>
    <t>Ozzano Monferrato, Rosignano Monfratto</t>
  </si>
  <si>
    <t>Energy produced 688,09 MWh/year, shared energy 315,28 MWh/year</t>
  </si>
  <si>
    <t>Insieme per la tutela dell'ambiente</t>
  </si>
  <si>
    <t>La scuola che accende la citta</t>
  </si>
  <si>
    <t>Nichelino</t>
  </si>
  <si>
    <t>Energy produced 142 MWh/year, shared energy 4,23 MWh/year</t>
  </si>
  <si>
    <t>La communita energetiche per una Collegno inclusiva</t>
  </si>
  <si>
    <t>Collegno</t>
  </si>
  <si>
    <t>Energy produced 180,03 MWh/year, shared energy 87,61 MWh/year</t>
  </si>
  <si>
    <t>Li.Fe. Rinnovabile</t>
  </si>
  <si>
    <t>Livorno Ferrais</t>
  </si>
  <si>
    <t>Energy produced 1419 MWh/year, shared energy 248 MWh/year</t>
  </si>
  <si>
    <t>MA.CA.DO</t>
  </si>
  <si>
    <t>Magliano Alpi</t>
  </si>
  <si>
    <t>Societa consortile</t>
  </si>
  <si>
    <t>Energy produced 1118,62 MWh/year, shared energy 218,2 MWh/year</t>
  </si>
  <si>
    <t>Meno consumi piu energia pulita</t>
  </si>
  <si>
    <t>Pertusio</t>
  </si>
  <si>
    <t>Total energy produced
402 MWh
Total energy fed into the grid 247 MWh, Total incentivized/shared energy 169 MWh, Shared Energy Rate 78%.</t>
  </si>
  <si>
    <t>Progresso, unione ed ecologismo</t>
  </si>
  <si>
    <t>Vidracco</t>
  </si>
  <si>
    <t>SANGANO ENERGIA COMUNE</t>
  </si>
  <si>
    <t>Sangano, Bruino, Rivalta di Torino</t>
  </si>
  <si>
    <t>Energy produced 1400 MWh/year, shared energy 301 MWh/year</t>
  </si>
  <si>
    <t>Carmagnola</t>
  </si>
  <si>
    <t>Energy produced 64 MWh/year, shared energy 5,43 MWh/year</t>
  </si>
  <si>
    <t>Verso l'autosufficienza energetica</t>
  </si>
  <si>
    <t>Villar Pellice</t>
  </si>
  <si>
    <t>Energy produced 196,03 MWh/year, shared energy 71,84 MWh/year</t>
  </si>
  <si>
    <t>Viarigi</t>
  </si>
  <si>
    <t>Viarigi rinnovabile</t>
  </si>
  <si>
    <t>Energy produced 92,8 MWh/year, shared energy 1,8 MWh/year</t>
  </si>
  <si>
    <t>PV, biomass, hydro</t>
  </si>
  <si>
    <t>Ruolo</t>
  </si>
  <si>
    <t>UT_nome</t>
  </si>
  <si>
    <t>CER_Nome</t>
  </si>
  <si>
    <t>Ente proponente</t>
  </si>
  <si>
    <t>TipologiaProponente</t>
  </si>
  <si>
    <t>CER_Regione</t>
  </si>
  <si>
    <t>CER_Province</t>
  </si>
  <si>
    <t>CER_Comune</t>
  </si>
  <si>
    <t>CER_address</t>
  </si>
  <si>
    <t>CER_contatti</t>
  </si>
  <si>
    <t>CER_TipoFonti</t>
  </si>
  <si>
    <t>CER_Contributo_erogato</t>
  </si>
  <si>
    <t>CER_Soggetto giuridico</t>
  </si>
  <si>
    <t>Bando</t>
  </si>
  <si>
    <t>CER_StatoAvanzamento</t>
  </si>
  <si>
    <t>UT_Categoria</t>
  </si>
  <si>
    <t>UT_Stato</t>
  </si>
  <si>
    <t>UT_Classe-potenza</t>
  </si>
  <si>
    <t xml:space="preserve"> POD</t>
  </si>
  <si>
    <t>UT - Consumi [kWh/anno]</t>
  </si>
  <si>
    <t>Configurazione</t>
  </si>
  <si>
    <t>Produttore</t>
  </si>
  <si>
    <t>AGORA' Sangano</t>
  </si>
  <si>
    <t>Comune di Sangano-Bruino-Rivalta di Torino</t>
  </si>
  <si>
    <t>CER</t>
  </si>
  <si>
    <t>Piemonte</t>
  </si>
  <si>
    <t>Via Pinerolo Susa 41 - 10090 Sangano (TO)</t>
  </si>
  <si>
    <t>E-mail: sanganoenergiacomune@pec.it; info@sanganoenergiacomune.it Tel. 3914180869 Sito web: https://www.sanganoenergiacomune.it/</t>
  </si>
  <si>
    <t>Solare fotovoltaico</t>
  </si>
  <si>
    <t>Consulenza e studio di fattibilità</t>
  </si>
  <si>
    <t>Società cooperativa</t>
  </si>
  <si>
    <t>SINERGIE I</t>
  </si>
  <si>
    <t>Costituita</t>
  </si>
  <si>
    <t>Polo sociale/culturale</t>
  </si>
  <si>
    <t>In progetto</t>
  </si>
  <si>
    <t>51-100 kW</t>
  </si>
  <si>
    <t>-</t>
  </si>
  <si>
    <t>Boillet - idroelettrico acquedotto</t>
  </si>
  <si>
    <t>Energie per la Comunità</t>
  </si>
  <si>
    <t>Comune di Saint-Marcel</t>
  </si>
  <si>
    <t>Valle d'Aosta</t>
  </si>
  <si>
    <t>Aosta</t>
  </si>
  <si>
    <t>Località Prelaz, 4, 11020 Saint-Marcel AO</t>
  </si>
  <si>
    <t>E-mail: info@comune.saintmarcel.ao.it</t>
  </si>
  <si>
    <t>Idroelettrico, Biomassa e Fotovoltaico</t>
  </si>
  <si>
    <t>Da definire</t>
  </si>
  <si>
    <t>NGWe II</t>
  </si>
  <si>
    <t>Impianto FER</t>
  </si>
  <si>
    <t>Casermette Sambuco</t>
  </si>
  <si>
    <t>EnerStura. Una comunità energetica per il territorio</t>
  </si>
  <si>
    <t>Unione Montana Valle Stura</t>
  </si>
  <si>
    <t>Unione Montana</t>
  </si>
  <si>
    <t>Cuneo</t>
  </si>
  <si>
    <t>Via Divisione Cuneense, 5, 12014 Demonte (CN)</t>
  </si>
  <si>
    <t>E-mail: ufficiodipiano@vallestura.cn.it Tel. 0171.955555</t>
  </si>
  <si>
    <t>Solare fotovoltaico - Biomassa - Idroelettrico</t>
  </si>
  <si>
    <t>Altro</t>
  </si>
  <si>
    <t>IT001E00527117</t>
  </si>
  <si>
    <t>Cimitero Sangano</t>
  </si>
  <si>
    <t>Cimitero</t>
  </si>
  <si>
    <t>101-500 kW</t>
  </si>
  <si>
    <t>Cittadino privato 11</t>
  </si>
  <si>
    <t>Comunità Energetica Rinnovabile Avigliana</t>
  </si>
  <si>
    <t>Comune di Avigliana</t>
  </si>
  <si>
    <t>Piazza Conte Rosso, 7, 10051 Avigliana TO</t>
  </si>
  <si>
    <t>n.d.</t>
  </si>
  <si>
    <t>Residenza privata</t>
  </si>
  <si>
    <t>21-50 kW</t>
  </si>
  <si>
    <t>Cogen - biomassa</t>
  </si>
  <si>
    <t>Ecomotive</t>
  </si>
  <si>
    <t>HELIOS: Progettare la Comunità Energetica</t>
  </si>
  <si>
    <t>Comune di Ozzano Monferrato</t>
  </si>
  <si>
    <t>Alessandria</t>
  </si>
  <si>
    <t>Ozzano Monferrato</t>
  </si>
  <si>
    <t>Via Santa Maria 1, Ozzano Monferrato (AL)</t>
  </si>
  <si>
    <t>E-mail: refrancesco122@gmail.com; tecnico@comune.rosignanomonferrato.al.it Tel. 347.7831667</t>
  </si>
  <si>
    <t>Associazione riconosciuta</t>
  </si>
  <si>
    <t>IT001E02872317</t>
  </si>
  <si>
    <t>Configurazione di Ozzano Monfrrato</t>
  </si>
  <si>
    <t>Ex Amiantifera Balangero</t>
  </si>
  <si>
    <t>CER tra i comuni di Balangero e Corio</t>
  </si>
  <si>
    <t>Comune di Balangero</t>
  </si>
  <si>
    <t>Viale Cavaliere Giuseppe Copperi, 14, 10070 Balangero (TO)</t>
  </si>
  <si>
    <t>501-1000 kW</t>
  </si>
  <si>
    <t>Ex Canonica Rittana</t>
  </si>
  <si>
    <t>1-20 kW</t>
  </si>
  <si>
    <t>Ex scuola Pagliare-Nuova Biblioteca</t>
  </si>
  <si>
    <t>#DruentoinCERchio</t>
  </si>
  <si>
    <t>Comune di Druento</t>
  </si>
  <si>
    <t>Via Roma, 21, 10040 Druento TO</t>
  </si>
  <si>
    <t>Scuola</t>
  </si>
  <si>
    <t>Freyderet 1 - idroelettrico acquedotto</t>
  </si>
  <si>
    <t>Freyderet 2 - idroelettrico acquedotto</t>
  </si>
  <si>
    <t>I Tesori Della Terra (Produttore)</t>
  </si>
  <si>
    <t>Cooperare per dare ENERGIA</t>
  </si>
  <si>
    <t>I Tesori della Terra</t>
  </si>
  <si>
    <t>ETS</t>
  </si>
  <si>
    <t>Via Cian 16 Frazione San Bernardo, Via Cian, 16, 12010 Cervasca CN</t>
  </si>
  <si>
    <t>Commercio</t>
  </si>
  <si>
    <t>Impianto comunale</t>
  </si>
  <si>
    <t>Comune di Livorno Ferraris</t>
  </si>
  <si>
    <t>Vercelli</t>
  </si>
  <si>
    <t>Livorno Ferraris</t>
  </si>
  <si>
    <t>Via Martiri della Libertà, 100, 13046 Livorno Ferraris VC</t>
  </si>
  <si>
    <t>Impianto sportivo Spinelli</t>
  </si>
  <si>
    <t>Comunità Energetica Beinasco</t>
  </si>
  <si>
    <t>Comune di Beinasco</t>
  </si>
  <si>
    <t>Piazza Vittorio Alfieri, 7, 10092 Beinasco TO</t>
  </si>
  <si>
    <t>Polo sportivo</t>
  </si>
  <si>
    <t>Municipio Produttore</t>
  </si>
  <si>
    <t>CERS Vidracco</t>
  </si>
  <si>
    <t>Comune di Vidracco</t>
  </si>
  <si>
    <t>Piazza Comm. Ceratto 3, 10080 Vidracco (TO)</t>
  </si>
  <si>
    <t>E-mail: info@comune.issiglio.to.it  Tel. 0125.789079</t>
  </si>
  <si>
    <t>Ufficio</t>
  </si>
  <si>
    <t>Attivo</t>
  </si>
  <si>
    <t>Municipio Sangano</t>
  </si>
  <si>
    <t>Nuova sede Croce Bianca</t>
  </si>
  <si>
    <t>Polo sanitario</t>
  </si>
  <si>
    <t>Orti Generali (Produttore)</t>
  </si>
  <si>
    <t>CER Mirafiori</t>
  </si>
  <si>
    <t>Orti Generali</t>
  </si>
  <si>
    <t>Str. Castello di Mirafiori, 38/15, 10127 Torino</t>
  </si>
  <si>
    <t>E-mail: info@cersmirafiori.org</t>
  </si>
  <si>
    <t>Palazzo comunale Via Roma (Produttore)</t>
  </si>
  <si>
    <t>Palestra comunale Bruino - Palainsieme (Produttore)</t>
  </si>
  <si>
    <t>Palestra Scuola secondaria di I grado</t>
  </si>
  <si>
    <t>Parcheggio Questura</t>
  </si>
  <si>
    <t>Comunità energetica Verbania</t>
  </si>
  <si>
    <t>Comune di Verbania</t>
  </si>
  <si>
    <t>Verbania (VB)</t>
  </si>
  <si>
    <t>Piazza Giuseppe Garibaldi, 15, 28922 Verbania VB</t>
  </si>
  <si>
    <t>NGWe I</t>
  </si>
  <si>
    <t>Spazio pubblico</t>
  </si>
  <si>
    <t>Pensiline piazzale commerciale</t>
  </si>
  <si>
    <t>CER Alpignano energia in comune</t>
  </si>
  <si>
    <t>Comune di Alpignano</t>
  </si>
  <si>
    <t>Viale Vittoria, 14, 10091 Alpignano TO</t>
  </si>
  <si>
    <t>Polo di Protezione Civile</t>
  </si>
  <si>
    <t>Potenza extra (3256 kW)</t>
  </si>
  <si>
    <t>Comune di Cambiano</t>
  </si>
  <si>
    <t>Piazza Vittorio Veneto, 9, 10020 Cambiano TO</t>
  </si>
  <si>
    <t>&gt;1000 kW</t>
  </si>
  <si>
    <t>Prelaz -  idroelettrico fluente</t>
  </si>
  <si>
    <t>Produttore sintetico</t>
  </si>
  <si>
    <t>FERVORES – Futuro Energetico Rinnovabile nelle Valli Orco e Soana</t>
  </si>
  <si>
    <t>Unione Montana Valli Orco e Soana</t>
  </si>
  <si>
    <t>Pont Canavese </t>
  </si>
  <si>
    <t>Via G.Marconi, 12, 10085 Pont Canavese TO</t>
  </si>
  <si>
    <t>E-mail: gc@unionemontanavalliorcoesoana.it Tel. 0124.418247</t>
  </si>
  <si>
    <t>Categoria utente n.d.</t>
  </si>
  <si>
    <t>Ristorante</t>
  </si>
  <si>
    <t>Sala polivalente Pagoda</t>
  </si>
  <si>
    <t>Scuola dell'infanzia Boccaccio (Produttore)</t>
  </si>
  <si>
    <t>Comunità Energetica Reale</t>
  </si>
  <si>
    <t>Comune di Venaria Reale</t>
  </si>
  <si>
    <t>Piazza Martiri Libertà, 1, 10078 Venaria Reale TO</t>
  </si>
  <si>
    <t>Scuola G.Praile (Produttore)</t>
  </si>
  <si>
    <t>Scuola media Bruino</t>
  </si>
  <si>
    <t>Scuola media Gramsci Produttore</t>
  </si>
  <si>
    <t>Le comunità energetiche per una Collegno inclusiva</t>
  </si>
  <si>
    <t>Comune di Collegno</t>
  </si>
  <si>
    <t>Piazza del Municipio, 1, 10093 Collegno (TO)</t>
  </si>
  <si>
    <t>E-mail: daniele.zen@comune.collegno.to.it</t>
  </si>
  <si>
    <t>Scuola primaria</t>
  </si>
  <si>
    <t>Scuola Primaria Anna Frank (Produttore)</t>
  </si>
  <si>
    <t>Comunità Energetica Rinnovabile</t>
  </si>
  <si>
    <t>Comune di Leinì</t>
  </si>
  <si>
    <t>Leinì</t>
  </si>
  <si>
    <t>P.za Vittorio Emanuele II, 1, 10040 Leini (TO)</t>
  </si>
  <si>
    <t>IT001E04636620</t>
  </si>
  <si>
    <t>Scuola Primaria Gramsci (Produttore)</t>
  </si>
  <si>
    <t>Scuola primaria L.Calvino (Produttore)</t>
  </si>
  <si>
    <t>Scuola secondaria D. Milano (Produttore)</t>
  </si>
  <si>
    <t>Scuola secondaria di I grado</t>
  </si>
  <si>
    <t>Scuola secondaria Don Milani-Anna Frank (Produttore)</t>
  </si>
  <si>
    <t>Scuole Piano Quinto (Produttore)</t>
  </si>
  <si>
    <t>Semprelux</t>
  </si>
  <si>
    <t>Oremo Energia Solidale</t>
  </si>
  <si>
    <t>Il Filo da Tessere / Oremo Energia Solidale SCS Impresa Sociale</t>
  </si>
  <si>
    <t>ETS / CER</t>
  </si>
  <si>
    <t>Corso Pella 21, Biella</t>
  </si>
  <si>
    <t>E-mail: oremo.energia@cascinaoremo.it</t>
  </si>
  <si>
    <t>Cooperativa Impresa Sociale</t>
  </si>
  <si>
    <t>SINERGIE I / SINERGIE II</t>
  </si>
  <si>
    <t>SMA10 - fotovoltaico</t>
  </si>
  <si>
    <t>SMA3 - fotovoltaico</t>
  </si>
  <si>
    <t>SMA5 - fotovoltaico</t>
  </si>
  <si>
    <t>SMA6 - fotovoltaico</t>
  </si>
  <si>
    <t>SMA7  - fotovoltaico</t>
  </si>
  <si>
    <t>SMA8 - fotovoltaico</t>
  </si>
  <si>
    <t>SMA9 - fotovoltaico</t>
  </si>
  <si>
    <t>Super Freyderet - idroelettrico fluente</t>
  </si>
  <si>
    <t>Terreno comunale 3</t>
  </si>
  <si>
    <t>CER ETS Valsesia</t>
  </si>
  <si>
    <t>Fondazione Valsesia</t>
  </si>
  <si>
    <t>Corso Valsesia, 119, 13045 Gattinara VC</t>
  </si>
  <si>
    <t>E-mail: info@fondazionevalsesia.it - enrico@montefiori.org</t>
  </si>
  <si>
    <t>Terreno comunale 1</t>
  </si>
  <si>
    <t>Terreno comunale 2</t>
  </si>
  <si>
    <t>Prosumer</t>
  </si>
  <si>
    <t>A.T.C. 9</t>
  </si>
  <si>
    <t>Residenza pubblica</t>
  </si>
  <si>
    <t>IT001E00806566</t>
  </si>
  <si>
    <t>Airasca</t>
  </si>
  <si>
    <t>Comunità Energetica Pinerolese</t>
  </si>
  <si>
    <t>Comune di Cantalupa/Vigone</t>
  </si>
  <si>
    <t>San Secondo di Pinerolo</t>
  </si>
  <si>
    <t>Via Bonatto, 3, 10060 San Secondo di Pinerolo TO</t>
  </si>
  <si>
    <t>Val Noce/Pianura Sud - 1138 - Garzigliana, Osasco, Prarostino, San Pietro Val Lemina, San Secondo di Pinerolo</t>
  </si>
  <si>
    <t>Ambulatorio medico Viarigi</t>
  </si>
  <si>
    <t>Comune di Viarigi</t>
  </si>
  <si>
    <t>Asti</t>
  </si>
  <si>
    <t>Via Recinto, 6, 14030 Viarigi AT</t>
  </si>
  <si>
    <t>IT001E04624332</t>
  </si>
  <si>
    <t>configurazione Frazione</t>
  </si>
  <si>
    <t>Albaro 2</t>
  </si>
  <si>
    <t>CERS Sole</t>
  </si>
  <si>
    <t>Comunità Energetica Rinnovabile Solidale Libera Ecologica</t>
  </si>
  <si>
    <t>Liguria</t>
  </si>
  <si>
    <t>Genova</t>
  </si>
  <si>
    <t>Via Pontini 14/4 - 16146 (GE)</t>
  </si>
  <si>
    <t>E-mail: info@cersole.it</t>
  </si>
  <si>
    <t>APS</t>
  </si>
  <si>
    <t>SINERGIE II</t>
  </si>
  <si>
    <t>Asili Nido via Picco</t>
  </si>
  <si>
    <t>IT001E04908379</t>
  </si>
  <si>
    <t>Asilo nido Ravotin</t>
  </si>
  <si>
    <t>IT001E02159278</t>
  </si>
  <si>
    <t>ATC Condominio 42</t>
  </si>
  <si>
    <t>B0164133482</t>
  </si>
  <si>
    <t>ATC Condominio 44</t>
  </si>
  <si>
    <t>B0164132082</t>
  </si>
  <si>
    <t>ATC Condominio 46 primo</t>
  </si>
  <si>
    <t>ATC Condominio 48</t>
  </si>
  <si>
    <t>ATC Condominio 60</t>
  </si>
  <si>
    <t>B0164110863</t>
  </si>
  <si>
    <t>AuDiDo</t>
  </si>
  <si>
    <t>IT001E01641388</t>
  </si>
  <si>
    <t>Az.Agricola Fabrizio Gonella</t>
  </si>
  <si>
    <t>Soluzioni Artistiche</t>
  </si>
  <si>
    <t>Strada Castello di Mirafiori 22 - 10136</t>
  </si>
  <si>
    <t>E-mail: stefano.bernardi@energiecomunitarie.org Tel. 3487904231</t>
  </si>
  <si>
    <t>Azienda agricola Panero Rosanna</t>
  </si>
  <si>
    <t>PMI</t>
  </si>
  <si>
    <t>Biblioteca</t>
  </si>
  <si>
    <t>IT001E01988768</t>
  </si>
  <si>
    <t>Biblioteca Viarigi</t>
  </si>
  <si>
    <t>IT001E04624329</t>
  </si>
  <si>
    <t>configurazione Centro Storico</t>
  </si>
  <si>
    <t>Bricherasio</t>
  </si>
  <si>
    <t>Comune di Scalenghe</t>
  </si>
  <si>
    <t>Scalenghe</t>
  </si>
  <si>
    <t>Via Umberto I, 1, 10060 Scalenghe TO</t>
  </si>
  <si>
    <t>Pianura Nord - 1149 - Airasca, Piscina, Scalenghe, Volvera</t>
  </si>
  <si>
    <t>Buriasco</t>
  </si>
  <si>
    <t>None</t>
  </si>
  <si>
    <t>Piazza Cavour, 9, 10060 None TO</t>
  </si>
  <si>
    <t>Pianura Nord - 1153 - Castagnole Piemonte, None</t>
  </si>
  <si>
    <t>Campo sportivo Borgofranco</t>
  </si>
  <si>
    <t>CER Dora5Laghi</t>
  </si>
  <si>
    <t>Comune di Borgofranco d'Ivrea</t>
  </si>
  <si>
    <t>Via Mombarone, 3, 10013 Borgofranco d'Ivrea TO</t>
  </si>
  <si>
    <t>E-mail: francisca.sindaco@comune.borgofranco.to.it Tel. 0125 755827 - 0125 755820</t>
  </si>
  <si>
    <t>NGWe II / SINERGIE II</t>
  </si>
  <si>
    <t>IT001E01337959</t>
  </si>
  <si>
    <t>configurazione (AC001E01319)</t>
  </si>
  <si>
    <t>Cantalupa</t>
  </si>
  <si>
    <t>Comune di Cantalupa</t>
  </si>
  <si>
    <t>Via Chiesa, 43, 10060 Cantalupa TO</t>
  </si>
  <si>
    <t>0 kW</t>
  </si>
  <si>
    <t>Val Noce - 1148 - Cantalupa, Frossasco, Roletto</t>
  </si>
  <si>
    <t>Cantine Monferrato</t>
  </si>
  <si>
    <t>Comune di Rosignano Monferrato</t>
  </si>
  <si>
    <t>Rosignano Monferrato</t>
  </si>
  <si>
    <t>Via Roma, 19, 15030 Rosignano Monferrato AL</t>
  </si>
  <si>
    <t>Configurazione di Rosignano Monferrato</t>
  </si>
  <si>
    <t>Casa della musica</t>
  </si>
  <si>
    <t>IT001E01220069</t>
  </si>
  <si>
    <t>Casa Roberta</t>
  </si>
  <si>
    <t>SOL.E. (Solidarietà Energetiche)</t>
  </si>
  <si>
    <t>Cooperativa Sociale Solidarietà Sei</t>
  </si>
  <si>
    <t>Via Milanesio di Coassolo 18, 10022 Carmagnola (TO)</t>
  </si>
  <si>
    <t>Residenza sociale</t>
  </si>
  <si>
    <t>IT001E02429887</t>
  </si>
  <si>
    <t>Cascina AINANA</t>
  </si>
  <si>
    <t>Strada Castello di Mirafiori 22 - 10135</t>
  </si>
  <si>
    <t>Cascina Cassotti Balbo</t>
  </si>
  <si>
    <t>Cascina Mussa</t>
  </si>
  <si>
    <t>IT001E04397619</t>
  </si>
  <si>
    <t>Cascina Oremo</t>
  </si>
  <si>
    <t>Castagnole Piemonte</t>
  </si>
  <si>
    <t>Comune di Pragelato</t>
  </si>
  <si>
    <t>Cesana Torinese</t>
  </si>
  <si>
    <t>Piazza Vittorio Amedeo, 1, 10054 Cesana Torinese TO</t>
  </si>
  <si>
    <t>Via Lattea - 1151 - Cesana Torinese, Claviere, Sauze di Cesana, Sestriere</t>
  </si>
  <si>
    <t>Cave Germaire spa</t>
  </si>
  <si>
    <t>IT001E00220074</t>
  </si>
  <si>
    <t>Cavour</t>
  </si>
  <si>
    <t>Cecchin srl</t>
  </si>
  <si>
    <t>Centro Culturale Oltrepò</t>
  </si>
  <si>
    <t>Strada Castello di Mirafiori 22 - 10137</t>
  </si>
  <si>
    <t>Centro Di Incontro</t>
  </si>
  <si>
    <t>IT001E01324469</t>
  </si>
  <si>
    <t>configurazione (AC001E01317)</t>
  </si>
  <si>
    <t>Centro Polisportivo-Bocciofila</t>
  </si>
  <si>
    <t>IT001E01545290</t>
  </si>
  <si>
    <t>CER di Magliano Alpi, CER 3 - utente3</t>
  </si>
  <si>
    <t>MA.CA.DO.</t>
  </si>
  <si>
    <t>Magliano Alpi (CN)</t>
  </si>
  <si>
    <t>Via Langhe, 91, 12060 Magliano Alpi CN</t>
  </si>
  <si>
    <t>Società consortile</t>
  </si>
  <si>
    <t>CER di Magliano Alpi, CER 3 - utente4</t>
  </si>
  <si>
    <t>CER di Magliano Alpi, CER 3 - utente5</t>
  </si>
  <si>
    <t>CER di Magliano Alpi, CER 3 -SME</t>
  </si>
  <si>
    <t>CER di Magliano Alpi-Carrù, CER 2 - centro sportivo</t>
  </si>
  <si>
    <t>CER di Magliano Alpi-Carrù, CER 2 - utente3</t>
  </si>
  <si>
    <t>CER di Magliano Alpi-Carrù, CER 2 - utente4</t>
  </si>
  <si>
    <t>CER di Magliano Alpi-Carrù, CER 2 - utente5</t>
  </si>
  <si>
    <t>CER EnergyCarrù di Carrù - utente1</t>
  </si>
  <si>
    <t>CER EnergyCarrù di Carrù - utente2</t>
  </si>
  <si>
    <t>CER Roero (configurazione AC001E01065)</t>
  </si>
  <si>
    <t>CER Roero</t>
  </si>
  <si>
    <t>Comunità Energetica Rinnovabile Roero</t>
  </si>
  <si>
    <t>Corneliano d'Alba, Monticello d'Alba, Guarene, Piobesi d'Alba</t>
  </si>
  <si>
    <t>Piazza Caduti per la Libertà n. 14, Bra (CN)</t>
  </si>
  <si>
    <t>Email: info@ceroero.it Sito: www.ceroero.it</t>
  </si>
  <si>
    <t>(configurazione AC001E01065)</t>
  </si>
  <si>
    <t>CER Roero (configurazione AC001E01115)</t>
  </si>
  <si>
    <t>Bra, Baldissero d'Alba, Corneliano d'Alba, Monticello d'Alba, Montaldo Roero, Piobesi d'Alba,  Pocapaglia, Santa Vittoria d'Alba, Sommariva Perno</t>
  </si>
  <si>
    <t>(configurazione AC001E01115)</t>
  </si>
  <si>
    <t>CER Roero (configurazione AC001E01118)</t>
  </si>
  <si>
    <t>Bra,  Santa Vittoria d'Alba, Sommariva Perno, Pocapaglia</t>
  </si>
  <si>
    <t>(configurazione AC001E01118)</t>
  </si>
  <si>
    <t>CER Roero (configurazione AC001E01123)</t>
  </si>
  <si>
    <t>Bra, Baldissero d'Alba, Sommariva Perno, Sommariva del Bosco, Montaldo Roero</t>
  </si>
  <si>
    <t>(configurazione AC001E01123)</t>
  </si>
  <si>
    <t>Cercenasco</t>
  </si>
  <si>
    <t>Comune di Vigone</t>
  </si>
  <si>
    <t>Moretta</t>
  </si>
  <si>
    <t>Piazza Umberto I, 1, 12033 Moretta CN</t>
  </si>
  <si>
    <t>Pianura Sud - 1133 - Moretta, Villafranca Piemonte</t>
  </si>
  <si>
    <t>Cimitero 4</t>
  </si>
  <si>
    <t>IT001E04908374</t>
  </si>
  <si>
    <t>Cimitero 5</t>
  </si>
  <si>
    <t>IT001E04461917</t>
  </si>
  <si>
    <t>Cimitero S. Martino</t>
  </si>
  <si>
    <t>IT001E07247282</t>
  </si>
  <si>
    <t>Cittadino privato 10</t>
  </si>
  <si>
    <t>IT001E05029035</t>
  </si>
  <si>
    <t>Cittadino privato 22</t>
  </si>
  <si>
    <t>Cittadino privato 7</t>
  </si>
  <si>
    <t>IT00149E089473</t>
  </si>
  <si>
    <t>Cittadino privato 8</t>
  </si>
  <si>
    <t>IT001E007374089</t>
  </si>
  <si>
    <t>Cittadino privato 9</t>
  </si>
  <si>
    <t>IT001E00760136</t>
  </si>
  <si>
    <t>Claviere</t>
  </si>
  <si>
    <t>Comune di Torre Pellice</t>
  </si>
  <si>
    <t>Torre pellice</t>
  </si>
  <si>
    <t>Via Repubblica, 1, 10066 Torre Pellice TO</t>
  </si>
  <si>
    <t>Val Pellice - 1132 - Bricherasio, Torre Pellice, Luserna San Giovanni, Bobbio Pellice</t>
  </si>
  <si>
    <t>Comune di Ronsecco</t>
  </si>
  <si>
    <t>Comunità Energetica Vercellese di San Germano Vercellese, Crova e Olcenengo</t>
  </si>
  <si>
    <t>Comune di San Germano Vercellese</t>
  </si>
  <si>
    <t>San Germano Vercellese</t>
  </si>
  <si>
    <t>Piazza Giuseppe Garibaldi 1, San Germano Vercellese (VC)</t>
  </si>
  <si>
    <t>Comunità Mamma Bambino</t>
  </si>
  <si>
    <t>IT001E029831777</t>
  </si>
  <si>
    <t>Condominio vicolo Peinelli</t>
  </si>
  <si>
    <t>Cumiana</t>
  </si>
  <si>
    <t>Diocesi di Alba</t>
  </si>
  <si>
    <t>CER-S Rodello</t>
  </si>
  <si>
    <t>Associazione Comunità Energetica Rinnovabile Sostenibile di Rodello</t>
  </si>
  <si>
    <t>Piazza Comunale, 6 RODELLO (CN)</t>
  </si>
  <si>
    <t>E-mail: cers.rodello@hotmail.com Tel. 349.8669259</t>
  </si>
  <si>
    <t>Polo religioso</t>
  </si>
  <si>
    <t>IT001E02394867</t>
  </si>
  <si>
    <t>configurazione Rodello</t>
  </si>
  <si>
    <t>Ex asilo Viarigi</t>
  </si>
  <si>
    <t>Fondazione SS Lorenzo e Teobaldo - Villa S.Ottavia</t>
  </si>
  <si>
    <t>IT001E02278191</t>
  </si>
  <si>
    <t>Fra Diavolo "Vista Mare"</t>
  </si>
  <si>
    <t>Frossasco</t>
  </si>
  <si>
    <t>Garzigliana</t>
  </si>
  <si>
    <t>Vigone</t>
  </si>
  <si>
    <t>Piazza Palazzo Civico, 18, 10067 Vigone TO</t>
  </si>
  <si>
    <t>Pianura Sud - 1136 - Buriasco, Cercenasco, Macello, Vigone</t>
  </si>
  <si>
    <t>Illuminazione Pubblica - Salone</t>
  </si>
  <si>
    <t>Illuminazione Pubblica</t>
  </si>
  <si>
    <t>IT001E04620432</t>
  </si>
  <si>
    <t>ILMA</t>
  </si>
  <si>
    <t>Istituto comprensivo Lessona</t>
  </si>
  <si>
    <t>IT001E04908390</t>
  </si>
  <si>
    <t>Le Serre SRL</t>
  </si>
  <si>
    <t>Comunità energetica Grugliasco</t>
  </si>
  <si>
    <t>Comune di Grugliasco</t>
  </si>
  <si>
    <t>Piazza Giacomo Matteotti, 50, 10095 Grugliasco TO</t>
  </si>
  <si>
    <t>IT001E08694827</t>
  </si>
  <si>
    <t>Lido</t>
  </si>
  <si>
    <t>Luserna San Giovanni</t>
  </si>
  <si>
    <t>Macello</t>
  </si>
  <si>
    <t>Piazza Alfredo Sforzini, 1, 10061 Cavour TO</t>
  </si>
  <si>
    <t>Pianura Sud - 1134 - Cavour</t>
  </si>
  <si>
    <t>Magazzino comunale Aisone</t>
  </si>
  <si>
    <t>IT001E03530848</t>
  </si>
  <si>
    <t>Massello</t>
  </si>
  <si>
    <t>Pragelato</t>
  </si>
  <si>
    <t>Piazza del Municipio, 10, 10060 Pragelato TO</t>
  </si>
  <si>
    <t>Via Lattea - 1147 - Pragelato, Usseaux</t>
  </si>
  <si>
    <t>MIV Insulating Systems srl</t>
  </si>
  <si>
    <t>Municipio Andrate</t>
  </si>
  <si>
    <t>IT001E04479152</t>
  </si>
  <si>
    <t>Municipio Carema</t>
  </si>
  <si>
    <t>IT001E04479171</t>
  </si>
  <si>
    <t>Municipio di Argentera</t>
  </si>
  <si>
    <t>IT001E02827241</t>
  </si>
  <si>
    <t>Municipio Gaiola</t>
  </si>
  <si>
    <t>IT001E03458401</t>
  </si>
  <si>
    <t>Municipio Montalto Dora</t>
  </si>
  <si>
    <t>IT001E04552020</t>
  </si>
  <si>
    <t>Municipio Nomaglio</t>
  </si>
  <si>
    <t>IT001E01300447</t>
  </si>
  <si>
    <t>Municipio Pietraporzio</t>
  </si>
  <si>
    <t>IT001E03441734</t>
  </si>
  <si>
    <t>Municipio Quassolo</t>
  </si>
  <si>
    <t>IT001E00347595</t>
  </si>
  <si>
    <t>Municipio Rittana</t>
  </si>
  <si>
    <t>IT001E03440082</t>
  </si>
  <si>
    <t>Municipio Valloriate</t>
  </si>
  <si>
    <t>Municipio Viarigi</t>
  </si>
  <si>
    <t>IT001E04624344</t>
  </si>
  <si>
    <t>Nuova struttura Piazza Gerbidi - Rivalta di Torino</t>
  </si>
  <si>
    <t>IT001E00695041</t>
  </si>
  <si>
    <t>Osasco</t>
  </si>
  <si>
    <t>P.A. VillarPellice, Rorà, Bobbio Pellice 3</t>
  </si>
  <si>
    <t>Comune di Villar Pellice</t>
  </si>
  <si>
    <t>Villar Pellice (TO)</t>
  </si>
  <si>
    <t>Viale I Maggio 37, 10060 Villar Pellice (TO)</t>
  </si>
  <si>
    <t>E-mail: ceraltavalpellice@gmail.com Tel. 3385327305</t>
  </si>
  <si>
    <t>P.A. VillarPellice, Rorà, Bobbio Pellice 5</t>
  </si>
  <si>
    <t>Palasport Alpignano</t>
  </si>
  <si>
    <t>IT001E02668874</t>
  </si>
  <si>
    <t>Palazzo municipale</t>
  </si>
  <si>
    <t>IT001E04908464</t>
  </si>
  <si>
    <t>Palestra scuola</t>
  </si>
  <si>
    <t>IT001E00623671</t>
  </si>
  <si>
    <t>Parrocchia S. Apostoli 3</t>
  </si>
  <si>
    <t>IT020E00083952</t>
  </si>
  <si>
    <t>Parrocchia S. Lorenzo e Teobaldo -  La pineta</t>
  </si>
  <si>
    <t>IT001E02127876</t>
  </si>
  <si>
    <t>configurazione Ceretto Langhe</t>
  </si>
  <si>
    <t>Parrocchia San Lorenzo - Rodello - La residenza</t>
  </si>
  <si>
    <t>IT001E00100973</t>
  </si>
  <si>
    <t>Parrocchia Santa Famiglia di Nazaret</t>
  </si>
  <si>
    <t>Ente religioso</t>
  </si>
  <si>
    <t>Piazza Eugenio Montale, 18, 10151, Torino, TO</t>
  </si>
  <si>
    <t>E-mail: parr.santafamiglia@diocesi.to.it Tel. 011/731185</t>
  </si>
  <si>
    <t>Extra bando</t>
  </si>
  <si>
    <t>Persona Fisica 1 - Barile G</t>
  </si>
  <si>
    <t>IT001E02334624</t>
  </si>
  <si>
    <t>Persona Fisica 10 - Barile M</t>
  </si>
  <si>
    <t>IT001E02334652</t>
  </si>
  <si>
    <t>Persona Fisica 11 - Cagnasso</t>
  </si>
  <si>
    <t>IT001E02334716</t>
  </si>
  <si>
    <t>Persona Fisica 12 - Giribaldi</t>
  </si>
  <si>
    <t>IT001E01172952</t>
  </si>
  <si>
    <t>Persona Fisica 13 - Montrucchio</t>
  </si>
  <si>
    <t>IT001E06319087</t>
  </si>
  <si>
    <t>Persona Fisica 15 - Abbrescia</t>
  </si>
  <si>
    <t>IT001E02369185</t>
  </si>
  <si>
    <t>Persona Fisica 16 - Didier</t>
  </si>
  <si>
    <t>IT001E023797178</t>
  </si>
  <si>
    <t>Persona Fisica 2 - Baudino</t>
  </si>
  <si>
    <t>IT001E023343151</t>
  </si>
  <si>
    <t>Persona Fisica 3 - Borio</t>
  </si>
  <si>
    <t>IT001E10166311</t>
  </si>
  <si>
    <t>Persona Fisica 4 - Diotti</t>
  </si>
  <si>
    <t>IT001E023344041</t>
  </si>
  <si>
    <t>Persona Fisica 5 - Bonino</t>
  </si>
  <si>
    <t>IT001E00669305</t>
  </si>
  <si>
    <t>Persona Fisica 8 - Morra</t>
  </si>
  <si>
    <t>IT001E02334641</t>
  </si>
  <si>
    <t>Pinasca</t>
  </si>
  <si>
    <t>Piscina</t>
  </si>
  <si>
    <t>Pluriuso Alpenrose</t>
  </si>
  <si>
    <t>Comune di Carcoforo</t>
  </si>
  <si>
    <t>Via Centro, 19, 13026 Carcoforo VC</t>
  </si>
  <si>
    <t>Pomaretto</t>
  </si>
  <si>
    <t>Comune di Inverso Pinasca/Pomaretto</t>
  </si>
  <si>
    <t>Via I Maggio, 2, 10060 Inverso Pinasca TO</t>
  </si>
  <si>
    <t>Val Chisone Bassa/Val Germanasca -1152 - Inverso Pinasca, Massello, Perrero, Pinasca, Pomaretto, Prali, Salza di Pinerolo</t>
  </si>
  <si>
    <t>Prarostino</t>
  </si>
  <si>
    <t>Punto zero</t>
  </si>
  <si>
    <t>IT001E04624331</t>
  </si>
  <si>
    <t>RARI NANTES Piscina</t>
  </si>
  <si>
    <t>IT001E04115122</t>
  </si>
  <si>
    <t>Rifugio ex scuola materna</t>
  </si>
  <si>
    <t>IT001E03436596</t>
  </si>
  <si>
    <t>Roletto</t>
  </si>
  <si>
    <t>Piazza Martiri 3 Aprile, 44, 3, 10040 Cumiana TO</t>
  </si>
  <si>
    <t>Val Noce - 1157 - Cumiana</t>
  </si>
  <si>
    <t>San Pietro Val Lemina</t>
  </si>
  <si>
    <t>Sauze di Cesana</t>
  </si>
  <si>
    <t>Sauze d'Oulx</t>
  </si>
  <si>
    <t>Via della Torre, 11, 10050 Sauze d'Oulx TO</t>
  </si>
  <si>
    <t>Via Lattea - 1268 - Sauze d’Oulx</t>
  </si>
  <si>
    <t>Scuola "A. Frank"</t>
  </si>
  <si>
    <t>Comunità per l'Energia Rinnovabile e Solidale Pinerolo</t>
  </si>
  <si>
    <t>Piazza Vittorio Veneto, 10064 Pinerolo TO</t>
  </si>
  <si>
    <t>IT001E01488301</t>
  </si>
  <si>
    <t>Scuola "Collodi"</t>
  </si>
  <si>
    <t>IT001E01475694</t>
  </si>
  <si>
    <t>Scuola "Giovanni XXIII"</t>
  </si>
  <si>
    <t>IT001E01488302</t>
  </si>
  <si>
    <t>Scuola "Montessori"</t>
  </si>
  <si>
    <t>IT001E01482584</t>
  </si>
  <si>
    <t>Scuola "Nino Costa"</t>
  </si>
  <si>
    <t>IT001E01477161</t>
  </si>
  <si>
    <t>Scuola "Parri"</t>
  </si>
  <si>
    <t>IT001E01397376</t>
  </si>
  <si>
    <t>Scuola "Pollicino"</t>
  </si>
  <si>
    <t>IT001E01474410</t>
  </si>
  <si>
    <t>Scuola "Riva"</t>
  </si>
  <si>
    <t>IT001E01473571</t>
  </si>
  <si>
    <t>Scuola "Tabona"</t>
  </si>
  <si>
    <t>IT001E01474585</t>
  </si>
  <si>
    <t>Scuola Alba Serena Bruino</t>
  </si>
  <si>
    <t>IT001E01437221</t>
  </si>
  <si>
    <t>Scuola dell'infanzia "Rodari"</t>
  </si>
  <si>
    <t>IT001E01471835</t>
  </si>
  <si>
    <t>Scuola dell'infanzia Disney</t>
  </si>
  <si>
    <t>IT001E04908352</t>
  </si>
  <si>
    <t>Scuola elementare 8 Marzo</t>
  </si>
  <si>
    <t>IT001E04908375</t>
  </si>
  <si>
    <t>Scuola elementare Cervi</t>
  </si>
  <si>
    <t>IT001E01623263</t>
  </si>
  <si>
    <t>Scuola Elementare Lessolo</t>
  </si>
  <si>
    <t>IT001E04387197</t>
  </si>
  <si>
    <t>Scuola elementare Quincinetto</t>
  </si>
  <si>
    <t>IT001E01295320</t>
  </si>
  <si>
    <t>Scuola elementare Rigola</t>
  </si>
  <si>
    <t>IT001E04927143</t>
  </si>
  <si>
    <t>Scuola elementare Romero</t>
  </si>
  <si>
    <t>IT001E04908383</t>
  </si>
  <si>
    <t>Scuola elementare Sangone</t>
  </si>
  <si>
    <t>IT001E01919342</t>
  </si>
  <si>
    <t>Scuola Gramsci</t>
  </si>
  <si>
    <t>IT001E01640610</t>
  </si>
  <si>
    <t>Scuola infanzia "Raffaello"</t>
  </si>
  <si>
    <t>IT001E01244802</t>
  </si>
  <si>
    <t>Scuola materna Mirò</t>
  </si>
  <si>
    <t>La scuola che accende la città</t>
  </si>
  <si>
    <t>Comune di Nichelino</t>
  </si>
  <si>
    <t>P.za G. di Vittorio, 1, 10042 Nichelino TO</t>
  </si>
  <si>
    <t>E-mail: gestionefabbricati@comune.nichelino.to.it Tel. 011.6819581</t>
  </si>
  <si>
    <t>IT001E01942729</t>
  </si>
  <si>
    <t>Scuola materna Rodari 1</t>
  </si>
  <si>
    <t>IT001E01613654</t>
  </si>
  <si>
    <t>Scuola Materna Settimo Vittone</t>
  </si>
  <si>
    <t>IT001E04448474</t>
  </si>
  <si>
    <t>Scuola materna Viarigi</t>
  </si>
  <si>
    <t>IT001E04624330</t>
  </si>
  <si>
    <t>Scuola media A. Frank</t>
  </si>
  <si>
    <t>IT001E01630324</t>
  </si>
  <si>
    <t>Scuola media Don Minzoni</t>
  </si>
  <si>
    <t>IT001E01619884</t>
  </si>
  <si>
    <t>Scuola Pellico</t>
  </si>
  <si>
    <t>IT001E01474406</t>
  </si>
  <si>
    <t>Scuola primaria "Battisti" + infanzia "Agazzi"</t>
  </si>
  <si>
    <t>IT001E00580494</t>
  </si>
  <si>
    <t>Scuola Ranzoni</t>
  </si>
  <si>
    <t>IT001E04251957</t>
  </si>
  <si>
    <t>Scuola secondaria "A. Frank"</t>
  </si>
  <si>
    <t>IT001E04397621</t>
  </si>
  <si>
    <t>Scuola secondaria di I grado "Brignone</t>
  </si>
  <si>
    <t>IT001E01474761</t>
  </si>
  <si>
    <t>Scuola secondaria di I grado "Poet"</t>
  </si>
  <si>
    <t>IT001E01486387</t>
  </si>
  <si>
    <t>Scuola Tallone</t>
  </si>
  <si>
    <t>IT001E01641387</t>
  </si>
  <si>
    <t>Scuola Tomassetti</t>
  </si>
  <si>
    <t>IT001E04251876</t>
  </si>
  <si>
    <t>Sede ADP</t>
  </si>
  <si>
    <t>IT001E04619116</t>
  </si>
  <si>
    <t>Seminario Vescovile - Coop. Insieme - Gira e Rigira</t>
  </si>
  <si>
    <t>IT001E01238026</t>
  </si>
  <si>
    <t>Seminario Vescovile - Coop. Insieme - POD2</t>
  </si>
  <si>
    <t>IT001E02388915</t>
  </si>
  <si>
    <t>Seminario Vescovile - Coop. La Carovana</t>
  </si>
  <si>
    <t>IT001E02279873</t>
  </si>
  <si>
    <t>Seminario Vescovile - Coop. Migrantes</t>
  </si>
  <si>
    <t>IT001E006099467</t>
  </si>
  <si>
    <t>Seminario Vescovile - CVA</t>
  </si>
  <si>
    <t>IT001E02388916</t>
  </si>
  <si>
    <t>Seminario Vescovile di Alba - CVA (centro prima accoglienza albese)</t>
  </si>
  <si>
    <t>IT001E02388914</t>
  </si>
  <si>
    <t>Sestriere</t>
  </si>
  <si>
    <t>Teatro</t>
  </si>
  <si>
    <t>IT001E01988720</t>
  </si>
  <si>
    <t>Teatro Superga</t>
  </si>
  <si>
    <t>IT001E00743672</t>
  </si>
  <si>
    <t>Torre Pellice</t>
  </si>
  <si>
    <t>Tribunale</t>
  </si>
  <si>
    <t>IT001E00214108</t>
  </si>
  <si>
    <t>Ufficio Tecnico</t>
  </si>
  <si>
    <t>IT001E04251875</t>
  </si>
  <si>
    <t>Usseaux</t>
  </si>
  <si>
    <t>VICARA SRL</t>
  </si>
  <si>
    <t>IT001E04140085</t>
  </si>
  <si>
    <t>Volvera</t>
  </si>
  <si>
    <t>Consumatore</t>
  </si>
  <si>
    <t>Ex Trattoria Torre Daniele</t>
  </si>
  <si>
    <t>A.I.B.</t>
  </si>
  <si>
    <t>IT001E085778960</t>
  </si>
  <si>
    <t>A.T.C. 1</t>
  </si>
  <si>
    <t>IT001E00769529</t>
  </si>
  <si>
    <t>A.T.C. 2</t>
  </si>
  <si>
    <t>IT001E00769531</t>
  </si>
  <si>
    <t>A.T.C. 3</t>
  </si>
  <si>
    <t>IT001E00769552</t>
  </si>
  <si>
    <t>A.T.C. 4</t>
  </si>
  <si>
    <t>IT001E00769558</t>
  </si>
  <si>
    <t>A.T.C. 5</t>
  </si>
  <si>
    <t>IT001E00769559</t>
  </si>
  <si>
    <t>A.T.C. 6</t>
  </si>
  <si>
    <t>IT001E00769561</t>
  </si>
  <si>
    <t>A.T.C. 7</t>
  </si>
  <si>
    <t>IT001E00769566</t>
  </si>
  <si>
    <t>A.T.C. 8</t>
  </si>
  <si>
    <t>IT001E00769567</t>
  </si>
  <si>
    <t>Abitazioni (450 POD)</t>
  </si>
  <si>
    <t>Acquedotto Carcoforo</t>
  </si>
  <si>
    <t>Aib Pro Loco</t>
  </si>
  <si>
    <t>IT001E01296001</t>
  </si>
  <si>
    <t>Alloggi Atc</t>
  </si>
  <si>
    <t>IT001E01878615</t>
  </si>
  <si>
    <t>Alloggi Comunita' Montana</t>
  </si>
  <si>
    <t>IT001E00724136</t>
  </si>
  <si>
    <t>Alloggi Montalto Dora</t>
  </si>
  <si>
    <t>IT001E04552021</t>
  </si>
  <si>
    <t>Alloggi Sambuco</t>
  </si>
  <si>
    <t>IT001E03434010</t>
  </si>
  <si>
    <t>Alloggi Vari</t>
  </si>
  <si>
    <t>Alloggio 'Fischi'</t>
  </si>
  <si>
    <t>IT001E01343133</t>
  </si>
  <si>
    <t>Ambulatorio</t>
  </si>
  <si>
    <t>IT001E01295323</t>
  </si>
  <si>
    <t>Ambulatorio - Sala consiglio </t>
  </si>
  <si>
    <t>IT117E00000437 </t>
  </si>
  <si>
    <t>Ambulatorio Medico Carema</t>
  </si>
  <si>
    <t>IT001E04479173</t>
  </si>
  <si>
    <t>Ambulatorio Medico Comunale</t>
  </si>
  <si>
    <t>IT001E04552029</t>
  </si>
  <si>
    <t>Ambulatorio Medico Quassolo</t>
  </si>
  <si>
    <t>IT001E03945625</t>
  </si>
  <si>
    <t>Ambulatorio Vidracco</t>
  </si>
  <si>
    <t>IT001E04620429</t>
  </si>
  <si>
    <t>Anfiteatro</t>
  </si>
  <si>
    <t>IT001E04552023</t>
  </si>
  <si>
    <t>Antenne scuole</t>
  </si>
  <si>
    <t>IT001E04622042</t>
  </si>
  <si>
    <t>Antonella Dance School</t>
  </si>
  <si>
    <t>IT001E016863416</t>
  </si>
  <si>
    <t>Archivio storico</t>
  </si>
  <si>
    <t>IT001E00507866</t>
  </si>
  <si>
    <t>Area Camper</t>
  </si>
  <si>
    <t>IT001E04620434</t>
  </si>
  <si>
    <t>Area Camper 1 </t>
  </si>
  <si>
    <t>IT001E00478415 </t>
  </si>
  <si>
    <t>Area Camper 2 </t>
  </si>
  <si>
    <t>IT001E00404857 </t>
  </si>
  <si>
    <t>Area mercatale</t>
  </si>
  <si>
    <t>IT001E05072774</t>
  </si>
  <si>
    <t>Area mercatale 2 Livorno Ferraris</t>
  </si>
  <si>
    <t>IT001E04622037</t>
  </si>
  <si>
    <t>Area mercatale Livorno Ferraris</t>
  </si>
  <si>
    <t>IT001E04622047</t>
  </si>
  <si>
    <t>Area Mercatale </t>
  </si>
  <si>
    <t>IT001E00695755 </t>
  </si>
  <si>
    <t>Area polivalente</t>
  </si>
  <si>
    <t>IT001E109014869</t>
  </si>
  <si>
    <t>Area Salone </t>
  </si>
  <si>
    <t>IT001E03600985 </t>
  </si>
  <si>
    <t>Area Turna</t>
  </si>
  <si>
    <t>Ascensore ex scuola elementare</t>
  </si>
  <si>
    <t>IT001E04622035</t>
  </si>
  <si>
    <t>ASD Accademia dello Sport</t>
  </si>
  <si>
    <t>ASD Gruppo Piemontese G.Solaro</t>
  </si>
  <si>
    <t>IT001E016322342</t>
  </si>
  <si>
    <t>Asilo Nido</t>
  </si>
  <si>
    <t>IT001E04552031</t>
  </si>
  <si>
    <t>Asilo Vittorio Ferrero (Parti Comuni) 1</t>
  </si>
  <si>
    <t>IT001E02657928</t>
  </si>
  <si>
    <t>Asilo Vittorio Ferrero (Parti Comuni) 2</t>
  </si>
  <si>
    <t>IT001E01687526</t>
  </si>
  <si>
    <t>ASL TO3 - MEDI PA (Borgaretto)</t>
  </si>
  <si>
    <t>IT001E00310283</t>
  </si>
  <si>
    <t>ASL VCO</t>
  </si>
  <si>
    <t>IT001E00209098</t>
  </si>
  <si>
    <t>Ass Vita Tre Cigliano Moncrivello</t>
  </si>
  <si>
    <t>IT001E02554605</t>
  </si>
  <si>
    <t>Associazione "Vita più"</t>
  </si>
  <si>
    <t>IT001E085795627</t>
  </si>
  <si>
    <t>Associazione Pro Loco</t>
  </si>
  <si>
    <t>IT001E10156984</t>
  </si>
  <si>
    <t>Associazione Sportiva  Dilentantistica</t>
  </si>
  <si>
    <t>IT001E04552038</t>
  </si>
  <si>
    <t>Associazioni culturali (Beinasco)</t>
  </si>
  <si>
    <t>IT001E01903439</t>
  </si>
  <si>
    <t>ATC Condominio 46 secondo</t>
  </si>
  <si>
    <t>ATC Edilizia Popolare 1</t>
  </si>
  <si>
    <t>IT001E01613539</t>
  </si>
  <si>
    <t>ATC Edilizia Popolare 2</t>
  </si>
  <si>
    <t>IT001E00643607</t>
  </si>
  <si>
    <t>Auditorium</t>
  </si>
  <si>
    <t>IT001E10213011</t>
  </si>
  <si>
    <t>Auditorium presso Scuola Media Vivaldi</t>
  </si>
  <si>
    <t>IT001E04203922</t>
  </si>
  <si>
    <t>Autorimessa e vano caldaia ad uso per il Palazzo Comunale, Ufficio Cittadino e Carabinieri</t>
  </si>
  <si>
    <t>IT001E01993777</t>
  </si>
  <si>
    <t>Azienda agricola Cascina Bianca</t>
  </si>
  <si>
    <t>Bagni pubblici parco Livorno Ferraris</t>
  </si>
  <si>
    <t>IT001E04673307</t>
  </si>
  <si>
    <t>Baruccio</t>
  </si>
  <si>
    <t>IT001E00727036</t>
  </si>
  <si>
    <t>Battistero San Lorenzo</t>
  </si>
  <si>
    <t>IT001E04462585</t>
  </si>
  <si>
    <t>Biblioteca (Borgaretto)</t>
  </si>
  <si>
    <t>IT001E01897731</t>
  </si>
  <si>
    <t>Biblioteca Andrate</t>
  </si>
  <si>
    <t>IT001E00104423</t>
  </si>
  <si>
    <t>Biblioteca Borgofranco</t>
  </si>
  <si>
    <t>IT001E01337180</t>
  </si>
  <si>
    <t>Biblioteca Bruino</t>
  </si>
  <si>
    <t>IT001E02413881</t>
  </si>
  <si>
    <t>Biblioteca Civica</t>
  </si>
  <si>
    <t>IT001E03939458</t>
  </si>
  <si>
    <t>Biblioteca comunale</t>
  </si>
  <si>
    <t>IT001E04622029</t>
  </si>
  <si>
    <t>Biblioteca Lessolo</t>
  </si>
  <si>
    <t>IT001E04398162</t>
  </si>
  <si>
    <t>Biblioteca Quincinetto</t>
  </si>
  <si>
    <t>IT001E00317857</t>
  </si>
  <si>
    <t>Biblioteca </t>
  </si>
  <si>
    <t>IT001E03966112 </t>
  </si>
  <si>
    <t>Biblioteca/Foresteria</t>
  </si>
  <si>
    <t>IT001E01324948</t>
  </si>
  <si>
    <t>Bocciodromo Alpignano</t>
  </si>
  <si>
    <t>IT001E01924973</t>
  </si>
  <si>
    <t>Bocciodromo Livorno Ferraris</t>
  </si>
  <si>
    <t>IT001E08602189</t>
  </si>
  <si>
    <t>BSR Grugliasco</t>
  </si>
  <si>
    <t>IT001E01597816</t>
  </si>
  <si>
    <t>Caffe' Dello Studente Di Muntoni Samantha</t>
  </si>
  <si>
    <t>IT001E026579376</t>
  </si>
  <si>
    <t>CAMPANA G.C.</t>
  </si>
  <si>
    <t>IT001E08368412</t>
  </si>
  <si>
    <t>Campanile Andrate</t>
  </si>
  <si>
    <t>IT001E04524352</t>
  </si>
  <si>
    <t>Campanile Carema</t>
  </si>
  <si>
    <t>IT001E04479170</t>
  </si>
  <si>
    <t>Campanile Viarigi</t>
  </si>
  <si>
    <t>IT001E04624341</t>
  </si>
  <si>
    <t>Campeggio Carcoforo</t>
  </si>
  <si>
    <t>Campo Di Calcio/Vasca Antincendio</t>
  </si>
  <si>
    <t>IT001E04448478</t>
  </si>
  <si>
    <t>Campo sportivo</t>
  </si>
  <si>
    <t>IT001E02051723</t>
  </si>
  <si>
    <t>Campo sportivo Quincinetto</t>
  </si>
  <si>
    <t>IT001E00257992</t>
  </si>
  <si>
    <t>Campo Sportivo V.lo Canale</t>
  </si>
  <si>
    <t>IT001E012281391</t>
  </si>
  <si>
    <t>Campo Sportivo Via dei Vivai</t>
  </si>
  <si>
    <t>IT001E04183970</t>
  </si>
  <si>
    <t>Campo Sportivo Via Fornace</t>
  </si>
  <si>
    <t>IT001E086877520</t>
  </si>
  <si>
    <t>Campo sportivo </t>
  </si>
  <si>
    <t>IT001E03964788 </t>
  </si>
  <si>
    <t>Cancello automatico Nido</t>
  </si>
  <si>
    <t>IT001E02463181</t>
  </si>
  <si>
    <t>Canile comunale</t>
  </si>
  <si>
    <t>IT001E04622032</t>
  </si>
  <si>
    <t>Cantina Comunale</t>
  </si>
  <si>
    <t>IT001E03945626</t>
  </si>
  <si>
    <t>Casa Acqua</t>
  </si>
  <si>
    <t>IT001E02073851</t>
  </si>
  <si>
    <t>Casa Campiglie</t>
  </si>
  <si>
    <t>IT001E03945705</t>
  </si>
  <si>
    <t>Casa della Salute (Borgaretto)</t>
  </si>
  <si>
    <t>IT001E04203929</t>
  </si>
  <si>
    <t>Casa della Salute di Borgaretto</t>
  </si>
  <si>
    <t>IT001E00810706</t>
  </si>
  <si>
    <t>Casa di Riposo Gattinara</t>
  </si>
  <si>
    <t>IT001E08578131</t>
  </si>
  <si>
    <t>CASA DI RIPOSO MAURIZIO MULLER</t>
  </si>
  <si>
    <t>IT001E08374421</t>
  </si>
  <si>
    <t>Casa Morelli</t>
  </si>
  <si>
    <t>Casa Passaggio Livello (Ex Casermetta)</t>
  </si>
  <si>
    <t>IT001E03944926</t>
  </si>
  <si>
    <t>Casa salute</t>
  </si>
  <si>
    <t>IT001E04908467</t>
  </si>
  <si>
    <t>Casa Vacanze</t>
  </si>
  <si>
    <t>IT001E04524479</t>
  </si>
  <si>
    <t>Casa Via Cortazza</t>
  </si>
  <si>
    <t>Cascina Lora</t>
  </si>
  <si>
    <t>IT001E10154976</t>
  </si>
  <si>
    <t>Case Perona</t>
  </si>
  <si>
    <t>IT001E01324926</t>
  </si>
  <si>
    <t>Caserma Forestale</t>
  </si>
  <si>
    <t>Centro anziani</t>
  </si>
  <si>
    <t>IT001E03940574</t>
  </si>
  <si>
    <t>Centro Anziani - Cidis</t>
  </si>
  <si>
    <t>IT001E04203893</t>
  </si>
  <si>
    <t>Centro Anziani (Beinasco)</t>
  </si>
  <si>
    <t>IT001E01846516</t>
  </si>
  <si>
    <t>Centro anziani “E. Berlinguer”</t>
  </si>
  <si>
    <t>IT001E01612972</t>
  </si>
  <si>
    <t>Centro anziani 1</t>
  </si>
  <si>
    <t>IT001E05072453</t>
  </si>
  <si>
    <t>Centro Anziani 2</t>
  </si>
  <si>
    <t>IT001E04203866</t>
  </si>
  <si>
    <t>Centro Anziani Bruino</t>
  </si>
  <si>
    <t>IT001E02413880</t>
  </si>
  <si>
    <t>Centro De Maria - Associazione "Il Laboratorio - C.T.M. aps"</t>
  </si>
  <si>
    <t>IT001E00675897</t>
  </si>
  <si>
    <t>Centro Del Lavoro</t>
  </si>
  <si>
    <t>IT001E04552030</t>
  </si>
  <si>
    <t>Centro Incontri</t>
  </si>
  <si>
    <t>IT001E04552028</t>
  </si>
  <si>
    <t>Centro incontro anziani </t>
  </si>
  <si>
    <t>IT001E03952774 </t>
  </si>
  <si>
    <t>Centro Polifunzionale (S. Croce)</t>
  </si>
  <si>
    <t>IT001E04203864</t>
  </si>
  <si>
    <t>Centro polifunzionale “Salvatore Treccarichi”</t>
  </si>
  <si>
    <t>IT001E01288918</t>
  </si>
  <si>
    <t>Centro polivalente </t>
  </si>
  <si>
    <t>IT117E00000526 </t>
  </si>
  <si>
    <t>Centro Ricreativo Culturale (Il Malinteso) Borgo Melano</t>
  </si>
  <si>
    <t>IT001E04203836</t>
  </si>
  <si>
    <t>Centro sociale Gattinara</t>
  </si>
  <si>
    <t>IT001E085797212</t>
  </si>
  <si>
    <t>Centro sportivo Frassinetto </t>
  </si>
  <si>
    <t>IT001E00592459 </t>
  </si>
  <si>
    <t>Centro Territoriale per il Volontariato</t>
  </si>
  <si>
    <t>Centro visita PNGP </t>
  </si>
  <si>
    <t>IT117E00000589 </t>
  </si>
  <si>
    <t>CER di Magliano Alpi, CER 3 - utente1</t>
  </si>
  <si>
    <t>CER di Magliano Alpi, CER 3 - utente2</t>
  </si>
  <si>
    <t>CER di Magliano Alpi, CER 3 - utente6</t>
  </si>
  <si>
    <t>CER di Magliano Alpi-Carrù, CER 2 - utente1</t>
  </si>
  <si>
    <t>CER di Magliano Alpi-Carrù, CER 2 - utente2</t>
  </si>
  <si>
    <t>CER EnergyCarrù di Carrù - utente3</t>
  </si>
  <si>
    <t>CER EnergyCarrù di Carrù - utente4</t>
  </si>
  <si>
    <t>CER EnergyCarrù di Carrù - utente5</t>
  </si>
  <si>
    <t>CER EnergyCarrù di Carrù - utente6</t>
  </si>
  <si>
    <t>CER EnergyCarrù di Carrù - utente7</t>
  </si>
  <si>
    <t>CER EnergyCarrù di Carrù - utente8</t>
  </si>
  <si>
    <t>CER EnergyCarrù di Carrù - utente9</t>
  </si>
  <si>
    <t>CER Vallette_Utente1</t>
  </si>
  <si>
    <t>CER Vallette_Utente2</t>
  </si>
  <si>
    <t>CER Vallette_Utente3</t>
  </si>
  <si>
    <t>CER Vallette_Utente4</t>
  </si>
  <si>
    <t>CER Vallette_Utente5</t>
  </si>
  <si>
    <t>CER Vallette_Utente6</t>
  </si>
  <si>
    <t>CER Vallette_Utente7</t>
  </si>
  <si>
    <t>CER Vallette_Utente8</t>
  </si>
  <si>
    <t>Chiesa San Matteo</t>
  </si>
  <si>
    <t>IT001E02065376</t>
  </si>
  <si>
    <t>Chiesa San Pietro</t>
  </si>
  <si>
    <t>IT001E085786369</t>
  </si>
  <si>
    <t>Chiesa Santa Marta</t>
  </si>
  <si>
    <t>IT001E03997091</t>
  </si>
  <si>
    <t>Chiosco mercato Bruino</t>
  </si>
  <si>
    <t>IT001E10140755</t>
  </si>
  <si>
    <t>IT001E04622033</t>
  </si>
  <si>
    <t>Cimitero  Montalto Dora</t>
  </si>
  <si>
    <t>IT001E04552037</t>
  </si>
  <si>
    <t>Cimitero 1</t>
  </si>
  <si>
    <t>IT001E05071943</t>
  </si>
  <si>
    <t>Cimitero 2</t>
  </si>
  <si>
    <t>IT001E05075178</t>
  </si>
  <si>
    <t>Cimitero 3</t>
  </si>
  <si>
    <t>IT001E05072716</t>
  </si>
  <si>
    <t>Cimitero 6</t>
  </si>
  <si>
    <t>IT001E03982199</t>
  </si>
  <si>
    <t>Cimitero Baio Dora</t>
  </si>
  <si>
    <t>IT001E01336063</t>
  </si>
  <si>
    <t>Cimitero Bruino</t>
  </si>
  <si>
    <t>IT001E01438660</t>
  </si>
  <si>
    <t>Cimitero Carema</t>
  </si>
  <si>
    <t>IT001E04479174</t>
  </si>
  <si>
    <t>Cimitero Frassinetto </t>
  </si>
  <si>
    <t>IT001E04479271 </t>
  </si>
  <si>
    <t>Cimitero Lessolo</t>
  </si>
  <si>
    <t>IT001E02486872</t>
  </si>
  <si>
    <t>Cimitero Quassolo</t>
  </si>
  <si>
    <t>IT001E03959967</t>
  </si>
  <si>
    <t>Cimitero Settimo Vittone</t>
  </si>
  <si>
    <t>IT001E04448473</t>
  </si>
  <si>
    <t>Cimitero Viarigi</t>
  </si>
  <si>
    <t>IT001E04624335</t>
  </si>
  <si>
    <t>Cimitero </t>
  </si>
  <si>
    <t>IT001E03964127 </t>
  </si>
  <si>
    <t>Cittadino 1</t>
  </si>
  <si>
    <t>IT001E072481275</t>
  </si>
  <si>
    <t>Cittadino 10</t>
  </si>
  <si>
    <t>Cittadino 11</t>
  </si>
  <si>
    <t>IT001E07247548</t>
  </si>
  <si>
    <t>Cittadino 12</t>
  </si>
  <si>
    <t>IT001E07234906</t>
  </si>
  <si>
    <t>Cittadino 13</t>
  </si>
  <si>
    <t>IT001E07247820</t>
  </si>
  <si>
    <t>Cittadino 14</t>
  </si>
  <si>
    <t>IT001E072480805</t>
  </si>
  <si>
    <t>Cittadino 15</t>
  </si>
  <si>
    <t>IT001E072196449</t>
  </si>
  <si>
    <t>Cittadino 16</t>
  </si>
  <si>
    <t>IT001E072472411</t>
  </si>
  <si>
    <t>Cittadino 17</t>
  </si>
  <si>
    <t>IT001E072472420</t>
  </si>
  <si>
    <t>Cittadino 18</t>
  </si>
  <si>
    <t>IT1E07247618</t>
  </si>
  <si>
    <t>Cittadino 19</t>
  </si>
  <si>
    <t>IT001E07247552</t>
  </si>
  <si>
    <t>Cittadino 2</t>
  </si>
  <si>
    <t>IT001E072480091</t>
  </si>
  <si>
    <t>Cittadino 20</t>
  </si>
  <si>
    <t>IT001E022573900</t>
  </si>
  <si>
    <t>Cittadino 21</t>
  </si>
  <si>
    <t>IT001E072479572</t>
  </si>
  <si>
    <t>Cittadino 22</t>
  </si>
  <si>
    <t>IT001E07247673</t>
  </si>
  <si>
    <t>Cittadino 23</t>
  </si>
  <si>
    <t>IT001E009590223</t>
  </si>
  <si>
    <t>Cittadino 24</t>
  </si>
  <si>
    <t>IT001E07248097</t>
  </si>
  <si>
    <t>Cittadino 3</t>
  </si>
  <si>
    <t>IT001E00800978</t>
  </si>
  <si>
    <t>Cittadino 4</t>
  </si>
  <si>
    <t>IT001E072472373</t>
  </si>
  <si>
    <t>Cittadino 5</t>
  </si>
  <si>
    <t>IT001E072514076</t>
  </si>
  <si>
    <t>Cittadino 6</t>
  </si>
  <si>
    <t>IT001E07247236</t>
  </si>
  <si>
    <t>Cittadino 7</t>
  </si>
  <si>
    <t>IT001E07248072</t>
  </si>
  <si>
    <t>Cittadino 8</t>
  </si>
  <si>
    <t>IT001E07248209</t>
  </si>
  <si>
    <t>Cittadino 9</t>
  </si>
  <si>
    <t>IT001E072476441</t>
  </si>
  <si>
    <t>Cittadino privato 1</t>
  </si>
  <si>
    <t>IT001E025032730</t>
  </si>
  <si>
    <t>Cittadino privato 12</t>
  </si>
  <si>
    <t>IT001E01525771</t>
  </si>
  <si>
    <t>Cittadino privato 13</t>
  </si>
  <si>
    <t>IT001E006817971</t>
  </si>
  <si>
    <t>Cittadino privato 14</t>
  </si>
  <si>
    <t>IT001E03989557</t>
  </si>
  <si>
    <t>Cittadino privato 15</t>
  </si>
  <si>
    <t>IT001E04115547</t>
  </si>
  <si>
    <t>Cittadino privato 16</t>
  </si>
  <si>
    <t>IT001E03989591</t>
  </si>
  <si>
    <t>Cittadino privato 17</t>
  </si>
  <si>
    <t>IT001E039896702</t>
  </si>
  <si>
    <t>Cittadino privato 18</t>
  </si>
  <si>
    <t>IT001E03370923</t>
  </si>
  <si>
    <t>Cittadino privato 19</t>
  </si>
  <si>
    <t>IT020E00082934</t>
  </si>
  <si>
    <t>Cittadino privato 2</t>
  </si>
  <si>
    <t>IT001E016875295</t>
  </si>
  <si>
    <t>Cittadino privato 20</t>
  </si>
  <si>
    <t>IT020E00080001</t>
  </si>
  <si>
    <t>Cittadino privato 21</t>
  </si>
  <si>
    <t>Cittadino privato 3</t>
  </si>
  <si>
    <t>IT001E01687524</t>
  </si>
  <si>
    <t>Cittadino privato 4</t>
  </si>
  <si>
    <t>IT001E01687525</t>
  </si>
  <si>
    <t>Cittadino privato 5</t>
  </si>
  <si>
    <t>IT001E01687528</t>
  </si>
  <si>
    <t>Cittadino privato 6</t>
  </si>
  <si>
    <t>IT001E016875236</t>
  </si>
  <si>
    <t>Colonia Bertotto</t>
  </si>
  <si>
    <t>IT001E086885298</t>
  </si>
  <si>
    <t>Comune di Bobbio Pellice (TO)</t>
  </si>
  <si>
    <t>Comune di Borgofranco</t>
  </si>
  <si>
    <t>IT001E01337334</t>
  </si>
  <si>
    <t>Comune di Gattinara</t>
  </si>
  <si>
    <t>IT001E085795660</t>
  </si>
  <si>
    <t>Comune di Ozzano Monferrato 1</t>
  </si>
  <si>
    <t>IT001E00716578</t>
  </si>
  <si>
    <t>Comune di Ozzano Monferrato 10</t>
  </si>
  <si>
    <t>IT001E07220212</t>
  </si>
  <si>
    <t>Comune di Ozzano Monferrato 11</t>
  </si>
  <si>
    <t>IT001E07220231</t>
  </si>
  <si>
    <t>Comune di Ozzano Monferrato 12</t>
  </si>
  <si>
    <t>IT001E07250482</t>
  </si>
  <si>
    <t>Comune di Ozzano Monferrato 13</t>
  </si>
  <si>
    <t>IT001E07250501</t>
  </si>
  <si>
    <t>Comune di Ozzano Monferrato 14</t>
  </si>
  <si>
    <t>IT001E07250514</t>
  </si>
  <si>
    <t>Comune di Ozzano Monferrato 15</t>
  </si>
  <si>
    <t>IT001E07250517</t>
  </si>
  <si>
    <t>Comune di Ozzano Monferrato 16</t>
  </si>
  <si>
    <t>IT001E07251731</t>
  </si>
  <si>
    <t>Comune di Ozzano Monferrato 17</t>
  </si>
  <si>
    <t>IT001E00803601</t>
  </si>
  <si>
    <t>Comune di Ozzano Monferrato 18</t>
  </si>
  <si>
    <t>IT001E02166204</t>
  </si>
  <si>
    <t>Comune di Ozzano Monferrato 19</t>
  </si>
  <si>
    <t>IT001E02407915</t>
  </si>
  <si>
    <t>Comune di Ozzano Monferrato 2</t>
  </si>
  <si>
    <t>IT001E01176303</t>
  </si>
  <si>
    <t>Comune di Ozzano Monferrato 20</t>
  </si>
  <si>
    <t>IT001E02408782</t>
  </si>
  <si>
    <t>Comune di Ozzano Monferrato 21</t>
  </si>
  <si>
    <t>IT001E02408793</t>
  </si>
  <si>
    <t>Comune di Ozzano Monferrato 22</t>
  </si>
  <si>
    <t>IT001E02436395</t>
  </si>
  <si>
    <t>Comune di Ozzano Monferrato 23</t>
  </si>
  <si>
    <t>IT001E02879533</t>
  </si>
  <si>
    <t>Comune di Ozzano Monferrato 24</t>
  </si>
  <si>
    <t>IT001E02879534</t>
  </si>
  <si>
    <t>Comune di Ozzano Monferrato 25</t>
  </si>
  <si>
    <t>IT001E04098269</t>
  </si>
  <si>
    <t>Comune di Ozzano Monferrato 26</t>
  </si>
  <si>
    <t>IT001E07220150</t>
  </si>
  <si>
    <t>Comune di Ozzano Monferrato 27</t>
  </si>
  <si>
    <t>IT001E07230690</t>
  </si>
  <si>
    <t>Comune di Ozzano Monferrato 28</t>
  </si>
  <si>
    <t>IT001E07251406</t>
  </si>
  <si>
    <t>Comune di Ozzano Monferrato 29</t>
  </si>
  <si>
    <t>IT001E07251411</t>
  </si>
  <si>
    <t>Comune di Ozzano Monferrato 3</t>
  </si>
  <si>
    <t>IT001E01211577</t>
  </si>
  <si>
    <t>Comune di Ozzano Monferrato 30</t>
  </si>
  <si>
    <t>IT001E07251641</t>
  </si>
  <si>
    <t>Comune di Ozzano Monferrato 31</t>
  </si>
  <si>
    <t>IT001E07251738</t>
  </si>
  <si>
    <t>Comune di Ozzano Monferrato 32</t>
  </si>
  <si>
    <t>IT001E07251791</t>
  </si>
  <si>
    <t>Comune di Ozzano Monferrato 33</t>
  </si>
  <si>
    <t>IT001E07251805</t>
  </si>
  <si>
    <t>Comune di Ozzano Monferrato 34</t>
  </si>
  <si>
    <t>IT001E07251858</t>
  </si>
  <si>
    <t>Comune di Ozzano Monferrato 35</t>
  </si>
  <si>
    <t>IT001E07252512</t>
  </si>
  <si>
    <t>Comune di Ozzano Monferrato 36</t>
  </si>
  <si>
    <t>IT001E10199010</t>
  </si>
  <si>
    <t>Comune di Ozzano Monferrato 37</t>
  </si>
  <si>
    <t>IT001E10460578</t>
  </si>
  <si>
    <t>Comune di Ozzano Monferrato 4</t>
  </si>
  <si>
    <t>IT001E07216945</t>
  </si>
  <si>
    <t>Comune di Ozzano Monferrato 5</t>
  </si>
  <si>
    <t>IT001E07216946</t>
  </si>
  <si>
    <t>Comune di Ozzano Monferrato 6</t>
  </si>
  <si>
    <t>IT001E07216947</t>
  </si>
  <si>
    <t>Comune di Ozzano Monferrato 7</t>
  </si>
  <si>
    <t>IT001E07216948</t>
  </si>
  <si>
    <t>Comune di Ozzano Monferrato 8</t>
  </si>
  <si>
    <t>IT001E07218113</t>
  </si>
  <si>
    <t>Comune di Ozzano Monferrato 9</t>
  </si>
  <si>
    <t>IT001E07218124</t>
  </si>
  <si>
    <t>Comune Di Quassolo</t>
  </si>
  <si>
    <t>IT001E01296013</t>
  </si>
  <si>
    <t>Comune di Rodello</t>
  </si>
  <si>
    <t>Comune di Rorà (TO)</t>
  </si>
  <si>
    <t>COMUNE DI ROSIGNANO MONFERRATO 1</t>
  </si>
  <si>
    <t>IT001E07247462</t>
  </si>
  <si>
    <t>COMUNE DI ROSIGNANO MONFERRATO 10</t>
  </si>
  <si>
    <t>IT001E02448122</t>
  </si>
  <si>
    <t>COMUNE DI ROSIGNANO MONFERRATO 11</t>
  </si>
  <si>
    <t>IT001E10451294</t>
  </si>
  <si>
    <t>COMUNE DI ROSIGNANO MONFERRATO 12</t>
  </si>
  <si>
    <t>IT001E10451100</t>
  </si>
  <si>
    <t>COMUNE DI ROSIGNANO MONFERRATO 13</t>
  </si>
  <si>
    <t>IT001E03404028</t>
  </si>
  <si>
    <t>COMUNE DI ROSIGNANO MONFERRATO 14</t>
  </si>
  <si>
    <t>IT001E03404504</t>
  </si>
  <si>
    <t>COMUNE DI ROSIGNANO MONFERRATO 15</t>
  </si>
  <si>
    <t>IT001E03404026</t>
  </si>
  <si>
    <t>COMUNE DI ROSIGNANO MONFERRATO 16</t>
  </si>
  <si>
    <t>IT001E07247281</t>
  </si>
  <si>
    <t>COMUNE DI ROSIGNANO MONFERRATO 17</t>
  </si>
  <si>
    <t>IT001E07247470</t>
  </si>
  <si>
    <t>COMUNE DI ROSIGNANO MONFERRATO 18</t>
  </si>
  <si>
    <t>IT001E07247375</t>
  </si>
  <si>
    <t>COMUNE DI ROSIGNANO MONFERRATO 19</t>
  </si>
  <si>
    <t>IT001E00726956</t>
  </si>
  <si>
    <t>COMUNE DI ROSIGNANO MONFERRATO 2</t>
  </si>
  <si>
    <t>IT001E07247466</t>
  </si>
  <si>
    <t>COMUNE DI ROSIGNANO MONFERRATO 20</t>
  </si>
  <si>
    <t>IT001E02026789</t>
  </si>
  <si>
    <t>COMUNE DI ROSIGNANO MONFERRATO 21</t>
  </si>
  <si>
    <t>IT001E00744900</t>
  </si>
  <si>
    <t>COMUNE DI ROSIGNANO MONFERRATO 24</t>
  </si>
  <si>
    <t>IT001E03404027</t>
  </si>
  <si>
    <t>COMUNE DI ROSIGNANO MONFERRATO 25</t>
  </si>
  <si>
    <t>IT001E07247794</t>
  </si>
  <si>
    <t>COMUNE DI ROSIGNANO MONFERRATO 26</t>
  </si>
  <si>
    <t>IT001E07247795</t>
  </si>
  <si>
    <t>COMUNE DI ROSIGNANO MONFERRATO 27</t>
  </si>
  <si>
    <t>IT001E07247692</t>
  </si>
  <si>
    <t>COMUNE DI ROSIGNANO MONFERRATO 28</t>
  </si>
  <si>
    <t>IT001E07247551</t>
  </si>
  <si>
    <t>COMUNE DI ROSIGNANO MONFERRATO 29</t>
  </si>
  <si>
    <t>IT001E0724737</t>
  </si>
  <si>
    <t>COMUNE DI ROSIGNANO MONFERRATO 3</t>
  </si>
  <si>
    <t>IT001E07247195</t>
  </si>
  <si>
    <t>COMUNE DI ROSIGNANO MONFERRATO 30</t>
  </si>
  <si>
    <t>IT001E07247831</t>
  </si>
  <si>
    <t>COMUNE DI ROSIGNANO MONFERRATO 31</t>
  </si>
  <si>
    <t>IT001E07247798</t>
  </si>
  <si>
    <t>COMUNE DI ROSIGNANO MONFERRATO 32</t>
  </si>
  <si>
    <t>IT001E07247394</t>
  </si>
  <si>
    <t>COMUNE DI ROSIGNANO MONFERRATO 33</t>
  </si>
  <si>
    <t>IT001E07247550</t>
  </si>
  <si>
    <t>COMUNE DI ROSIGNANO MONFERRATO 34</t>
  </si>
  <si>
    <t>IT001E02835631</t>
  </si>
  <si>
    <t>COMUNE DI ROSIGNANO MONFERRATO 36</t>
  </si>
  <si>
    <t>IT001E07247368</t>
  </si>
  <si>
    <t>COMUNE DI ROSIGNANO MONFERRATO 37</t>
  </si>
  <si>
    <t>IT001E02629045</t>
  </si>
  <si>
    <t>COMUNE DI ROSIGNANO MONFERRATO 38</t>
  </si>
  <si>
    <t>IT001E07243527</t>
  </si>
  <si>
    <t>COMUNE DI ROSIGNANO MONFERRATO 39</t>
  </si>
  <si>
    <t>IT001E07248223</t>
  </si>
  <si>
    <t>COMUNE DI ROSIGNANO MONFERRATO 4</t>
  </si>
  <si>
    <t>IT001E07247206</t>
  </si>
  <si>
    <t>COMUNE DI ROSIGNANO MONFERRATO 40</t>
  </si>
  <si>
    <t>IT001E07260924</t>
  </si>
  <si>
    <t>COMUNE DI ROSIGNANO MONFERRATO 41</t>
  </si>
  <si>
    <t>IT001E02535588</t>
  </si>
  <si>
    <t>COMUNE DI ROSIGNANO MONFERRATO 42</t>
  </si>
  <si>
    <t>IT001E02535589</t>
  </si>
  <si>
    <t>COMUNE DI ROSIGNANO MONFERRATO 43</t>
  </si>
  <si>
    <t>IT001E02458181</t>
  </si>
  <si>
    <t>COMUNE DI ROSIGNANO MONFERRATO 44</t>
  </si>
  <si>
    <t>IT001E02849159</t>
  </si>
  <si>
    <t>COMUNE DI ROSIGNANO MONFERRATO 6</t>
  </si>
  <si>
    <t>IT001E00698755</t>
  </si>
  <si>
    <t>COMUNE DI ROSIGNANO MONFERRATO 7</t>
  </si>
  <si>
    <t>IT001E02488588</t>
  </si>
  <si>
    <t>COMUNE DI ROSIGNANO MONFERRATO 8</t>
  </si>
  <si>
    <t>IT001E02489545</t>
  </si>
  <si>
    <t>COMUNE DI ROSIGNANO MONFERRATO 9</t>
  </si>
  <si>
    <t>IT001E02448119</t>
  </si>
  <si>
    <t>Comunità Minori "9 e 3/4"</t>
  </si>
  <si>
    <t>IT001E085924621</t>
  </si>
  <si>
    <t>Condominio Maria Assunta</t>
  </si>
  <si>
    <t>IT001E04622045</t>
  </si>
  <si>
    <t>CONDOMINIO SAN LEONARDO</t>
  </si>
  <si>
    <t>IT001E083783184</t>
  </si>
  <si>
    <t>CONFARTIGIANATO</t>
  </si>
  <si>
    <t>IT001E00102484</t>
  </si>
  <si>
    <t>CONSOLATA SRL</t>
  </si>
  <si>
    <t>IT001E00813499</t>
  </si>
  <si>
    <t>CONSOLATA SRL 2</t>
  </si>
  <si>
    <t>IT001E00408693</t>
  </si>
  <si>
    <t>CONSORZIO COOPERATIVE SOCIALI</t>
  </si>
  <si>
    <t>IT001E04673646</t>
  </si>
  <si>
    <t>CONSORZIO SERVIZI SOCIALI1</t>
  </si>
  <si>
    <t>IT001E08372735</t>
  </si>
  <si>
    <t>CONSORZIO SERVIZI SOCIALI2</t>
  </si>
  <si>
    <t>IT001E08372736</t>
  </si>
  <si>
    <t>CONSORZIO SERVIZI SOCIALI3</t>
  </si>
  <si>
    <t>IT001E02155304</t>
  </si>
  <si>
    <t>Consumatore 1 - 141</t>
  </si>
  <si>
    <t>IT001E05096686</t>
  </si>
  <si>
    <t>Consumatore 1 - 413</t>
  </si>
  <si>
    <t>IT001E03427049</t>
  </si>
  <si>
    <t>Consumatore 10</t>
  </si>
  <si>
    <t>IT001E03408323</t>
  </si>
  <si>
    <t>Consumatore 10 - 132</t>
  </si>
  <si>
    <t>IT001E02646594</t>
  </si>
  <si>
    <t>Consumatore 11</t>
  </si>
  <si>
    <t>IT001E00646058</t>
  </si>
  <si>
    <t>Consumatore 11 - 131</t>
  </si>
  <si>
    <t>IT001E05098139</t>
  </si>
  <si>
    <t>Consumatore 12</t>
  </si>
  <si>
    <t>IT001E03411787</t>
  </si>
  <si>
    <t>Consumatore 12 - 130</t>
  </si>
  <si>
    <t>IT001E05097268</t>
  </si>
  <si>
    <t>Consumatore 13</t>
  </si>
  <si>
    <t>IT001E03436333</t>
  </si>
  <si>
    <t>Consumatore 13 - 129</t>
  </si>
  <si>
    <t>IT001E02049910</t>
  </si>
  <si>
    <t>Consumatore 14</t>
  </si>
  <si>
    <t>IT001E03577127</t>
  </si>
  <si>
    <t>Consumatore 14 - 127</t>
  </si>
  <si>
    <t>IT001E03392754</t>
  </si>
  <si>
    <t>Consumatore 15</t>
  </si>
  <si>
    <t>IT001E00730124</t>
  </si>
  <si>
    <t>Consumatore 15 - 136</t>
  </si>
  <si>
    <t>IT001E00214135</t>
  </si>
  <si>
    <t>Consumatore 16</t>
  </si>
  <si>
    <t>IT001E03436386</t>
  </si>
  <si>
    <t>Consumatore 16 - 125</t>
  </si>
  <si>
    <t>IT001E04908655</t>
  </si>
  <si>
    <t>Consumatore 17</t>
  </si>
  <si>
    <t>IT001E03577139</t>
  </si>
  <si>
    <t>Consumatore 17 - 124</t>
  </si>
  <si>
    <t>IT001E04908684</t>
  </si>
  <si>
    <t>Consumatore 18</t>
  </si>
  <si>
    <t>IT001E02103995</t>
  </si>
  <si>
    <t>Consumatore 18 - 123</t>
  </si>
  <si>
    <t>IT001E00449937</t>
  </si>
  <si>
    <t>Consumatore 19</t>
  </si>
  <si>
    <t>Consumatore 19 - 1225</t>
  </si>
  <si>
    <t>IT001E01882658</t>
  </si>
  <si>
    <t>Consumatore 2</t>
  </si>
  <si>
    <t>IT001E10086233</t>
  </si>
  <si>
    <t>Consumatore 2 -140</t>
  </si>
  <si>
    <t>IT001E05096687</t>
  </si>
  <si>
    <t>Consumatore 20</t>
  </si>
  <si>
    <t>IT001E02043467</t>
  </si>
  <si>
    <t>Consumatore 21</t>
  </si>
  <si>
    <t>IT001E00767570</t>
  </si>
  <si>
    <t>Consumatore 22</t>
  </si>
  <si>
    <t>IT001E07922383</t>
  </si>
  <si>
    <t>Consumatore 23</t>
  </si>
  <si>
    <t>IT001E10170107</t>
  </si>
  <si>
    <t>Consumatore 24</t>
  </si>
  <si>
    <t>IT001E03463644</t>
  </si>
  <si>
    <t>Consumatore 25</t>
  </si>
  <si>
    <t>IT001E03463151</t>
  </si>
  <si>
    <t>Consumatore 26</t>
  </si>
  <si>
    <t>IT001E03463170</t>
  </si>
  <si>
    <t>Consumatore 27</t>
  </si>
  <si>
    <t>IT001E02183584</t>
  </si>
  <si>
    <t>Consumatore 28</t>
  </si>
  <si>
    <t>Consumatore 3</t>
  </si>
  <si>
    <t>IT001E03577167</t>
  </si>
  <si>
    <t>Consumatore 3 - 139</t>
  </si>
  <si>
    <t>IT001E05097327</t>
  </si>
  <si>
    <t>Consumatore 30</t>
  </si>
  <si>
    <t>IT001E00382067</t>
  </si>
  <si>
    <t>Consumatore 31</t>
  </si>
  <si>
    <t>IT001E02572327</t>
  </si>
  <si>
    <t>Consumatore 32</t>
  </si>
  <si>
    <t>IT001E00763074</t>
  </si>
  <si>
    <t>Consumatore 33</t>
  </si>
  <si>
    <t>IT001E03425512</t>
  </si>
  <si>
    <t>Consumatore 34</t>
  </si>
  <si>
    <t>IT001E03419500</t>
  </si>
  <si>
    <t>Consumatore 35</t>
  </si>
  <si>
    <t>IT001E03503811</t>
  </si>
  <si>
    <t>Consumatore 36</t>
  </si>
  <si>
    <t>IT001E03425222</t>
  </si>
  <si>
    <t>Consumatore 37</t>
  </si>
  <si>
    <t>IT001E03415269</t>
  </si>
  <si>
    <t>Consumatore 38</t>
  </si>
  <si>
    <t>IT001E02575807</t>
  </si>
  <si>
    <t>Consumatore 39</t>
  </si>
  <si>
    <t>IT001E03424795</t>
  </si>
  <si>
    <t>Consumatore 4</t>
  </si>
  <si>
    <t>IT001E10200029</t>
  </si>
  <si>
    <t>Consumatore 4 -138</t>
  </si>
  <si>
    <t>IT001E05096676</t>
  </si>
  <si>
    <t>Consumatore 40</t>
  </si>
  <si>
    <t>IT001E10238743</t>
  </si>
  <si>
    <t>Consumatore 41</t>
  </si>
  <si>
    <t>IT001E00805697</t>
  </si>
  <si>
    <t>Consumatore 42</t>
  </si>
  <si>
    <t>IT001E03425317</t>
  </si>
  <si>
    <t>Consumatore 43</t>
  </si>
  <si>
    <t>IT001E03425093</t>
  </si>
  <si>
    <t>Consumatore 44</t>
  </si>
  <si>
    <t>IT001E03425071</t>
  </si>
  <si>
    <t>Consumatore 45</t>
  </si>
  <si>
    <t>IT001E00548235</t>
  </si>
  <si>
    <t>Consumatore 46</t>
  </si>
  <si>
    <t>IT001E03449286</t>
  </si>
  <si>
    <t>Consumatore 47</t>
  </si>
  <si>
    <t>IT001E00617606</t>
  </si>
  <si>
    <t>Consumatore 48</t>
  </si>
  <si>
    <t>IT001E03530610</t>
  </si>
  <si>
    <t>Consumatore 49</t>
  </si>
  <si>
    <t>IT001E03530608</t>
  </si>
  <si>
    <t>Consumatore 5 - 137</t>
  </si>
  <si>
    <t>IT001E05098192</t>
  </si>
  <si>
    <t>Consumatore 5 - 408</t>
  </si>
  <si>
    <t>IT001E03436310</t>
  </si>
  <si>
    <t>Consumatore 50</t>
  </si>
  <si>
    <t>Consumatore 6 - 136</t>
  </si>
  <si>
    <t>IT001E05096688</t>
  </si>
  <si>
    <t>Consumatore 6 - 407</t>
  </si>
  <si>
    <t>IT001E03436581</t>
  </si>
  <si>
    <t>Consumatore 7 - 135</t>
  </si>
  <si>
    <t>IT001E05098144</t>
  </si>
  <si>
    <t>Consumatore 7 - 406</t>
  </si>
  <si>
    <t>IT001E03436633</t>
  </si>
  <si>
    <t>Consumatore 8 - 134</t>
  </si>
  <si>
    <t>IT001E05098134</t>
  </si>
  <si>
    <t>Consumatore 8 - 405</t>
  </si>
  <si>
    <t>IT001E00322334</t>
  </si>
  <si>
    <t>Consumatore 9 - 133</t>
  </si>
  <si>
    <t>IT001E05096980</t>
  </si>
  <si>
    <t>Consumatore 9 - 404</t>
  </si>
  <si>
    <t>Cooperativa Acqua Potabile 1</t>
  </si>
  <si>
    <t>IT001E01325218</t>
  </si>
  <si>
    <t>Cooperativa Acqua Potabile 2</t>
  </si>
  <si>
    <t>IT001E01324241</t>
  </si>
  <si>
    <t>Cooperativa Edilizia Terre di Casa</t>
  </si>
  <si>
    <t>Cooperativa Sociale Big Picture</t>
  </si>
  <si>
    <t>Cooperativa Sociale Maria Cecilia</t>
  </si>
  <si>
    <t>Cooperativa Sociale Mirafiori</t>
  </si>
  <si>
    <t>IT020E00678761</t>
  </si>
  <si>
    <t>COOPERATIVA VALGRANDE - Museo Casa del Lago</t>
  </si>
  <si>
    <t>IT001E04251831</t>
  </si>
  <si>
    <t>COOPERATIVA VALGRANDE - Sede amministrativa</t>
  </si>
  <si>
    <t>IT001E00703923</t>
  </si>
  <si>
    <t>Corpo Musicale di Grugliasco</t>
  </si>
  <si>
    <t>IT001E015948167</t>
  </si>
  <si>
    <t>CO-VER POWER TECHNOLOGY</t>
  </si>
  <si>
    <t>IT001E04129260</t>
  </si>
  <si>
    <t>CRAI, Supermercato</t>
  </si>
  <si>
    <t>IT001E01919344</t>
  </si>
  <si>
    <t>CROCE ROSSA ITALIANA</t>
  </si>
  <si>
    <t>IT001E08268510</t>
  </si>
  <si>
    <t>Crumiere</t>
  </si>
  <si>
    <t>CST</t>
  </si>
  <si>
    <t>IT001E020953420</t>
  </si>
  <si>
    <t>Cucina scuola</t>
  </si>
  <si>
    <t>IT001E04622041</t>
  </si>
  <si>
    <t>Demografici (Borgaretto)</t>
  </si>
  <si>
    <t>IT001E04203920</t>
  </si>
  <si>
    <t>Demografici Piazza dalla Chiesa</t>
  </si>
  <si>
    <t>IT001E04203877</t>
  </si>
  <si>
    <t>Depuratore Acqua</t>
  </si>
  <si>
    <t>IT001E04552022</t>
  </si>
  <si>
    <t>Diga Lago Pistono</t>
  </si>
  <si>
    <t>IT001E00300534</t>
  </si>
  <si>
    <t>DIGITAL LAKE STUDIO Srl</t>
  </si>
  <si>
    <t>IT001E10163971</t>
  </si>
  <si>
    <t>Distretto s.s.</t>
  </si>
  <si>
    <t>IT001E10208632</t>
  </si>
  <si>
    <t>Distributore carburante </t>
  </si>
  <si>
    <t>IT117E00000586 </t>
  </si>
  <si>
    <t>Eco Museo</t>
  </si>
  <si>
    <t>IT001E04620431</t>
  </si>
  <si>
    <t>Ecomuseo Anfiteatro Morenico Di Ivrea</t>
  </si>
  <si>
    <t>IT001E01324895</t>
  </si>
  <si>
    <t>Ecomuseo Castagna</t>
  </si>
  <si>
    <t>IT001E01340077</t>
  </si>
  <si>
    <t>Edificio Pluriuso Piantagrant</t>
  </si>
  <si>
    <t>IT001E00801090</t>
  </si>
  <si>
    <t>Edifico Diga/Pompe Acquedotto</t>
  </si>
  <si>
    <t>IT001E02860710</t>
  </si>
  <si>
    <t>Elementare</t>
  </si>
  <si>
    <t>IT001E01336259</t>
  </si>
  <si>
    <t>Elementari</t>
  </si>
  <si>
    <t>IT001E01336862</t>
  </si>
  <si>
    <t>EMISFERA soc. coop.</t>
  </si>
  <si>
    <t>IT001E00774318</t>
  </si>
  <si>
    <t>Enoch srl</t>
  </si>
  <si>
    <t>Essiccatoio</t>
  </si>
  <si>
    <t>IT001E02234759</t>
  </si>
  <si>
    <t>ESTYL srl</t>
  </si>
  <si>
    <t>IT001E08366320</t>
  </si>
  <si>
    <t>Ex Archivio</t>
  </si>
  <si>
    <t>IT001E04524351</t>
  </si>
  <si>
    <t>Ex Asilo 1</t>
  </si>
  <si>
    <t>IT001E01332590</t>
  </si>
  <si>
    <t>Ex Asilo 2</t>
  </si>
  <si>
    <t>Ex Chiesa Santa Marta</t>
  </si>
  <si>
    <t>IT001E01300695</t>
  </si>
  <si>
    <t>Ex Manifattura Centro Fiere </t>
  </si>
  <si>
    <t>IT001E00569092 </t>
  </si>
  <si>
    <t>Ex Manifattura Cesma </t>
  </si>
  <si>
    <t>IT001E00662844 </t>
  </si>
  <si>
    <t>Ex Manifattura Collocamento </t>
  </si>
  <si>
    <t>IT001E00601336 </t>
  </si>
  <si>
    <t>Ex Manifattura Generale </t>
  </si>
  <si>
    <t>IT001E00250577 </t>
  </si>
  <si>
    <t>Ex Manifattura Sala Conferenze </t>
  </si>
  <si>
    <t>IT001E00643547 </t>
  </si>
  <si>
    <t>Ex materna Baio Dora</t>
  </si>
  <si>
    <t>IT001E01335817</t>
  </si>
  <si>
    <t>Ex Municipio</t>
  </si>
  <si>
    <t>IT001E04462583</t>
  </si>
  <si>
    <t>Ex Omni Corio</t>
  </si>
  <si>
    <t>IT001E05072130</t>
  </si>
  <si>
    <t>Ex Scout Via Faglia</t>
  </si>
  <si>
    <t>IT001E00730390</t>
  </si>
  <si>
    <t>Ex scuola elementare</t>
  </si>
  <si>
    <t>IT001E04622034</t>
  </si>
  <si>
    <t>Ex Scuola Lessolo</t>
  </si>
  <si>
    <t>IT001E04387200</t>
  </si>
  <si>
    <t>Ex scuola materna - teatro comunale </t>
  </si>
  <si>
    <t>IT117E00000517 </t>
  </si>
  <si>
    <t>Ex Scuola Quassolo</t>
  </si>
  <si>
    <t>IT001E01296149</t>
  </si>
  <si>
    <t>Ex scuole 1 Corio</t>
  </si>
  <si>
    <t>IT001E05075218</t>
  </si>
  <si>
    <t>Ex scuole 2 Corio</t>
  </si>
  <si>
    <t>IT001E05072029</t>
  </si>
  <si>
    <t>Ex scuole 3 Corio</t>
  </si>
  <si>
    <t>IT001E05072026</t>
  </si>
  <si>
    <t>F.lli Casalegno srl - 1</t>
  </si>
  <si>
    <t>IT001E00000033</t>
  </si>
  <si>
    <t>F.lli Casalegno srl - 2</t>
  </si>
  <si>
    <t>IT001E00000035</t>
  </si>
  <si>
    <t>Farmacia</t>
  </si>
  <si>
    <t>IT001E02599198</t>
  </si>
  <si>
    <t>Farmacia della Madonnina snc</t>
  </si>
  <si>
    <t>IT001E02657932</t>
  </si>
  <si>
    <t>FARMACIA S. BARBARA</t>
  </si>
  <si>
    <t>IT001E072474414</t>
  </si>
  <si>
    <t>FATTORIA DEL TOCE</t>
  </si>
  <si>
    <t>IT001E08277541</t>
  </si>
  <si>
    <t>FEDERALBERGHI</t>
  </si>
  <si>
    <t>IT001E00701446</t>
  </si>
  <si>
    <t>Filo d'Erba</t>
  </si>
  <si>
    <t>IT001E01916841</t>
  </si>
  <si>
    <t>Fioresteria Villa Claretta</t>
  </si>
  <si>
    <t>IT001E03386233</t>
  </si>
  <si>
    <t>Fondazione Comunità di Mirafiori Onlus</t>
  </si>
  <si>
    <t>IT020E00678762</t>
  </si>
  <si>
    <t>Fontana Della Piazza</t>
  </si>
  <si>
    <t>IT001E01296118</t>
  </si>
  <si>
    <t>Fornace Laterizi Carena srl</t>
  </si>
  <si>
    <t>Frantoio</t>
  </si>
  <si>
    <t>IT001E02132900</t>
  </si>
  <si>
    <t>Gli Amici di Matteo</t>
  </si>
  <si>
    <t>Gran Basun</t>
  </si>
  <si>
    <t>IT001E01333083</t>
  </si>
  <si>
    <t>I Tesori Della Terra (Consumatore)</t>
  </si>
  <si>
    <t>Il Sogno verticale - associazione</t>
  </si>
  <si>
    <t>IT001E02539323</t>
  </si>
  <si>
    <t>Illuminazione 1 Frassinetto </t>
  </si>
  <si>
    <t>IT001E00363434 </t>
  </si>
  <si>
    <t>Illuminazione 1 Ronco Canavese </t>
  </si>
  <si>
    <t>IT117E00000570 </t>
  </si>
  <si>
    <t>Illuminazione 2 Frassinetto </t>
  </si>
  <si>
    <t>IT001E03949648 </t>
  </si>
  <si>
    <t>Illuminazione 27</t>
  </si>
  <si>
    <t>IT001E01546172</t>
  </si>
  <si>
    <t>Illuminazione 28</t>
  </si>
  <si>
    <t>IT001E01640295</t>
  </si>
  <si>
    <t>Illuminazione 29</t>
  </si>
  <si>
    <t>IT001E01554105</t>
  </si>
  <si>
    <t>Illuminazione 3 Frassinetto </t>
  </si>
  <si>
    <t>IT001E02891348 </t>
  </si>
  <si>
    <t>Illuminazione 30</t>
  </si>
  <si>
    <t>IT001E00763623</t>
  </si>
  <si>
    <t>Illuminazione Cuorgnè 1 </t>
  </si>
  <si>
    <t>IT001E00821836 </t>
  </si>
  <si>
    <t>Illuminazione Cuorgnè 10 </t>
  </si>
  <si>
    <t>IT001E02053653 </t>
  </si>
  <si>
    <t>Illuminazione Cuorgnè 11 </t>
  </si>
  <si>
    <t>IT001E02120658 </t>
  </si>
  <si>
    <t>Illuminazione Cuorgnè 12 </t>
  </si>
  <si>
    <t>IT001E02136116 </t>
  </si>
  <si>
    <t>Illuminazione Cuorgnè 13 </t>
  </si>
  <si>
    <t>IT001E02251959 </t>
  </si>
  <si>
    <t>Illuminazione Cuorgnè 14 </t>
  </si>
  <si>
    <t>IT001E02479732 </t>
  </si>
  <si>
    <t>Illuminazione Cuorgnè 15 </t>
  </si>
  <si>
    <t>IT001E02479733 </t>
  </si>
  <si>
    <t>Illuminazione Cuorgnè 16 </t>
  </si>
  <si>
    <t>IT001E02479734 </t>
  </si>
  <si>
    <t>Illuminazione Cuorgnè 17 </t>
  </si>
  <si>
    <t>IT001E02479735 </t>
  </si>
  <si>
    <t>Illuminazione Cuorgnè 18 </t>
  </si>
  <si>
    <t>IT001E02518407 </t>
  </si>
  <si>
    <t>Illuminazione Cuorgnè 19 </t>
  </si>
  <si>
    <t>IT001E02540861 </t>
  </si>
  <si>
    <t>Illuminazione Cuorgnè 2 </t>
  </si>
  <si>
    <t>IT001E01254368 </t>
  </si>
  <si>
    <t>Illuminazione Cuorgnè 20 </t>
  </si>
  <si>
    <t>IT001E02568412 </t>
  </si>
  <si>
    <t>Illuminazione Cuorgnè 21 </t>
  </si>
  <si>
    <t>IT001E02605850 </t>
  </si>
  <si>
    <t>Illuminazione Cuorgnè 22 </t>
  </si>
  <si>
    <t>IT001E02616630 </t>
  </si>
  <si>
    <t>Illuminazione Cuorgnè 23 </t>
  </si>
  <si>
    <t>IT001E02894926 </t>
  </si>
  <si>
    <t>Illuminazione Cuorgnè 24 </t>
  </si>
  <si>
    <t>IT001E03397934 </t>
  </si>
  <si>
    <t>Illuminazione Cuorgnè 25 </t>
  </si>
  <si>
    <t>IT001E03937738 </t>
  </si>
  <si>
    <t>Illuminazione Cuorgnè 26 </t>
  </si>
  <si>
    <t>IT001E03979041 </t>
  </si>
  <si>
    <t>Illuminazione Cuorgnè 27 </t>
  </si>
  <si>
    <t>IT001E03982226 </t>
  </si>
  <si>
    <t>Illuminazione Cuorgnè 28 </t>
  </si>
  <si>
    <t>IT001E03984348 </t>
  </si>
  <si>
    <t>Illuminazione Cuorgnè 29 </t>
  </si>
  <si>
    <t>IT001E04524559 </t>
  </si>
  <si>
    <t>Illuminazione Cuorgnè 3 </t>
  </si>
  <si>
    <t>IT001E01254375 </t>
  </si>
  <si>
    <t>Illuminazione Cuorgnè 30 </t>
  </si>
  <si>
    <t>IT001E04524560 </t>
  </si>
  <si>
    <t>Illuminazione Cuorgnè 31 </t>
  </si>
  <si>
    <t>IT001E04524561 </t>
  </si>
  <si>
    <t>Illuminazione Cuorgnè 32 </t>
  </si>
  <si>
    <t>IT001E04524562 </t>
  </si>
  <si>
    <t>Illuminazione Cuorgnè 33 </t>
  </si>
  <si>
    <t>IT001E04524563 </t>
  </si>
  <si>
    <t>Illuminazione Cuorgnè 34 </t>
  </si>
  <si>
    <t>IT001E04524564 </t>
  </si>
  <si>
    <t>Illuminazione Cuorgnè 35 </t>
  </si>
  <si>
    <t>IT001E04524566 </t>
  </si>
  <si>
    <t>Illuminazione Cuorgnè 36 </t>
  </si>
  <si>
    <t>IT001E04524567 </t>
  </si>
  <si>
    <t>Illuminazione Cuorgnè 37 </t>
  </si>
  <si>
    <t>IT001E04524568 </t>
  </si>
  <si>
    <t>Illuminazione Cuorgnè 38 </t>
  </si>
  <si>
    <t>IT001E04524569 </t>
  </si>
  <si>
    <t>Illuminazione Cuorgnè 39 </t>
  </si>
  <si>
    <t>IT001E04524571 </t>
  </si>
  <si>
    <t>Illuminazione Cuorgnè 4 </t>
  </si>
  <si>
    <t>IT001E01260623 </t>
  </si>
  <si>
    <t>Illuminazione Cuorgnè 40 </t>
  </si>
  <si>
    <t>IT001E04524572 </t>
  </si>
  <si>
    <t>Illuminazione Cuorgnè 41 </t>
  </si>
  <si>
    <t>IT001E04524574 </t>
  </si>
  <si>
    <t>Illuminazione Cuorgnè 42 </t>
  </si>
  <si>
    <t>IT001E04524575 </t>
  </si>
  <si>
    <t>Illuminazione Cuorgnè 43 </t>
  </si>
  <si>
    <t>IT001E04524576 </t>
  </si>
  <si>
    <t>Illuminazione Cuorgnè 44 </t>
  </si>
  <si>
    <t>IT001E04524577 </t>
  </si>
  <si>
    <t>Illuminazione Cuorgnè 45 </t>
  </si>
  <si>
    <t>IT001E04524579 </t>
  </si>
  <si>
    <t>Illuminazione Cuorgnè 46 </t>
  </si>
  <si>
    <t>IT001E04524580 </t>
  </si>
  <si>
    <t>Illuminazione Cuorgnè 47 </t>
  </si>
  <si>
    <t>IT001E04524582 </t>
  </si>
  <si>
    <t>Illuminazione Cuorgnè 48 </t>
  </si>
  <si>
    <t>IT001E04524583 </t>
  </si>
  <si>
    <t>Illuminazione Cuorgnè 49 </t>
  </si>
  <si>
    <t>IT001E04524584 </t>
  </si>
  <si>
    <t>Illuminazione Cuorgnè 5 </t>
  </si>
  <si>
    <t>IT001E01266520 </t>
  </si>
  <si>
    <t>Illuminazione Cuorgnè 50 </t>
  </si>
  <si>
    <t>IT001E04524586 </t>
  </si>
  <si>
    <t>Illuminazione Cuorgnè 51 </t>
  </si>
  <si>
    <t>IT001E04524587 </t>
  </si>
  <si>
    <t>Illuminazione Cuorgnè 52 </t>
  </si>
  <si>
    <t>IT001E04524588 </t>
  </si>
  <si>
    <t>Illuminazione Cuorgnè 53 </t>
  </si>
  <si>
    <t>IT001E04524589 </t>
  </si>
  <si>
    <t>Illuminazione Cuorgnè 54 </t>
  </si>
  <si>
    <t>IT001E04524590 </t>
  </si>
  <si>
    <t>Illuminazione Cuorgnè 55 </t>
  </si>
  <si>
    <t>IT001E04524591 </t>
  </si>
  <si>
    <t>Illuminazione Cuorgnè 56 </t>
  </si>
  <si>
    <t>IT001E04524592 </t>
  </si>
  <si>
    <t>Illuminazione Cuorgnè 57 </t>
  </si>
  <si>
    <t>IT001E04524593 </t>
  </si>
  <si>
    <t>Illuminazione Cuorgnè 58 </t>
  </si>
  <si>
    <t>IT001E04524594 </t>
  </si>
  <si>
    <t>Illuminazione Cuorgnè 59 </t>
  </si>
  <si>
    <t>IT001E04540080 </t>
  </si>
  <si>
    <t>Illuminazione Cuorgnè 6 </t>
  </si>
  <si>
    <t>IT001E01280713 </t>
  </si>
  <si>
    <t>Illuminazione Cuorgnè 60 </t>
  </si>
  <si>
    <t>IT001E04555975 </t>
  </si>
  <si>
    <t>Illuminazione Cuorgnè 61 </t>
  </si>
  <si>
    <t>IT001E04555976 </t>
  </si>
  <si>
    <t>Illuminazione Cuorgnè 62 </t>
  </si>
  <si>
    <t>IT001E10810197 </t>
  </si>
  <si>
    <t>Illuminazione Cuorgnè 63 </t>
  </si>
  <si>
    <t>IT001E024524578 </t>
  </si>
  <si>
    <t>Illuminazione Cuorgnè 7 </t>
  </si>
  <si>
    <t>IT001E01289191 </t>
  </si>
  <si>
    <t>Illuminazione Cuorgnè 8 </t>
  </si>
  <si>
    <t>IT001E02035867 </t>
  </si>
  <si>
    <t>Illuminazione Cuorgnè 9 </t>
  </si>
  <si>
    <t>IT001E02052145 </t>
  </si>
  <si>
    <t>Illuminazione Pubblica 1</t>
  </si>
  <si>
    <t>IT001E01265833</t>
  </si>
  <si>
    <t>Illuminazione Pubblica 2</t>
  </si>
  <si>
    <t>IT001E03950066</t>
  </si>
  <si>
    <t>Illuminazione Pubblica 3</t>
  </si>
  <si>
    <t>Illuminazione Pubblica 4</t>
  </si>
  <si>
    <t>IT001E02447488</t>
  </si>
  <si>
    <t>Illuminazione Pubblica 5</t>
  </si>
  <si>
    <t>IT001E02409935</t>
  </si>
  <si>
    <t>Illuminazione Pubblica 6</t>
  </si>
  <si>
    <t>IT001E02417300</t>
  </si>
  <si>
    <t>IMMOBILIARE NATURA sas</t>
  </si>
  <si>
    <t>IT001E02868816</t>
  </si>
  <si>
    <t>Impianti Sportivi 1</t>
  </si>
  <si>
    <t>IT001E04552025</t>
  </si>
  <si>
    <t>Impianti Sportivi 2</t>
  </si>
  <si>
    <t>IT001E04552024</t>
  </si>
  <si>
    <t>Impianti Sportivi 3</t>
  </si>
  <si>
    <t>IT001E04552026</t>
  </si>
  <si>
    <t>Impianti sportivi </t>
  </si>
  <si>
    <t>IT117E00000601 </t>
  </si>
  <si>
    <t>Impianto semaforico 1</t>
  </si>
  <si>
    <t>Impianto semaforico</t>
  </si>
  <si>
    <t>IT001E05096645</t>
  </si>
  <si>
    <t>Impianto semaforico 2</t>
  </si>
  <si>
    <t>IT001E05075451</t>
  </si>
  <si>
    <t>Impianto semaforico 3</t>
  </si>
  <si>
    <t>IT001E05072025</t>
  </si>
  <si>
    <t>Impianto semaforico 4</t>
  </si>
  <si>
    <t>IT001E05073242</t>
  </si>
  <si>
    <t>Impianto sportivo “Sport Village”</t>
  </si>
  <si>
    <t>IT001E04478998</t>
  </si>
  <si>
    <t>Impianto sportivo Palacollegno</t>
  </si>
  <si>
    <t>IT001E04100234</t>
  </si>
  <si>
    <t>Impianto sportivo Viarigi 1</t>
  </si>
  <si>
    <t>IT001E04624346</t>
  </si>
  <si>
    <t>Impianto sportivo Viarigi 2</t>
  </si>
  <si>
    <t>IT001E04624334</t>
  </si>
  <si>
    <t>Imprese consumo 10000 kW (18 POD)</t>
  </si>
  <si>
    <t>Imprese consumo 20000 kW (16 POD)</t>
  </si>
  <si>
    <t>Imprese consumo 5000 kW (8 POD)</t>
  </si>
  <si>
    <t>Imprese consumo 50000 kW (8 POD)</t>
  </si>
  <si>
    <t>IN MENSA Srl</t>
  </si>
  <si>
    <t>IT001E04178380</t>
  </si>
  <si>
    <t>Incubatore palazzina</t>
  </si>
  <si>
    <t>IT001E04203901</t>
  </si>
  <si>
    <t>Infanzia Gobetti - Nido Don Minzoni</t>
  </si>
  <si>
    <t>IT001E01639735</t>
  </si>
  <si>
    <t>Informagiovani Gattinara</t>
  </si>
  <si>
    <t>IT001E085790340</t>
  </si>
  <si>
    <t>Ingria 1 </t>
  </si>
  <si>
    <t>IT001E02210866 </t>
  </si>
  <si>
    <t>Ingria 2 </t>
  </si>
  <si>
    <t>IT001E02451546 </t>
  </si>
  <si>
    <t>Ingria 3 </t>
  </si>
  <si>
    <t>IT001E02642375 </t>
  </si>
  <si>
    <t>IP Torre delle Castelle</t>
  </si>
  <si>
    <t>IT001E085833944</t>
  </si>
  <si>
    <t>Istituto scolastico - aula multimediale</t>
  </si>
  <si>
    <t>IT001E04622051</t>
  </si>
  <si>
    <t>La Cubanita dance</t>
  </si>
  <si>
    <t>IT001E02594448</t>
  </si>
  <si>
    <t>La Dispensa</t>
  </si>
  <si>
    <t>IT001E07247826</t>
  </si>
  <si>
    <t>La Rotonda</t>
  </si>
  <si>
    <t>IT001E01324843</t>
  </si>
  <si>
    <t>Laboratorio di Viale Risorgimento 14/A - Mensa</t>
  </si>
  <si>
    <t>IT001E00506092</t>
  </si>
  <si>
    <t>Laboratorio di Viale Risorgimento 14/B - Sala polivalente</t>
  </si>
  <si>
    <t>IT001E00506091</t>
  </si>
  <si>
    <t>Laboratorio di Viale Risorgimento 14/C - Accoglienza</t>
  </si>
  <si>
    <t>IT001E00506090</t>
  </si>
  <si>
    <t>Laboratorio di Viale Risorgimento 14/D - Open Space</t>
  </si>
  <si>
    <t>IT001E00506089</t>
  </si>
  <si>
    <t>Latteria</t>
  </si>
  <si>
    <t>MACADO - utente1</t>
  </si>
  <si>
    <t>MACADO - utente10</t>
  </si>
  <si>
    <t>MACADO - utente11</t>
  </si>
  <si>
    <t>MACADO - utente12</t>
  </si>
  <si>
    <t>MACADO - utente13</t>
  </si>
  <si>
    <t>MACADO - utente14</t>
  </si>
  <si>
    <t>MACADO - utente15</t>
  </si>
  <si>
    <t>MACADO - utente16</t>
  </si>
  <si>
    <t>MACADO - utente17</t>
  </si>
  <si>
    <t>MACADO - utente18</t>
  </si>
  <si>
    <t>MACADO - utente2</t>
  </si>
  <si>
    <t>MACADO - utente3</t>
  </si>
  <si>
    <t>MACADO - utente4</t>
  </si>
  <si>
    <t>MACADO - utente5</t>
  </si>
  <si>
    <t>MACADO - utente6</t>
  </si>
  <si>
    <t>MACADO - utente7</t>
  </si>
  <si>
    <t>MACADO - utente8</t>
  </si>
  <si>
    <t>MACADO - utente9</t>
  </si>
  <si>
    <t>Magazzini Comunali 1</t>
  </si>
  <si>
    <t>IT001E004199669</t>
  </si>
  <si>
    <t>Magazzini Comunali 2</t>
  </si>
  <si>
    <t>IT001E085788680</t>
  </si>
  <si>
    <t>Magazzino</t>
  </si>
  <si>
    <t>IT001E01336460</t>
  </si>
  <si>
    <t>Magazzino comunale</t>
  </si>
  <si>
    <t>IT001E04622046</t>
  </si>
  <si>
    <t>Magazzino comunale Ronco Canavese </t>
  </si>
  <si>
    <t>IT117E00000595 </t>
  </si>
  <si>
    <t>Magazzino Corio</t>
  </si>
  <si>
    <t>IT001E01529193</t>
  </si>
  <si>
    <t>MARIA IMMACOLATA SOC. COOP.</t>
  </si>
  <si>
    <t>IT001E08378884</t>
  </si>
  <si>
    <t>Materna Baio Dora</t>
  </si>
  <si>
    <t>IT001E01335997</t>
  </si>
  <si>
    <t>Materna Boccaccio 1</t>
  </si>
  <si>
    <t>IT001E04908392</t>
  </si>
  <si>
    <t>Materna Boccaccio 2</t>
  </si>
  <si>
    <t>IT001E02864431</t>
  </si>
  <si>
    <t>Materna Gioncaretto</t>
  </si>
  <si>
    <t>IT001E01337586</t>
  </si>
  <si>
    <t>Materna San Germano</t>
  </si>
  <si>
    <t>IT001E01336890</t>
  </si>
  <si>
    <t>Membro CER 1</t>
  </si>
  <si>
    <t>Strada Castello di Mirafiori 22 - 10138</t>
  </si>
  <si>
    <t>Membro CER 10</t>
  </si>
  <si>
    <t>Strada Castello di Mirafiori 22 - 10147</t>
  </si>
  <si>
    <t>Membro CER 2</t>
  </si>
  <si>
    <t>Strada Castello di Mirafiori 22 - 10139</t>
  </si>
  <si>
    <t>Membro CER 3</t>
  </si>
  <si>
    <t>Strada Castello di Mirafiori 22 - 10140</t>
  </si>
  <si>
    <t>Membro CER 4</t>
  </si>
  <si>
    <t>Strada Castello di Mirafiori 22 - 10141</t>
  </si>
  <si>
    <t>Membro CER 5</t>
  </si>
  <si>
    <t>Strada Castello di Mirafiori 22 - 10142</t>
  </si>
  <si>
    <t>Membro CER 7</t>
  </si>
  <si>
    <t>Strada Castello di Mirafiori 22 - 10144</t>
  </si>
  <si>
    <t>Membro CER 8</t>
  </si>
  <si>
    <t>Strada Castello di Mirafiori 22 - 10145</t>
  </si>
  <si>
    <t>Membro CER 9</t>
  </si>
  <si>
    <t>Strada Castello di Mirafiori 22 - 10146</t>
  </si>
  <si>
    <t>Mercato</t>
  </si>
  <si>
    <t>IT001E04387194</t>
  </si>
  <si>
    <t>Mercato Bruino</t>
  </si>
  <si>
    <t>IT001E10140767</t>
  </si>
  <si>
    <t>Membro CER 6</t>
  </si>
  <si>
    <t>Strada Castello di Mirafiori 22 - 10143</t>
  </si>
  <si>
    <t>Mercato San Quirico</t>
  </si>
  <si>
    <t>IT001E01905525</t>
  </si>
  <si>
    <t>Micronido</t>
  </si>
  <si>
    <t>IT001E01438616</t>
  </si>
  <si>
    <t>MINISTERO GIUSTIZIA - scuola polizia penitenziaria</t>
  </si>
  <si>
    <t>IT001E00214112</t>
  </si>
  <si>
    <t>Municipio</t>
  </si>
  <si>
    <t>Municipio Balangero</t>
  </si>
  <si>
    <t>IT001E05075471</t>
  </si>
  <si>
    <t>Municipio Bruino</t>
  </si>
  <si>
    <t>IT001E01439610</t>
  </si>
  <si>
    <t>Municipio Consumatore</t>
  </si>
  <si>
    <t>IT001E04620433</t>
  </si>
  <si>
    <t>Municipio di Villar Pellice (TO)</t>
  </si>
  <si>
    <t>Municipio Lessolo</t>
  </si>
  <si>
    <t>IT001E04387195; IT001E04387196</t>
  </si>
  <si>
    <t>Municipio Pinerolo</t>
  </si>
  <si>
    <t>IT001E00732670</t>
  </si>
  <si>
    <t>Municipio Quincinetto</t>
  </si>
  <si>
    <t>IT001E01295809</t>
  </si>
  <si>
    <t>Municipio Sambuco</t>
  </si>
  <si>
    <t>IT001E03434059</t>
  </si>
  <si>
    <t>Municipio Settimo Vittone</t>
  </si>
  <si>
    <t>IT001E02221290</t>
  </si>
  <si>
    <t>Museo 1</t>
  </si>
  <si>
    <t>IT001E04524349</t>
  </si>
  <si>
    <t>Museo 2</t>
  </si>
  <si>
    <t>IT001E04524350</t>
  </si>
  <si>
    <t>Museo Del Fabbro</t>
  </si>
  <si>
    <t>IT001E01324879</t>
  </si>
  <si>
    <t>MUSEO DEL PAESAGGIO - Casa Ceretti</t>
  </si>
  <si>
    <t>IT001E08373049</t>
  </si>
  <si>
    <t>MUSEO DEL PAESAGGIO - Palazzo Viani</t>
  </si>
  <si>
    <t>IT001E08378758</t>
  </si>
  <si>
    <t>MUSEO DEL PAESAGGIO _ Palazzo Viani</t>
  </si>
  <si>
    <t>IT001E00783022</t>
  </si>
  <si>
    <t>n.d. Li.Fe. Rinnovabile 1</t>
  </si>
  <si>
    <t>n.d. Li.Fe. Rinnovabile 2</t>
  </si>
  <si>
    <t>n.d. Li.Fe. Rinnovabile 3</t>
  </si>
  <si>
    <t>n.d. Li.Fe. Rinnovabile 4</t>
  </si>
  <si>
    <t>Negozio - La Frangalla</t>
  </si>
  <si>
    <t>Nome utente n.d. (Viarigi Rinnovabile)</t>
  </si>
  <si>
    <t>IT001E04624337</t>
  </si>
  <si>
    <t>Oasi Laura Vicuna</t>
  </si>
  <si>
    <t>Off. Meccanica TAU srl</t>
  </si>
  <si>
    <t>IT001E04117765</t>
  </si>
  <si>
    <t>Orologio pubblico - campanile </t>
  </si>
  <si>
    <t>IT001E03964288 </t>
  </si>
  <si>
    <t>Orti Generali (Consumatore)</t>
  </si>
  <si>
    <t>IT020E00224358</t>
  </si>
  <si>
    <t>P.A. VillarPellice, Rorà, Bobbio Pellice 1</t>
  </si>
  <si>
    <t>P.A. VillarPellice, Rorà, Bobbio Pellice 2</t>
  </si>
  <si>
    <t>P.A. VillarPellice, Rorà, Bobbio Pellice 4</t>
  </si>
  <si>
    <t>P.M.P. Auto Service</t>
  </si>
  <si>
    <t>IT001E04117092</t>
  </si>
  <si>
    <t>PalaPossis</t>
  </si>
  <si>
    <t>IT001E04622049</t>
  </si>
  <si>
    <t>Palazzetto Multiuso</t>
  </si>
  <si>
    <t>IT001E02249838</t>
  </si>
  <si>
    <t>Palazzo Comunale</t>
  </si>
  <si>
    <t>IT001E04622031</t>
  </si>
  <si>
    <t>Palazzo Comunale - Biblioteca</t>
  </si>
  <si>
    <t>IT001E04203863</t>
  </si>
  <si>
    <t>Palazzo Comunale (SERT-VALDOCCO)</t>
  </si>
  <si>
    <t>IT001E04203854</t>
  </si>
  <si>
    <t>Palazzo Comunale 1</t>
  </si>
  <si>
    <t>IT001E04203875</t>
  </si>
  <si>
    <t>Palazzo Comunale 2</t>
  </si>
  <si>
    <t>IT001E04203928</t>
  </si>
  <si>
    <t>Palazzo Comunale Chiaverano</t>
  </si>
  <si>
    <t>IT001E01325177</t>
  </si>
  <si>
    <t>Palazzo Comunale Cuorgnè </t>
  </si>
  <si>
    <t>IT001E03983174 </t>
  </si>
  <si>
    <t>Palazzo Comunale Montalto Dora</t>
  </si>
  <si>
    <t>IT001E03939464</t>
  </si>
  <si>
    <t>Palazzo comunale Via Roma (Consumatore)</t>
  </si>
  <si>
    <t>IT001E04397617</t>
  </si>
  <si>
    <t>Palazzo M.le </t>
  </si>
  <si>
    <t>IT001E03948958 </t>
  </si>
  <si>
    <t>Palazzo Municipale Ronco Canavese </t>
  </si>
  <si>
    <t>IT117E00000441 </t>
  </si>
  <si>
    <t>Palestra campo sportivo</t>
  </si>
  <si>
    <t>IT001E08602188</t>
  </si>
  <si>
    <t>Palestra comunale Bruino - Palainsieme (Consumatore)</t>
  </si>
  <si>
    <t>IT001E00659263</t>
  </si>
  <si>
    <t>Palestra Kumiai</t>
  </si>
  <si>
    <t>IT001E00701943</t>
  </si>
  <si>
    <t>Palestra scuola media 1</t>
  </si>
  <si>
    <t>IT001E04908449</t>
  </si>
  <si>
    <t>Palestra scuola media Gattinara</t>
  </si>
  <si>
    <t>IT001E003753620</t>
  </si>
  <si>
    <t>Palestra scuola media </t>
  </si>
  <si>
    <t>IT001E03964887 </t>
  </si>
  <si>
    <t>Palestra Serao</t>
  </si>
  <si>
    <t>IT001E04203855</t>
  </si>
  <si>
    <t>Palestra, Lessolo</t>
  </si>
  <si>
    <t>IT001E01304819</t>
  </si>
  <si>
    <t>Palestra, Quincinetto</t>
  </si>
  <si>
    <t>IT001E01295808</t>
  </si>
  <si>
    <t>Pali Su Via 1</t>
  </si>
  <si>
    <t>IT001E02263379</t>
  </si>
  <si>
    <t>Pali Su Via 2</t>
  </si>
  <si>
    <t>IT001E02272009</t>
  </si>
  <si>
    <t>Pali Su Via 3</t>
  </si>
  <si>
    <t>IT001E02462833</t>
  </si>
  <si>
    <t>Pali Su Via 4</t>
  </si>
  <si>
    <t>IT001E04552010</t>
  </si>
  <si>
    <t>Pali Su Via 5</t>
  </si>
  <si>
    <t>IT001E04552011</t>
  </si>
  <si>
    <t>Pali Su Via 6</t>
  </si>
  <si>
    <t>IT001E04555958</t>
  </si>
  <si>
    <t>Pali Su Via 7</t>
  </si>
  <si>
    <t>IT001E10816341</t>
  </si>
  <si>
    <t>Pali Su Via 8</t>
  </si>
  <si>
    <t>IT001E10815862</t>
  </si>
  <si>
    <t>Parcheggio Turna</t>
  </si>
  <si>
    <t>IT001E02472103</t>
  </si>
  <si>
    <t>Parco Paradiso</t>
  </si>
  <si>
    <t>IT001E00517886</t>
  </si>
  <si>
    <t>Parrocchia Maria Vergine Assunta, Cuneo</t>
  </si>
  <si>
    <t>IT001E02345078</t>
  </si>
  <si>
    <t>Parrocchia Maria Vergine Assunta, Serravalle Langhe</t>
  </si>
  <si>
    <t>IT001E02328578</t>
  </si>
  <si>
    <t>Parrocchia S. Apostoli 1</t>
  </si>
  <si>
    <t>IT020E00083951</t>
  </si>
  <si>
    <t>Parrocchia S. Apostoli 2</t>
  </si>
  <si>
    <t>IT020E00083950</t>
  </si>
  <si>
    <t>Parrocchia S. Donato</t>
  </si>
  <si>
    <t>IT001E02328027</t>
  </si>
  <si>
    <t>Parrocchia S. Lucia</t>
  </si>
  <si>
    <t>IT001E02369165</t>
  </si>
  <si>
    <t>Parrocchia S. Sebastiano</t>
  </si>
  <si>
    <t>IT001E02382133</t>
  </si>
  <si>
    <t>Parrocchia San Barnaba 1</t>
  </si>
  <si>
    <t>IT020E00080130</t>
  </si>
  <si>
    <t>Parrocchia San Barnaba 2</t>
  </si>
  <si>
    <t>IT020E00080132</t>
  </si>
  <si>
    <t>Persona Fisica 14</t>
  </si>
  <si>
    <t>Persona Fisica 6</t>
  </si>
  <si>
    <t>Persona Fisica 7</t>
  </si>
  <si>
    <t>Persona Fisica 9</t>
  </si>
  <si>
    <t>Peso pubblico - Ufficio turistico </t>
  </si>
  <si>
    <t>IT001E03966717 </t>
  </si>
  <si>
    <t>Peso pubblico (casetta acqua)</t>
  </si>
  <si>
    <t>IT001E04624336</t>
  </si>
  <si>
    <t>Peso pubblico Gattinara</t>
  </si>
  <si>
    <t>IT001E007478844</t>
  </si>
  <si>
    <t>Peso pubblico Livorno Ferraris</t>
  </si>
  <si>
    <t>IT001E04622039</t>
  </si>
  <si>
    <t>Piazza Craveri </t>
  </si>
  <si>
    <t>IT001E03946558 </t>
  </si>
  <si>
    <t>Piazzale Santa Maria </t>
  </si>
  <si>
    <t>IT001E03967559 </t>
  </si>
  <si>
    <t>Poliambulatorio - AEG </t>
  </si>
  <si>
    <t>IT001E03966096 </t>
  </si>
  <si>
    <t>Pompe Antincendio</t>
  </si>
  <si>
    <t>IT001E01870069</t>
  </si>
  <si>
    <t>Pro - Collegno</t>
  </si>
  <si>
    <t>IT001E04386830</t>
  </si>
  <si>
    <t>Protezione Civile</t>
  </si>
  <si>
    <t>IT001E04620338</t>
  </si>
  <si>
    <t>Protezione Civile Bruino</t>
  </si>
  <si>
    <t>IT001E02173659</t>
  </si>
  <si>
    <t>Pubblica illuminazione 1</t>
  </si>
  <si>
    <t>IT001E01536837</t>
  </si>
  <si>
    <t>Pubblica illuminazione 2</t>
  </si>
  <si>
    <t>IT001E01536836</t>
  </si>
  <si>
    <t>Pubblica illuminazione 3</t>
  </si>
  <si>
    <t>IT001E01525356</t>
  </si>
  <si>
    <t>Pubblica illuminazione 4</t>
  </si>
  <si>
    <t>IT001E01525355</t>
  </si>
  <si>
    <t>Pubblica illuminazione 5</t>
  </si>
  <si>
    <t>IT001E05011815</t>
  </si>
  <si>
    <t>Punto Acqua</t>
  </si>
  <si>
    <t>IT001E02113867</t>
  </si>
  <si>
    <t>IT001E02983612</t>
  </si>
  <si>
    <t>Punto informazione turistica</t>
  </si>
  <si>
    <t>IT001E01295549</t>
  </si>
  <si>
    <t>PUNTOLINEA snc</t>
  </si>
  <si>
    <t>IT001E083810785</t>
  </si>
  <si>
    <t>R.S.A. ex Infermeria Capirone</t>
  </si>
  <si>
    <t>IT001E04618894</t>
  </si>
  <si>
    <t>Raperonzolo</t>
  </si>
  <si>
    <t>IT001E04448475</t>
  </si>
  <si>
    <t>Refettorio via Cordero</t>
  </si>
  <si>
    <t>IT001E01250560</t>
  </si>
  <si>
    <t>S.O.M.S.</t>
  </si>
  <si>
    <t>IT001E08610438</t>
  </si>
  <si>
    <t>Sala</t>
  </si>
  <si>
    <t>IT001E04524477</t>
  </si>
  <si>
    <t>Sala Consiglio</t>
  </si>
  <si>
    <t>IT001E03939647</t>
  </si>
  <si>
    <t>Sala Musica</t>
  </si>
  <si>
    <t>IT001E01295971</t>
  </si>
  <si>
    <t>Saletta Riunioni</t>
  </si>
  <si>
    <t>IT001E04552027</t>
  </si>
  <si>
    <t>Salette Piantagrant</t>
  </si>
  <si>
    <t>IT001E04462582</t>
  </si>
  <si>
    <t>Salone choc</t>
  </si>
  <si>
    <t>IT001E01337161</t>
  </si>
  <si>
    <t>Salone da ballo</t>
  </si>
  <si>
    <t>IT001E03961064</t>
  </si>
  <si>
    <t>Salone Deposito Cucina</t>
  </si>
  <si>
    <t>IT001E01295972</t>
  </si>
  <si>
    <t>Salone Pluriuso</t>
  </si>
  <si>
    <t>IT001E04479151</t>
  </si>
  <si>
    <t>Salone Pluriuso Montestrutto</t>
  </si>
  <si>
    <t>Salone polifunzionale </t>
  </si>
  <si>
    <t>IT001E01873882 </t>
  </si>
  <si>
    <t>Santuario della Madonna delle Grazie</t>
  </si>
  <si>
    <t>Scuola "Puccini"</t>
  </si>
  <si>
    <t>IT001E01471841</t>
  </si>
  <si>
    <t>Scuola dell'infanzia Boccaccio (Consumatore)</t>
  </si>
  <si>
    <t>IT001E04908388</t>
  </si>
  <si>
    <t>Scuola Dell'infanzia Chiaverano 1</t>
  </si>
  <si>
    <t>IT001E02249839</t>
  </si>
  <si>
    <t>Scuola Dell'infanzia Chiaverano 2</t>
  </si>
  <si>
    <t>IT001E10194135</t>
  </si>
  <si>
    <t>Scuola elementare 1</t>
  </si>
  <si>
    <t>IT001E01988742</t>
  </si>
  <si>
    <t>Scuola Elementare A. Mei</t>
  </si>
  <si>
    <t>IT001E04203895</t>
  </si>
  <si>
    <t>Scuola Elementare A. Peno Cuorgnè </t>
  </si>
  <si>
    <t>IT001E03983952 </t>
  </si>
  <si>
    <t>Scuola Elementare Andrate</t>
  </si>
  <si>
    <t>IT001E04524348</t>
  </si>
  <si>
    <t>Scuola Elementare Calvino</t>
  </si>
  <si>
    <t>IT001E04203930</t>
  </si>
  <si>
    <t>Scuola elementare Capolingi </t>
  </si>
  <si>
    <t>IT001E03965860 </t>
  </si>
  <si>
    <t>Scuola Elementare Carema</t>
  </si>
  <si>
    <t>IT001E04479172</t>
  </si>
  <si>
    <t>Scuola elementare Corio</t>
  </si>
  <si>
    <t>IT001E04894585</t>
  </si>
  <si>
    <t>Scuola Elementare De Amicis</t>
  </si>
  <si>
    <t>IT001E04203902</t>
  </si>
  <si>
    <t>Scuola Elementare Di Nanni</t>
  </si>
  <si>
    <t>IT001E04203924</t>
  </si>
  <si>
    <t>Scuola elementare Gattinara</t>
  </si>
  <si>
    <t>IT001E085964364</t>
  </si>
  <si>
    <t>Scuola Elementare Gramsci</t>
  </si>
  <si>
    <t>IT001E04203844</t>
  </si>
  <si>
    <t>Scuola Elementare Montalto Dora</t>
  </si>
  <si>
    <t>IT001E04552040</t>
  </si>
  <si>
    <t>Scuola Elementare Pertini</t>
  </si>
  <si>
    <t>IT001E01324468</t>
  </si>
  <si>
    <t>Scuola G.Praile (Consumatore)</t>
  </si>
  <si>
    <t>IT001E02179318</t>
  </si>
  <si>
    <t>Scuola infanzia "Andersen"</t>
  </si>
  <si>
    <t>IT001E01486389</t>
  </si>
  <si>
    <t>Scuola Marinella</t>
  </si>
  <si>
    <t>IT001E01436846</t>
  </si>
  <si>
    <t>Scuola materna</t>
  </si>
  <si>
    <t>IT001E04622040</t>
  </si>
  <si>
    <t>Scuola Materna 1</t>
  </si>
  <si>
    <t>IT001E04908463</t>
  </si>
  <si>
    <t>Scuola Materna 2</t>
  </si>
  <si>
    <t>IT001E02137250</t>
  </si>
  <si>
    <t>Scuola Materna Aleramo</t>
  </si>
  <si>
    <t>IT001E04203897</t>
  </si>
  <si>
    <t>Scuola Materna Corio</t>
  </si>
  <si>
    <t>IT001E04894586</t>
  </si>
  <si>
    <t>Scuola Materna Disney</t>
  </si>
  <si>
    <t>IT001E04203925</t>
  </si>
  <si>
    <t>Scuola Materna Gatti</t>
  </si>
  <si>
    <t>IT001E04203923</t>
  </si>
  <si>
    <t>Scuola Materna Lessolo</t>
  </si>
  <si>
    <t>IT001E02028047</t>
  </si>
  <si>
    <t>Scuola Materna M. Tilde Ascensore Cuorgnè </t>
  </si>
  <si>
    <t>IT001E00419355 </t>
  </si>
  <si>
    <t>Scuola Materna M. Tilde Cucina Cuorgnè </t>
  </si>
  <si>
    <t>IT001E03983851 </t>
  </si>
  <si>
    <t>Scuola Materna M. Tilde Cuorgnè </t>
  </si>
  <si>
    <t>IT001E03983849 </t>
  </si>
  <si>
    <t>Scuola Materna Paietta</t>
  </si>
  <si>
    <t>IT001E04203848</t>
  </si>
  <si>
    <t>Scuola Materna Rodari 2</t>
  </si>
  <si>
    <t>IT001E04203894</t>
  </si>
  <si>
    <t>Scuola Materna Via Torino</t>
  </si>
  <si>
    <t>IT001E01439360</t>
  </si>
  <si>
    <t>Scuola Materna Via Volvera</t>
  </si>
  <si>
    <t>IT001E02162421</t>
  </si>
  <si>
    <t>Scuola materna </t>
  </si>
  <si>
    <t>IT001E03966705 </t>
  </si>
  <si>
    <t>Scuola media 1</t>
  </si>
  <si>
    <t>IT001E04908462</t>
  </si>
  <si>
    <t>Scuola media Corio</t>
  </si>
  <si>
    <t>IT001E04894584</t>
  </si>
  <si>
    <t>Scuola Media G. Cena Cuorgnè </t>
  </si>
  <si>
    <t>IT001E04333627 </t>
  </si>
  <si>
    <t>Scuola media Gattinara</t>
  </si>
  <si>
    <t>IT001E085779044</t>
  </si>
  <si>
    <t>Scuola Media Gobetti</t>
  </si>
  <si>
    <t>IT001E04203845</t>
  </si>
  <si>
    <t>Scuola media Gramsci Consumatore</t>
  </si>
  <si>
    <t>IT001E01614377</t>
  </si>
  <si>
    <t>Scuola Media Lessolo</t>
  </si>
  <si>
    <t>IT001E04387202</t>
  </si>
  <si>
    <t>Scuola Media Montalto Dora</t>
  </si>
  <si>
    <t>IT001E04552039</t>
  </si>
  <si>
    <t>Scuola media nuova </t>
  </si>
  <si>
    <t>IT001E02814813 </t>
  </si>
  <si>
    <t>Scuola Media Vivaldi</t>
  </si>
  <si>
    <t>IT001E04203932</t>
  </si>
  <si>
    <t>Scuola media </t>
  </si>
  <si>
    <t>IT001E03964886 </t>
  </si>
  <si>
    <t>Scuola media/Cascina Lora Polifunzionale</t>
  </si>
  <si>
    <t>IT001E01438834</t>
  </si>
  <si>
    <t>Scuola primaria "Nuova Lauro"</t>
  </si>
  <si>
    <t>IT001E02001371</t>
  </si>
  <si>
    <t>Scuola Primaria Anna Frank (Consumatore)</t>
  </si>
  <si>
    <t>Scuola Primaria Gramsci (Consumatore)</t>
  </si>
  <si>
    <t>IT001E04908399</t>
  </si>
  <si>
    <t>Scuola primaria L.Calvino (Consumatore)</t>
  </si>
  <si>
    <t>IT001E01613472</t>
  </si>
  <si>
    <t>Scuola Rodari</t>
  </si>
  <si>
    <t>IT001E01641350</t>
  </si>
  <si>
    <t>Scuola secondaria D. Milano (Consumatore)</t>
  </si>
  <si>
    <t>IT001E04908376</t>
  </si>
  <si>
    <t>Scuola Secondaria di I grado Lalla Romano</t>
  </si>
  <si>
    <t>IT001E03462943</t>
  </si>
  <si>
    <t>Scuola secondaria Don Milani (Consumatore)</t>
  </si>
  <si>
    <t>IT001E04461922</t>
  </si>
  <si>
    <t>Scuola Superiore "Mercurino"</t>
  </si>
  <si>
    <t>Scuola Via Cordero</t>
  </si>
  <si>
    <t>IT001E01401238</t>
  </si>
  <si>
    <t>Scuole Elementari</t>
  </si>
  <si>
    <t>IT001E04462584</t>
  </si>
  <si>
    <t>Scuole Elementari - Servizi</t>
  </si>
  <si>
    <t>IT001E02107862</t>
  </si>
  <si>
    <t>Scuole Fraz. Benne</t>
  </si>
  <si>
    <t>IT001E04894587</t>
  </si>
  <si>
    <t>Scuole Piano Quinto (Consumatore)</t>
  </si>
  <si>
    <t>IT001E00372843</t>
  </si>
  <si>
    <t>Sede Associazione</t>
  </si>
  <si>
    <t>IT001E03939727</t>
  </si>
  <si>
    <t>Sede Associazione E Banda</t>
  </si>
  <si>
    <t>IT001E04524353</t>
  </si>
  <si>
    <t>Sede banda</t>
  </si>
  <si>
    <t>IT001E04622036</t>
  </si>
  <si>
    <t>Sede Ex Cm1</t>
  </si>
  <si>
    <t>IT001E03997480</t>
  </si>
  <si>
    <t>Sede Ex Cm2</t>
  </si>
  <si>
    <t>IT001E03997481</t>
  </si>
  <si>
    <t>Sede PAL-Protezione Civile</t>
  </si>
  <si>
    <t>IT001E08602150</t>
  </si>
  <si>
    <t>Sede Per Associazioni</t>
  </si>
  <si>
    <t>IT001E01325066</t>
  </si>
  <si>
    <t>Sede protezione civile</t>
  </si>
  <si>
    <t>IT001E03946765</t>
  </si>
  <si>
    <t>Sede Scuola Di Musica</t>
  </si>
  <si>
    <t>IT001E01302273</t>
  </si>
  <si>
    <t>Sedi associative</t>
  </si>
  <si>
    <t>IT001E01295228</t>
  </si>
  <si>
    <t>Sedi Associazioni</t>
  </si>
  <si>
    <t>IT001E04524475</t>
  </si>
  <si>
    <t>Sedi campo sportivo Livorno Ferraris</t>
  </si>
  <si>
    <t>IT001E04540943</t>
  </si>
  <si>
    <t>Semaforo</t>
  </si>
  <si>
    <t>IT001E04448471</t>
  </si>
  <si>
    <t>Servizi Igienici</t>
  </si>
  <si>
    <t>IT001E04448472</t>
  </si>
  <si>
    <t>SHOPSI’ Srl</t>
  </si>
  <si>
    <t>SIGIT spa</t>
  </si>
  <si>
    <t>IT001E00208652</t>
  </si>
  <si>
    <t>SOC. AGRICOLA F.LLI LUPARIA</t>
  </si>
  <si>
    <t>IT001E04778759</t>
  </si>
  <si>
    <t>SOC. AGRICOLA F.LLI LUPARIA 2</t>
  </si>
  <si>
    <t>IT001E04790022</t>
  </si>
  <si>
    <t>Sottopasso veicolare Livorno Ferraris</t>
  </si>
  <si>
    <t>IT001E04622044</t>
  </si>
  <si>
    <t>Spazio Espositivo Del Parco Archeologico</t>
  </si>
  <si>
    <t>IT001E03939726</t>
  </si>
  <si>
    <t>Spogliatoi campo sportivo Livorno Ferraris</t>
  </si>
  <si>
    <t>IT001E04622043</t>
  </si>
  <si>
    <t>Spogliatoio</t>
  </si>
  <si>
    <t>IT001E03945826</t>
  </si>
  <si>
    <t>Supermercato Tigros</t>
  </si>
  <si>
    <t>Tabellone luminoso</t>
  </si>
  <si>
    <t>IT001E04622048</t>
  </si>
  <si>
    <t>Teatro Bertagnolio</t>
  </si>
  <si>
    <t>IT001E01324790</t>
  </si>
  <si>
    <t>Teatro Pertini</t>
  </si>
  <si>
    <t>IT001E00375723</t>
  </si>
  <si>
    <t>TECNOBIOMA</t>
  </si>
  <si>
    <t>IT0011E04705038</t>
  </si>
  <si>
    <t>Telecamera parco comunale</t>
  </si>
  <si>
    <t>IT001E04622052</t>
  </si>
  <si>
    <t>Telecamera PM</t>
  </si>
  <si>
    <t>IT001E02823460</t>
  </si>
  <si>
    <t>Telecamera scuola Gattinara</t>
  </si>
  <si>
    <t>IT001E020787431</t>
  </si>
  <si>
    <t>Telecamere videosorveglianza Viarigi</t>
  </si>
  <si>
    <t>IT001E02851665</t>
  </si>
  <si>
    <t>Telecamere videosorveglianza Viarigi 1</t>
  </si>
  <si>
    <t>IT001E02679742</t>
  </si>
  <si>
    <t>Telecamere videosorveglianza Viarigi 2</t>
  </si>
  <si>
    <t>IT001E02848640</t>
  </si>
  <si>
    <t>Telecamere videosorveglianza Viarigi 3</t>
  </si>
  <si>
    <t>IT001E02851664</t>
  </si>
  <si>
    <t>Torre Campanaria</t>
  </si>
  <si>
    <t>IT001E01295995</t>
  </si>
  <si>
    <t>Torre campanaria Carcoforo</t>
  </si>
  <si>
    <t>Torre campanaria Sambuco</t>
  </si>
  <si>
    <t>IT001E03434100</t>
  </si>
  <si>
    <t>Torre Ferranda </t>
  </si>
  <si>
    <t>IT001E00715539 </t>
  </si>
  <si>
    <t>TRATTORIA DA CARLA</t>
  </si>
  <si>
    <t>IT001E072473272</t>
  </si>
  <si>
    <t>Uffici comunali Frassinetto </t>
  </si>
  <si>
    <t>IT001E04479272 </t>
  </si>
  <si>
    <t>Ufficio Turismo</t>
  </si>
  <si>
    <t>IT001E01325222</t>
  </si>
  <si>
    <t>UNIONE INDUSTRIALE VCO</t>
  </si>
  <si>
    <t>IT001E08369893</t>
  </si>
  <si>
    <t>IT001E03463119</t>
  </si>
  <si>
    <t>Utente CER Sole 1</t>
  </si>
  <si>
    <t>Utente CER Sole 2</t>
  </si>
  <si>
    <t>Utente CER Sole 3</t>
  </si>
  <si>
    <t>Utente CER Sole 4</t>
  </si>
  <si>
    <t>Utente CER Sole 5</t>
  </si>
  <si>
    <t>Utente CER Sole 6</t>
  </si>
  <si>
    <t>Utente CER Sole 7</t>
  </si>
  <si>
    <t>Utente CER Sole 8</t>
  </si>
  <si>
    <t>Utente residenziale 1</t>
  </si>
  <si>
    <t>Utente residenziale 2</t>
  </si>
  <si>
    <t>Utente residenziale 3</t>
  </si>
  <si>
    <t>Utenze residenziali</t>
  </si>
  <si>
    <t>Via Borgata </t>
  </si>
  <si>
    <t>IT001E00486372 </t>
  </si>
  <si>
    <t>Via Caviglione </t>
  </si>
  <si>
    <t>IT001E03949465 </t>
  </si>
  <si>
    <t>Via Marconi 1</t>
  </si>
  <si>
    <t>IT001E02210858 </t>
  </si>
  <si>
    <t>Via Marconi 2</t>
  </si>
  <si>
    <t>IT001E03949463 </t>
  </si>
  <si>
    <t>Via Montiglio </t>
  </si>
  <si>
    <t>IT001E03965410 </t>
  </si>
  <si>
    <t>Via Oltresoana </t>
  </si>
  <si>
    <t>IT001E03945327 </t>
  </si>
  <si>
    <t>Via Orco </t>
  </si>
  <si>
    <t>IT001E10096567 </t>
  </si>
  <si>
    <t>Via Pilot </t>
  </si>
  <si>
    <t>IT001E03949464 </t>
  </si>
  <si>
    <t>Via Tiepolo</t>
  </si>
  <si>
    <t>IT001E00604408</t>
  </si>
  <si>
    <t>Viale Tigli Uffici</t>
  </si>
  <si>
    <t>IT001E01437030</t>
  </si>
  <si>
    <t>Vignolo (CN) - Comune</t>
  </si>
  <si>
    <t>IT001E03427109</t>
  </si>
  <si>
    <t>Vignolo (CN) - Scuola infanzia</t>
  </si>
  <si>
    <t>IT001E00744502</t>
  </si>
  <si>
    <t>Villa Paolotti - 1</t>
  </si>
  <si>
    <t>IT001E005715636</t>
  </si>
  <si>
    <t>Villa Paolotti - 2</t>
  </si>
  <si>
    <t>IT001E085786512</t>
  </si>
  <si>
    <t>Villaggio Dora 1</t>
  </si>
  <si>
    <t>IT001E01613538</t>
  </si>
  <si>
    <t>Villaggio Dora 2</t>
  </si>
  <si>
    <t>IT001E01612811</t>
  </si>
  <si>
    <t>Villaggio Dora 3</t>
  </si>
  <si>
    <t>IT001E01612148</t>
  </si>
  <si>
    <t>Villaggio Dora 4</t>
  </si>
  <si>
    <t>IT001E01613600</t>
  </si>
  <si>
    <t>Villaggio Dora 5</t>
  </si>
  <si>
    <t>IT001E01613595</t>
  </si>
  <si>
    <t>Villaggio Dora 6</t>
  </si>
  <si>
    <t>IT001E00595119</t>
  </si>
  <si>
    <t>Villaggio Dora 7</t>
  </si>
  <si>
    <t>IT001E01229480</t>
  </si>
  <si>
    <t>VML Comunità Alloggio</t>
  </si>
  <si>
    <t>IT001E029651876</t>
  </si>
  <si>
    <t>Zincatura di Cambiano srl</t>
  </si>
  <si>
    <t>IT001E4182384</t>
  </si>
  <si>
    <t>Comune di Alagna Valsesia (37 POD)</t>
  </si>
  <si>
    <t>Comunità Energetiche della Valsesia</t>
  </si>
  <si>
    <t>Comune di Quarona</t>
  </si>
  <si>
    <t>Alagna Valsesia, Campertogno, Mollia, Pila, Piode, Rassa, Scopello</t>
  </si>
  <si>
    <t>Piazza degli Alberghi 20,13021 Alagna Valsesia (VC)</t>
  </si>
  <si>
    <t>Tel. 0163 430112 - int. 2</t>
  </si>
  <si>
    <t>Solare fotovoltaico (+Idroelettrico)</t>
  </si>
  <si>
    <t>configurazione Riva Valdobbia</t>
  </si>
  <si>
    <t>Comune di Campertogno (14 POD)</t>
  </si>
  <si>
    <t>Comune di Cervatto (4 POD)</t>
  </si>
  <si>
    <t>Fobello, Balmuccia, Rimella, Cervatto, Cravagliana, Vocca, Scopa, Scopello, Guardabosone,Civiasco, Quarona, Cellio Con Breia</t>
  </si>
  <si>
    <t>Via Luigi Zignone, 24, 13017 Quarona VC</t>
  </si>
  <si>
    <t>Tel. 0163 430112 - int. 3</t>
  </si>
  <si>
    <t>configurazione Varallo</t>
  </si>
  <si>
    <t>Comune di Civiasco (14 POD)</t>
  </si>
  <si>
    <t>Comune di Cravagliana (4 POD)</t>
  </si>
  <si>
    <t>Comune di Crova</t>
  </si>
  <si>
    <t>Comune di Fobello (8 POD)</t>
  </si>
  <si>
    <t>Comune di Mollia (11 POD)</t>
  </si>
  <si>
    <t>Comune di Olcenengo</t>
  </si>
  <si>
    <t>Comune di Pila (9 POD)</t>
  </si>
  <si>
    <t>Comune di Piode (12 POD)</t>
  </si>
  <si>
    <t>Comune di Quarona (31 POD)</t>
  </si>
  <si>
    <t>Comune di Rassa (4 POD)</t>
  </si>
  <si>
    <t>Comune di Rimella (6 POD)</t>
  </si>
  <si>
    <t>Comune di Vocca (5 POD)</t>
  </si>
  <si>
    <t>n.d. Alto Verbano e Valgrande</t>
  </si>
  <si>
    <t>Alto Verbano e Valgrande - dalla comunità energetica verso lo sviluppo integrato</t>
  </si>
  <si>
    <t>Unione montana Valgrande e del Lago di Mergozzo</t>
  </si>
  <si>
    <t>Verbano-Cusio Ossola</t>
  </si>
  <si>
    <t>Arizzano, Aurano, Bee, Cambiasca, Cannero Riviera, Cannobio, Caprezzo, Cossogno, Ghiffa, Gurro, Intragna, Mergozzo, Miazzina, Oggebbio, Premeno, San Bernardino Verbano, Trarego Viggiona, Valle Cannobina, Vignone</t>
  </si>
  <si>
    <t>Via per Unchio, 13, 28814 Cambiasca VB</t>
  </si>
  <si>
    <t>n.d. CER Carignano</t>
  </si>
  <si>
    <t>Sui fili della Pancalera</t>
  </si>
  <si>
    <t>Comune di Carignano</t>
  </si>
  <si>
    <t>Carignano (TO)</t>
  </si>
  <si>
    <t>Via Sebastiano Fricchieri, 13, 10041 Carignano TO</t>
  </si>
  <si>
    <t>Solare fotovoltaico - Biogas</t>
  </si>
  <si>
    <t>CER Carignano</t>
  </si>
  <si>
    <t>n.d. CER Piccoli Comuni</t>
  </si>
  <si>
    <t>CER Piccoli Comuni</t>
  </si>
  <si>
    <t>n.d. Insieme per la tutela dell’ambiente</t>
  </si>
  <si>
    <t>Insieme per la tutela dell’ambiente</t>
  </si>
  <si>
    <t>Comune di Scarmagno</t>
  </si>
  <si>
    <t>Candia Canavese, San Giusto Canavese e Foglizzo</t>
  </si>
  <si>
    <t>Piazza Cavalier Maria e Savino Enrico, 5, 10010 Scarmagno TO</t>
  </si>
  <si>
    <t>n.d. Meno consumi più energia pulita</t>
  </si>
  <si>
    <t>Meno consumi più energia pulita</t>
  </si>
  <si>
    <t>Comune di Ozegna</t>
  </si>
  <si>
    <t>Pertusio, Torre canavese e San Ponso</t>
  </si>
  <si>
    <t>Via Municipio, 7, 10080 Ozegna TO</t>
  </si>
  <si>
    <t>n.d. Progresso, unione ed ecologismo</t>
  </si>
  <si>
    <t>Comune di Issiglio</t>
  </si>
  <si>
    <t>Vidracco, Vistrorio e Val di Chy e l’Unione di Comuni Montani Valchiusella</t>
  </si>
  <si>
    <t>Via Municipio, 2, 10080 Issiglio TO</t>
  </si>
  <si>
    <t>13 Public (7 schools [2 standalone 20kw+60kw, 3 prosumers 20kw+60kw+60kw, 2 consumers], 1 office [standalone 50kw], 2 social centers [2 prosumers 10kw+30kw], 2 sport complexes [1 prosumer 82kw, 1 consumer], cemetery [prosumer 30kw]), 1 SME [1 prosumer 20kw].</t>
  </si>
  <si>
    <t>Comune di Druente</t>
  </si>
  <si>
    <t>12 Public (public space [standalone 600 kw], office [standalone 100kw], 2 sport complex [1 prosumer 200kw, 1 consumer], 4 public lightening [4 consumers], 4 schools [2 prosumers 200kw +100kw, 2 consumers]), 6 Residential (public condominiums [5 prosumers 60kw+60kw+60kw+70kw+70kw, 1 consumer]], 1 SME (office [1 prosumer 50kw])</t>
  </si>
  <si>
    <t>3d party producer [standalone 3256kw], 8 Public (1 library [1 prosumer 20kw], 1 theater [1 prosumer 20kw], town hall [prosumer 20kw], 1 hospital [1 consumer], 4 schools[4 consumers]), 7 SMEs [2 prosumers 100kw+493kw, 5 consumers], 1 Residential (private condominium [prosumer 30 kw])</t>
  </si>
  <si>
    <t>133 Publc  (9 sport complexes [1 prosumer 30kw, 8 consumers], 20 town halls [6 prosumers 5 kw+5kw+5kw+5kw+5kw+50kw, 14 consumers], 27 schools [3 prosumers 9,7kw+20kw+20kw, 23 consumers], hospitals [6 consumers], theaters [3 consumers], libraries [6 consumers], museums [5 consumers] ,philarmony [1 consumer], dance halls [3 consumers], archives [2 consumer],  canteen [1 consumer], casarma [1 consumer], unemployment office [1 consumer], firefigthers [1 consumer], tourist centers [2 consumer], park [1 consumer], public lightening [13 consumer], semaforo [1 consumer], cemeteries [6 consumers]), NPOs (offices [7 consumer], churches [6 consumers]), Residential (public and private condominiums, private houses, elder house [12 consumers]), SMEs (commercial/restaurants [2 consumers]).</t>
  </si>
  <si>
    <t>21 Public (3 standalone 800kw+800kw+800kw, sport complexes [5 consumers], hospital [1 consumer], social center [1 consumer], schools [4 consumers], others [7 consumers]), 4 NPOs [offices [3 consumers], churches [1 consumer]), 3 SMEs (commercial/supermarket,stores [3 consumers]), 1 Residential (social house [1 consumer])</t>
  </si>
  <si>
    <t>6 NPOs (social enterprise [1 standalone 50 kw, 1 consumer], churches [1 prosumer 78kw, 4 consumers], coop. office [1 consumer], foundation office [1 consumer]), 3 Residential (private houses [3 consumers])</t>
  </si>
  <si>
    <t>Orti Generali (Associazione ETS/NPO)</t>
  </si>
  <si>
    <t>Fondazione Valsesia/NPO</t>
  </si>
  <si>
    <t>26 Public (1 standalone 997kw, commercial/market [1 consumer], elderly center [1 consumer], cemetery [3 consumers], town hall [1 consumer], hospital [1 consumer], warehouse [1 consumer], others [4 consumers], semaforo [4 consumers], public lightening [5 consumers], schools [4 consumers]), 19 Residential [19 consumers]).</t>
  </si>
  <si>
    <t>Compagnia di San Paolo Fondazione, municipality</t>
  </si>
  <si>
    <t>Parrocchia Santa Famiglia di Nazaret/church</t>
  </si>
  <si>
    <t>https://esg.nexteconomia.org/utente/cersrodello/; https://www.chiesaoggi.com/comunita-energetica-rinnovabile-a-rodello/; https://www.gazzettadalba.it/2023/05/costituita-la-prima-comunita-energetica-ed-e-anche-solidale/; https://www.instagram.com/cers_rodello/; https://sinergiecondivise.it/utenti-cer/</t>
  </si>
  <si>
    <t>2 SMEs (commercial/supermarket [prosumer 20kw, prosumer 20kw]), 9 Residential (private [1 prosumer 5kw, 8 consumers])</t>
  </si>
  <si>
    <t>8 Public (2 town halls [standalone 15kw, 1 consumer], public lightening [prosumer 2kw], 1 hospital [consumer], 1 parking [consumer], 1 museum [consumer], 1 cemetery [consumer]), 2 NPOs (social spaces [2 consumers]), 2 SMEs (commercial/restaurant [standalone 15kw], pharmacy [consumer]), 5 Residential [5 consumers]</t>
  </si>
  <si>
    <t>30 Public (2 sport complexes/field and gym [standalone 265kw, consumer], hospitals [4 consumers], schools [13 consumers], police [1 consumer], library [2 consumers], social center [1 consumer], town halls/offices [3 consumers], unemployment center/offices and social centers [4 consumers], incubator/offices [1 consumer]), 4 NPOs (office [1 consumer], elderly houses [3 consumers]), 2 Residential (private [2 consumers])</t>
  </si>
  <si>
    <t>4 Public (social center [prosumer 150kw], sport/swimming pool and comlex [prosumer 100kw, consumer], social center/music [1 consumer]), 2 NPO (sport/complex [consumer], social center/office [1 consumer]), 1 SME (commercial/flower [1 consumer])</t>
  </si>
  <si>
    <t>Various municpalities</t>
  </si>
  <si>
    <t>1 standalone [1200kw in Moretta], 31 prosumers [20kw in Airasca, 100kw in Bricherasio, 200kw in Buriasco, 20kw in Castagnole Piemonte, 100kw Cavour, 200kw Cercernasco, 100kw Cesana Torinese, 200kw Claviere, 200kw Cumiana,  200kw Frossasco, 200kw Garzigliana, 20kw Luserna San Giovanni, 200kw Marcello, 200kw Masselo, 20kw Masselo, 300kw Osasco, 50kw Pinasca, 100kw Picsina, 50kw Pomaretto, 421,23kw Pragelato, 100kw Prarostino, 1000kw Roletto, 100kw San Pietro Val Lemina, 20kw San Secondo di Pinerolo, 500kw Sauze di O`ulux, 100kw Scalenghe, 100kw Sestriere, 100kw Torre Pellice, 500kw Usseaux, 500kw Vigone,  50kw Volvera], 2 consumers in Sauze di Cesana and Cantalupa.</t>
  </si>
  <si>
    <t>Public (schools [4 standalone 20kw+50kw+20kw+20kw, 5 prosumers 20kw+50kw+50kw+500kw+50kw, 6 consumers], cemetery [1 prosumer 50kw])</t>
  </si>
  <si>
    <t>Public (schools [1 standalone 100kw, 3 consumers], sport/complex [1 consumer], hospitals [2 consumers]), 1 NPO (church [1 consumer]), 2 SMEs (commercial/pharmacy and restaurant [2 consumers]), 6 Residentials (private [6 consumers]).</t>
  </si>
  <si>
    <t>16 Residentials (private [1 Standalone 25 kw, 4 prosumers 5kw+5kw+5kw+5kw, 2 consumers], public [1 prosumer 25kw, 8 consumers]), 1 SME (industrial [1 prosumer 86,74kw])</t>
  </si>
  <si>
    <t>14 Public (parking [standalone 67,2kw], schools [2 prosumers 30kw+60kw], offices/court and technicians and adult school [2 prosumers 50kw+100kw, 2 consumers], hospitals [3 consumers], social centers [3 consumers], museums [2 consumers]), 10 NPOs (offices [4 consumers], social centers/coops [6 consumers]), 7 SMEs (commercial [5 consumers], industrial [2 consumers]), 1 Residential (private [1 consumer])</t>
  </si>
  <si>
    <t>4 Public (town halls/offices [1 prosumer 220kw, 3 consumers])</t>
  </si>
  <si>
    <t>PV, hydro (in future)</t>
  </si>
  <si>
    <t>97 prosumers in Campertongo, Civiasco, Cervatto, Fobello, Mollia, Piode, Quarona, Vocca.  60 consumers in Alagna Valsesia, Cravagliana, Pila, Rassa, Rimella</t>
  </si>
  <si>
    <t>CER della Valsesia</t>
  </si>
  <si>
    <t>Quarona, Alagna Valsesia, Campertogno, Mollio, Pila, Piode, Rassa, Scopello, Fobello, Balmuccia, Rimella, Cervatto, Cravagliana, Vocca, Scopa, Scopello, Guardabossone, Civiasco, Quarona, Cellio con Breia</t>
  </si>
  <si>
    <t>Configuration Riva Voldobbia 111kw: Energy produced 99,34 MWh/year, shared energy 93,97 MWh/year. Configuration Varallo 483kw: Energy produced 567,35 MWh/year, shared energy 528,77 MWh/year</t>
  </si>
  <si>
    <t>18 Public (schools [14 prosumers 30kw+30kw+60kw+30kw+30kw+5kw+5kw+5kw+30kw+60kw+57,4kw+180kw+50kw+60kw, 3 consumers], town hall/office [1 consumer])</t>
  </si>
  <si>
    <t>I Tesori della Terra ETS/NPO</t>
  </si>
  <si>
    <t>2 NPOs (commercials [1 standalone 191,6kw, 1 consumer]), 2 SMEs (farms [1 prosumer 5kw, 1 consumer]), 1 Residential (private [prosumer 5kw])</t>
  </si>
  <si>
    <t>Typology/role of members</t>
  </si>
  <si>
    <t>N of members (from 179 N of Users/PODs)</t>
  </si>
  <si>
    <t>Public (social center [prosumer 18,5kw], water enterprise [consumer], camping zone [consumer], town hall/offices [consumer], bell tower [consumer]), SMEs (commercial [1 consumer], industrial [1 consumer])</t>
  </si>
  <si>
    <t>Soluzioni Artistiche ETS/NPO</t>
  </si>
  <si>
    <t>3 SMEs (commercials [3 prosumers: 50kw+50kw+60kw]), 1 NPO (social center [1 prosumer 15kw]), 10 Residential (private [10 consumers])</t>
  </si>
  <si>
    <t>PV, hydro (appr. 810kw 5 hydro plants), biomass (appr. 369kw biomass 1 plant)</t>
  </si>
  <si>
    <t>13 Public [7 PV Standalone 30 kw +110 kw+15kw+15kw+60+5+54, hydro 5 standalones 810kw, biomass 369kw 1 standalone], Residential [450 consumers], SMEs [50 consumers].</t>
  </si>
  <si>
    <t>18 Public ([Standalone hydro 70kw, standalone biomass 20 kw, 4 schools [standalone PV 30kw, 3 consumers], warehouse [1 prosumer 10kw], town halls/offices [5 prosumers: 20kw+20kw+20kw+16,2kw+10kw; 3 consumers], sport/gym [1 prosumer 30kw], other [1 prosumer 30kw], bell tower [1 consumer]), Residentials [50 consumers]</t>
  </si>
  <si>
    <t>Public ([standalone 272kw], town halls/offices and tourist center [consumer 9], camping areas [2 consumers], market [1 consumer], library [1 consumer], sport/complex and gym [4 consumer], social center [10 consumers], cemetery [2 consumers], others [6 consumer], public lightening [67 consumers], warehouse [1 consumer], hospital [1 consumer], schools [10 consumers], bell tower [1 consumer]), Residential ([6 consumers])</t>
  </si>
  <si>
    <t>3d party [standalone 509,68kw], SMEs ([industrial [2 prosumers: 100kw+20kw, 6 consumers], commercial/restaurant [1 consumer]), Public (cemetery [1 prosumer 20kw], 37 unknown public buildings in Ozzano Monferato, 40 unknown public buildings in Rosignano Monferato), Residential (private [24 consumers])</t>
  </si>
  <si>
    <t>Public (school [1 prosumer 30kw], theater [1 prosumer 70kw]), SME (commercial/market [1 consumer])</t>
  </si>
  <si>
    <t>12 Public (schools [2 standalone: 10kw+40kw; 4 prosumers: 15kw+15kw+15kw+30kw; 2 consumers], social center [1 consumer], sport/complex [3 consumers]), 9 Residential (public [9 consumers]), 2 NPOs (elderly center [1 consumer], office [1 consumer])</t>
  </si>
  <si>
    <t>Public (1 standalone 1000kw, schools [6 consumers], markets [2 consumers], parks [3 consumers], others [5 consumers], social centers [2 consumers], firefighters [1 consumer], library [1 consumer], town hall/offices [1 consumer], sport/complexes [5 consumers], cemetery [1 consumer], warehouse [1 consumer]), 2 NPOs (office [2 consumers]), 1 Residential (public [1 consumer]), 6 SMEs (industrial [6 consumers]).</t>
  </si>
  <si>
    <t>21 Residential (private [7 prosumers: 10+10+10+20+20+20+50; 15 consumers], 14 SMEs (industrial [2 prosumers: 600kw+20kw; 2 consumers], commercial [10 consumers]), 6 Public (sport/complex [1 prosumer 14kw], office [1 prosumer 50kw, 4 consumers])</t>
  </si>
  <si>
    <t>5 NPOs [200 kw prosumer/sport and educational compex, 4 consumers], 3 SMEs [100 kw standalone/industrial, 2 consumers]</t>
  </si>
  <si>
    <t>Public (social centers [2 standalones: 60kw+200kw; 1 consumer], cemetery [1 standalone 200kw, 1 consumer], town hall/offices [standalone 60kw, 3 consumer], hospital [standalone 60kw], sport/gym [2 standalone: 60kw+20kw], schools [3 standalones: 44,4kw+60kw+40kw; 2 prosumers: 20kw+60kw; 7 consumers], other [1 prosumer 100kw], library [1 consumer], market [1 consumer], firefighters [1 consumer], park [1 consumer], theater [1 consumer]), NPOs (elderly house [1 consumer]), SMEs (comercial/supermarket and stores [3 consumers]</t>
  </si>
  <si>
    <t>Legambiente 2024 report; https://esg.nexteconomia.org/utente/cer-sole/; https://sinergiecondivise.it/comunita-energetiche-rinnovabili/</t>
  </si>
  <si>
    <t>Cooperativa Sociale Solidarietà Sei/NPO</t>
  </si>
  <si>
    <t>4 Public (town hall/offices [1 prosumer 82kw, 3 consumers]), 1 SME ([1 prosumer 100kw]), 4 Residential (private [4 consumers]), 1 NPO (other [1 consumer])</t>
  </si>
  <si>
    <t>3 Residential (social [2 prosumers 30kw+15kw, 1 consumer]), 1 NPOs (other [1 consumer])</t>
  </si>
  <si>
    <t>Public (hospital [1 prosumer 10kw], library [1 prosumer 10kw], town hall/offices [1 prosumer 10kw], school [1 prosumer 20kw], others [2 prosumers: 10kw+19kw], cemetery [1 consumer], sport/complex [2 consumers], videosurveilance [4 consumers], others [1 consumer]), NPOs (church [1 consumer])</t>
  </si>
  <si>
    <t>Regulation of redistribution of benefits
40% Prosumer
40% Consumer
10% CER
10% Social Activities
The surplus of the companies equal to 55% will be redistributed in the form of vouchers to be spent at the commercial establishments associated with the CER</t>
  </si>
  <si>
    <t xml:space="preserve">110000
</t>
  </si>
  <si>
    <t>Regulation of redistribution of benefits
Prosumer 45%
Consumers 45%
Management Costs 10%</t>
  </si>
  <si>
    <t xml:space="preserve">31645
</t>
  </si>
  <si>
    <t>The following items are expected in the distribution of revenues:
1) Repayment of financing according to the repayment plan;
2) Community living costs
; 3) Investments in new community facilities: 20%
; 4) Social activities: 10%;
5) Liquidations of contributions to producers and consumers: 70%</t>
  </si>
  <si>
    <t>approximately 30% to cover the administrative and management costs of the CER, as well as for any returns on investments, or third-party credits. The remaining 70% approximately will be divided, in a majority share among the members of the community in proportion to their self-consumption and the remaining share will constitute a common fund for activities of social value upon decision of the assembly itself.</t>
  </si>
  <si>
    <t>Regulation of redistribution of benefits
A return on investment is expected in 10 years.
Revenue from sales will go to the producer (Monastery).
Revenue from incentives: for the first 10 years will be divided 50% between the producer and other consumers; after the 10th year they will all (100%) benefit consumers only; all this net of management/administration costs.</t>
  </si>
  <si>
    <t>Total energy produced
4,500 MWh
Total energy fed into the grid
800 MWh
Total incentivized/shared energy
600 MWh</t>
  </si>
  <si>
    <t>Regulation of redistribution of benefits:
Prosumer 36%
Consumer 54%
Management costs 10%. Plans to grow in capacity a lot. Number of municipalities joining is constantly growing, largest CER in Lombardy, they will even employ 1 manager full-time employee</t>
  </si>
  <si>
    <t>Regulation of redistribution of benefits
Prosumer 45%
Consumer 45%
Management costs 10%</t>
  </si>
  <si>
    <t>Regulation of redistribution of benefits: Prosumer 40%, Consumer 25%, Social Fund 25%, Management Costs 10%</t>
  </si>
  <si>
    <t>Plan to grow. Regulation of redistribution of benefits
The total of the benefits (incentive and sale) goes to ecological and social purposes</t>
  </si>
  <si>
    <t xml:space="preserve">460
</t>
  </si>
  <si>
    <t>Total energy produced
22 MWh
Total energy fed into the grid
2 MWh
Total incentivized/shared energy
2 MWh</t>
  </si>
  <si>
    <t>Social impact focused. Regulation of redistribution of benefits
the fees for selling energy on the grid (RID) go to the producers; the incentive is divided 40% to the producers and 60% to the consumers, net of O&amp;M costs</t>
  </si>
  <si>
    <t xml:space="preserve">1100
</t>
  </si>
  <si>
    <t>Total energy produced
134.32 MWh
Total energy fed into the grid
110.46 MWh
Total incentivized/shared energy
51.81 MWh</t>
  </si>
  <si>
    <t>N of plants</t>
  </si>
  <si>
    <t>TERZO D'AQUILEIA</t>
  </si>
  <si>
    <t>SAN VITO AL TORRE</t>
  </si>
  <si>
    <t>TRIVIGNANO UDINESE</t>
  </si>
  <si>
    <t>SAN VITO AL TAGLIAMENTO</t>
  </si>
  <si>
    <t>VALVASONE ARZENE</t>
  </si>
  <si>
    <t>TARVISIO</t>
  </si>
  <si>
    <t>Capacity, kw</t>
  </si>
  <si>
    <t>ODERZO</t>
  </si>
  <si>
    <t>SACILE</t>
  </si>
  <si>
    <t>AVIANO</t>
  </si>
  <si>
    <t>VENEZIA</t>
  </si>
  <si>
    <t>MIRA</t>
  </si>
  <si>
    <t>SANTA MARIA DI SALA</t>
  </si>
  <si>
    <t>SERNAGLIA DELLA BATTAGLIA</t>
  </si>
  <si>
    <t>ALBIGNASEGO</t>
  </si>
  <si>
    <t>VILLAFRANCA PADOVANA</t>
  </si>
  <si>
    <t>TOMBOLO</t>
  </si>
  <si>
    <t>FELTRE</t>
  </si>
  <si>
    <t>MEZZANO</t>
  </si>
  <si>
    <t>BRESSANONE - BRIXEN</t>
  </si>
  <si>
    <t>CAMPO TURES - SAND IN TAUFERS</t>
  </si>
  <si>
    <t>VILLAFRANCA DI VERONA</t>
  </si>
  <si>
    <t>STORO</t>
  </si>
  <si>
    <t>PARCINES - PARTSCHINS</t>
  </si>
  <si>
    <t>LOGRATO</t>
  </si>
  <si>
    <t>COLOGNO AL SERIO</t>
  </si>
  <si>
    <t>VERDELLO</t>
  </si>
  <si>
    <t>LALLIO</t>
  </si>
  <si>
    <t>BARZIO</t>
  </si>
  <si>
    <t>BARANZATE</t>
  </si>
  <si>
    <t>BIELLA</t>
  </si>
  <si>
    <t>MISANO ADRIATICO</t>
  </si>
  <si>
    <t>RICCIONE</t>
  </si>
  <si>
    <t>AGLIANA</t>
  </si>
  <si>
    <t>NOVI DI MODENA</t>
  </si>
  <si>
    <t>PECCIOLI</t>
  </si>
  <si>
    <t>GENOVA</t>
  </si>
  <si>
    <t>GOSSOLENGO</t>
  </si>
  <si>
    <t>BERTONICO</t>
  </si>
  <si>
    <t>TURANO LODIGIANO</t>
  </si>
  <si>
    <t>ANDORA</t>
  </si>
  <si>
    <t>RITTANA</t>
  </si>
  <si>
    <t>MAGLIANO ALPI</t>
  </si>
  <si>
    <t>BUSCA</t>
  </si>
  <si>
    <t>FOSSANO</t>
  </si>
  <si>
    <t>SAVIGLIANO</t>
  </si>
  <si>
    <t>MONTICELLO D'ALBA</t>
  </si>
  <si>
    <t>COSTIGLIOLE D'ASTI</t>
  </si>
  <si>
    <t>ISOLA D'ASTI</t>
  </si>
  <si>
    <t>LUSERNA SAN GIOVANNI</t>
  </si>
  <si>
    <t>BOBBIO PELLICE</t>
  </si>
  <si>
    <t>VENARIA REALE</t>
  </si>
  <si>
    <t>DRUENTO</t>
  </si>
  <si>
    <t>RIPALIMOSANI</t>
  </si>
  <si>
    <t>FOSSALTO</t>
  </si>
  <si>
    <t>SAN GIACOMO DEGLI SCHIAVONI</t>
  </si>
  <si>
    <t>GISSI</t>
  </si>
  <si>
    <t>GAGLIANO ATERNO</t>
  </si>
  <si>
    <t>PESCARA</t>
  </si>
  <si>
    <t>SAN BENEDETTO DEL TRONTO</t>
  </si>
  <si>
    <t>MONTE URANO</t>
  </si>
  <si>
    <t>ROMA</t>
  </si>
  <si>
    <t>MARSCIANO</t>
  </si>
  <si>
    <t>PERUGIA</t>
  </si>
  <si>
    <t>TORRITA DI SIENA</t>
  </si>
  <si>
    <t>GUBBIO</t>
  </si>
  <si>
    <t>SIENA</t>
  </si>
  <si>
    <t>MONTERIGGIONI</t>
  </si>
  <si>
    <t>PORTOFERRAIO</t>
  </si>
  <si>
    <t>BRINDISI</t>
  </si>
  <si>
    <t>SANTERAMO IN COLLE</t>
  </si>
  <si>
    <t>VENOSA</t>
  </si>
  <si>
    <t>NOCERA SUPERIORE</t>
  </si>
  <si>
    <t>NAPOLI</t>
  </si>
  <si>
    <t>MARANO DI NAPOLI</t>
  </si>
  <si>
    <t>SOMMA VESUVIANA</t>
  </si>
  <si>
    <t>POMIGLIANO D'ARCO</t>
  </si>
  <si>
    <t>CASTELLO DI CISTERNA</t>
  </si>
  <si>
    <t>CASAMARCIANO</t>
  </si>
  <si>
    <t>CASTELPOTO</t>
  </si>
  <si>
    <t>VITULANO</t>
  </si>
  <si>
    <t>MOLINARA</t>
  </si>
  <si>
    <t>ROSETO VALFORTORE</t>
  </si>
  <si>
    <t>SAN NICOLA DA CRISSA</t>
  </si>
  <si>
    <t>TIRIOLO</t>
  </si>
  <si>
    <t>MIGLIERINA</t>
  </si>
  <si>
    <t>AMENDOLARA</t>
  </si>
  <si>
    <t>FERLA</t>
  </si>
  <si>
    <t>MISTERBIANCO</t>
  </si>
  <si>
    <t>BELPASSO</t>
  </si>
  <si>
    <t>PATANNA</t>
  </si>
  <si>
    <t>PARTINICO</t>
  </si>
  <si>
    <t>PALERMO</t>
  </si>
  <si>
    <t>ALTAVILLA MILICIA</t>
  </si>
  <si>
    <t>BROLO</t>
  </si>
  <si>
    <t>BARCELLONA POZZO DI GOTTO</t>
  </si>
  <si>
    <t>SAPONARA</t>
  </si>
  <si>
    <t>CAGLIARI</t>
  </si>
  <si>
    <t>VILLANOVAFORRU</t>
  </si>
  <si>
    <t>USSARAMANNA</t>
  </si>
  <si>
    <t>BOLOTANA</t>
  </si>
  <si>
    <t>N of users</t>
  </si>
  <si>
    <t>In Existing</t>
  </si>
  <si>
    <t>GSE portal capacity</t>
  </si>
  <si>
    <t>GSE portal users</t>
  </si>
  <si>
    <t>GSE portal plants</t>
  </si>
  <si>
    <t>no</t>
  </si>
  <si>
    <t>yes</t>
  </si>
  <si>
    <t>Demonte, Rittana</t>
  </si>
  <si>
    <t>Torre Pellice, Moretta, Cavour, Vigone, San Secondo di Pinerolo, Pragelato, Cantalupa, Scalenghe, Cesana Torinese, Pinasca, Cumian, Sauze d'Oulx, Bobbio Pellice</t>
  </si>
  <si>
    <t>https://www.gse.it/servizi-per-te/autoconsumo/mappa-interattiva-delle-cabine-primarie</t>
  </si>
  <si>
    <t>Calabria</t>
  </si>
  <si>
    <t>Data source</t>
  </si>
  <si>
    <t>Promoter</t>
  </si>
  <si>
    <t>Primary cabin</t>
  </si>
  <si>
    <t>Contacts</t>
  </si>
  <si>
    <t>Manifestazione di interesse</t>
  </si>
  <si>
    <t>ACO01E01261</t>
  </si>
  <si>
    <t>ACO01E01342</t>
  </si>
  <si>
    <t>ACO01E01426</t>
  </si>
  <si>
    <t>Stage</t>
  </si>
  <si>
    <t>CER Comune di Rivolta D'Adda</t>
  </si>
  <si>
    <t>Comune di Rivolta D'Adda</t>
  </si>
  <si>
    <t>CER di Trezzo Sull'Adda</t>
  </si>
  <si>
    <t>Comune di Trezzo Sull'Adda</t>
  </si>
  <si>
    <t>CER Comune di Cassano D'Adda</t>
  </si>
  <si>
    <t>Comune di Cassano D'Adda</t>
  </si>
  <si>
    <t>CER Comune di Traona</t>
  </si>
  <si>
    <t>Comune di Traona</t>
  </si>
  <si>
    <t>CER di San Martino In Strada</t>
  </si>
  <si>
    <t>Comune di San Martino In Strada</t>
  </si>
  <si>
    <t>CER Comune di Capriate San Gervasio</t>
  </si>
  <si>
    <t>Comune di Capriate San Gervasio</t>
  </si>
  <si>
    <t>Vaprio CER</t>
  </si>
  <si>
    <t>Comune di Vaprio D'Adda</t>
  </si>
  <si>
    <t>CER Comune di Cosio Valtellino</t>
  </si>
  <si>
    <t>Comune di Cosio Valtellino</t>
  </si>
  <si>
    <t>CER Comune di Canonica D'Adda</t>
  </si>
  <si>
    <t>Comune di Canonica D'Adda</t>
  </si>
  <si>
    <t>CER Comune di Corna Imagna</t>
  </si>
  <si>
    <t>Comune di Corna Imagna</t>
  </si>
  <si>
    <t>CER Livraga</t>
  </si>
  <si>
    <t>Comune di Livraga</t>
  </si>
  <si>
    <t>CER di Brembate</t>
  </si>
  <si>
    <t>Comune di Brembate</t>
  </si>
  <si>
    <t>CER Comuni di Filago, Bottanuco e Madone</t>
  </si>
  <si>
    <t>Comune di Bottanuco, Comune di Filago, Comune di Madone</t>
  </si>
  <si>
    <t>CER Comune di Primaluna</t>
  </si>
  <si>
    <t>Comune di Primaluna</t>
  </si>
  <si>
    <t>CERSTAR - Comunità Energetica Rinnovabile Solidale del Territorio dell'Asparago Rosa</t>
  </si>
  <si>
    <t>Comune di Mezzago</t>
  </si>
  <si>
    <t>CER Comune di Pasturo</t>
  </si>
  <si>
    <t>Comune di Pasturo</t>
  </si>
  <si>
    <t>CER Comune di Bellinzago Lombardo</t>
  </si>
  <si>
    <t>Comune di Bellinzago Lombardo</t>
  </si>
  <si>
    <t>CER Comune di Carenno</t>
  </si>
  <si>
    <t>Comune di Carenno</t>
  </si>
  <si>
    <t>CER Comune di Truccazzano</t>
  </si>
  <si>
    <t>Comune di Truccazzano</t>
  </si>
  <si>
    <t>CER Comune di Inzago</t>
  </si>
  <si>
    <t>Comune di Inzago</t>
  </si>
  <si>
    <t>CER-TREZZANOROSA</t>
  </si>
  <si>
    <t>Comune di Trezzano Rosa</t>
  </si>
  <si>
    <t>CER Comune di San Colombano Al Lambro</t>
  </si>
  <si>
    <t>Comune di San Colombano Al Lambro</t>
  </si>
  <si>
    <t>CER Comune di Solza</t>
  </si>
  <si>
    <t>Comune di Solza</t>
  </si>
  <si>
    <t>CERMED</t>
  </si>
  <si>
    <t>Comune di Medolago</t>
  </si>
  <si>
    <t>CERS 'Lodi Solare'</t>
  </si>
  <si>
    <t>Comune di Lodi</t>
  </si>
  <si>
    <t>CER Rota D'Imagna</t>
  </si>
  <si>
    <t>Comune di Rota D'Imagna</t>
  </si>
  <si>
    <t>CER Comune di Galbiate</t>
  </si>
  <si>
    <t>Comune di Galbiate</t>
  </si>
  <si>
    <t>CER Comune di Malgrate</t>
  </si>
  <si>
    <t>Comune di Malgrate</t>
  </si>
  <si>
    <t>CER Comune di Vignate</t>
  </si>
  <si>
    <t>Comune di Vignate</t>
  </si>
  <si>
    <t>CER Comune di Margno</t>
  </si>
  <si>
    <t>Comune di Margno</t>
  </si>
  <si>
    <t>CER-PESSANO</t>
  </si>
  <si>
    <t>Comune di Pessano Con Bornago</t>
  </si>
  <si>
    <t>CER Comune di Casargo</t>
  </si>
  <si>
    <t>Comune di Casargo</t>
  </si>
  <si>
    <t>CER Comune di Cernusco Lombardone</t>
  </si>
  <si>
    <t>Comune di Cernusco Lombardone</t>
  </si>
  <si>
    <t>CER Comune di Gorgonzola</t>
  </si>
  <si>
    <t>Comune di Gorgonzola</t>
  </si>
  <si>
    <t>CER Comune di Liscate</t>
  </si>
  <si>
    <t>Comune di Liscate</t>
  </si>
  <si>
    <t>CER Comune di Olginate</t>
  </si>
  <si>
    <t>Comune di Olginate</t>
  </si>
  <si>
    <t>CER Comune di Merate</t>
  </si>
  <si>
    <t>Comune di Merate</t>
  </si>
  <si>
    <t>CER Comune di Cavenago Di Brianza</t>
  </si>
  <si>
    <t>Comune di Cavenago Di Brianza</t>
  </si>
  <si>
    <t>CER di Piuro</t>
  </si>
  <si>
    <t>Comune di Piuro</t>
  </si>
  <si>
    <t>CER Sulbiatese</t>
  </si>
  <si>
    <t>Comune di Sulbiate</t>
  </si>
  <si>
    <t>CER Comune di Melzo</t>
  </si>
  <si>
    <t>Comune di Melzo</t>
  </si>
  <si>
    <t>CER di Premana</t>
  </si>
  <si>
    <t>Comune di Premana</t>
  </si>
  <si>
    <t>CER Comune di Cambiago</t>
  </si>
  <si>
    <t>Comune di Cambiago</t>
  </si>
  <si>
    <t>CER di Valvarrone</t>
  </si>
  <si>
    <t>Comune di Valvarrone</t>
  </si>
  <si>
    <t>CER Comune di Civate</t>
  </si>
  <si>
    <t>Comune di Civate</t>
  </si>
  <si>
    <t>CER Comune di Dolzago</t>
  </si>
  <si>
    <t>Comune di Dolzago</t>
  </si>
  <si>
    <t>CER Comune di Castello Di Brianza</t>
  </si>
  <si>
    <t>Comune di Castello Di Brianza</t>
  </si>
  <si>
    <t>CER Comune di Oggiono</t>
  </si>
  <si>
    <t>Comune di Oggiono</t>
  </si>
  <si>
    <t>CER Comune di Valmadrera</t>
  </si>
  <si>
    <t>Comune di Valmadrera</t>
  </si>
  <si>
    <t>CER di Cassina De' Pecchi</t>
  </si>
  <si>
    <t>Comune di Cassina De' Pecchi</t>
  </si>
  <si>
    <t>CER Comune di Colle Brianza</t>
  </si>
  <si>
    <t>Comune di Colle Brianza</t>
  </si>
  <si>
    <t>CER Comune di Ello</t>
  </si>
  <si>
    <t>Comune di Ello</t>
  </si>
  <si>
    <t>CER Green Valley</t>
  </si>
  <si>
    <t>Comune di La Valletta Brianza</t>
  </si>
  <si>
    <t>CER Comune di Gera Lario</t>
  </si>
  <si>
    <t>Comune di Gera Lario</t>
  </si>
  <si>
    <t>CER Comune di San Giacomo Filippo</t>
  </si>
  <si>
    <t>Comune di San Giacomo Filippo</t>
  </si>
  <si>
    <t>CER di Casalmaiocco</t>
  </si>
  <si>
    <t>Comune di Casalmaiocco</t>
  </si>
  <si>
    <t>CER Comune di Bussero</t>
  </si>
  <si>
    <t>Comune di Bussero</t>
  </si>
  <si>
    <t>CER Comune di Besana In Brianza</t>
  </si>
  <si>
    <t>Comune di Besana In Brianza</t>
  </si>
  <si>
    <t>CER Comune di Bosisio Parini</t>
  </si>
  <si>
    <t>Comune di Bosisio Parini</t>
  </si>
  <si>
    <t>CER Comune di Peglio</t>
  </si>
  <si>
    <t>Comune di Peglio</t>
  </si>
  <si>
    <t>CER Comune di Cesana Brianza</t>
  </si>
  <si>
    <t>Comune di Cesana Brianza</t>
  </si>
  <si>
    <t>CER Comune di Garbagnate Monastero</t>
  </si>
  <si>
    <t>Comune di Garbagnate Monastero</t>
  </si>
  <si>
    <t>CER Comune di Bellano</t>
  </si>
  <si>
    <t>Comune di Bellano</t>
  </si>
  <si>
    <t>CER Comune di Gravedona Ed Uniti</t>
  </si>
  <si>
    <t>Comune di Gravedona Ed Uniti</t>
  </si>
  <si>
    <t>CER Comune di Dervio</t>
  </si>
  <si>
    <t>Comune di Dervio</t>
  </si>
  <si>
    <t>CER Comune di Molteno</t>
  </si>
  <si>
    <t>Comune di Molteno</t>
  </si>
  <si>
    <t>CER Comune di Sirone</t>
  </si>
  <si>
    <t>Comune di Sirone</t>
  </si>
  <si>
    <t>CER Comune di Pioltello - CP Prevalente</t>
  </si>
  <si>
    <t>Comune di Pioltello</t>
  </si>
  <si>
    <t>CER Comune di Sueglio</t>
  </si>
  <si>
    <t>Comune di Sueglio</t>
  </si>
  <si>
    <t>CER Comune di Missaglia</t>
  </si>
  <si>
    <t>Comune di Missaglia</t>
  </si>
  <si>
    <t>Cernusco - area est</t>
  </si>
  <si>
    <t>Comune di Cernusco</t>
  </si>
  <si>
    <t>CER della sorgente del Lambro</t>
  </si>
  <si>
    <t>Comune di Magreglio</t>
  </si>
  <si>
    <t>CER Comune di Sovico</t>
  </si>
  <si>
    <t>Comune di Sovico</t>
  </si>
  <si>
    <t>CER del borgo di Barni</t>
  </si>
  <si>
    <t>Comune di Barni</t>
  </si>
  <si>
    <t>CER Comune di Cremia</t>
  </si>
  <si>
    <t>Comune di Cremia</t>
  </si>
  <si>
    <t>MonzaCER - Monza_CapacediEnergiaRaggiante</t>
  </si>
  <si>
    <t>Comune di Monza</t>
  </si>
  <si>
    <t>CER Comune di Stazzona</t>
  </si>
  <si>
    <t>Comune di Stazzona</t>
  </si>
  <si>
    <t>CER Comune di Rogeno</t>
  </si>
  <si>
    <t>Comune di Rogeno</t>
  </si>
  <si>
    <t>CER Comune di Musso</t>
  </si>
  <si>
    <t>Comune di Musso</t>
  </si>
  <si>
    <t>CER Comune di Pianello Del Lario</t>
  </si>
  <si>
    <t>Comune di Pianello Del Lario</t>
  </si>
  <si>
    <t>CER Cologno</t>
  </si>
  <si>
    <t>Comune di Cologno Monzese</t>
  </si>
  <si>
    <t>CER Comune di Dongo</t>
  </si>
  <si>
    <t>Comune di Dongo</t>
  </si>
  <si>
    <t>CER Comune di Varenna</t>
  </si>
  <si>
    <t>Comune di Varenna</t>
  </si>
  <si>
    <t>CER San Giuliano Milanese</t>
  </si>
  <si>
    <t>Comune di San Giuliano Milanese</t>
  </si>
  <si>
    <t>CER Comune di Varedo</t>
  </si>
  <si>
    <t>Comune di Varedo</t>
  </si>
  <si>
    <t>CER Comune di Basiglio</t>
  </si>
  <si>
    <t>CER Comune di Cabiate</t>
  </si>
  <si>
    <t>Comune di Cabiate</t>
  </si>
  <si>
    <t>CER Comune di Mariano Comense (area sud)</t>
  </si>
  <si>
    <t>Comune di Mariano Comense</t>
  </si>
  <si>
    <t>CER Comune di Mariano Comense (area nord)</t>
  </si>
  <si>
    <t>CER Bresso</t>
  </si>
  <si>
    <t>Comune di Bresso</t>
  </si>
  <si>
    <t>CER di Desio</t>
  </si>
  <si>
    <t>Comune di Desio</t>
  </si>
  <si>
    <t>CER del centro di Erba</t>
  </si>
  <si>
    <t>Comune di Erba</t>
  </si>
  <si>
    <t>CER Comune di Lurago D'Erba</t>
  </si>
  <si>
    <t>Comune di Lurago D'Erba</t>
  </si>
  <si>
    <t>CER Comune di Plesio</t>
  </si>
  <si>
    <t>Comune di Plesio</t>
  </si>
  <si>
    <t>CER Comune di Verano Brianza</t>
  </si>
  <si>
    <t>Comune di Verano Brianza</t>
  </si>
  <si>
    <t>CER di Carate Brianza</t>
  </si>
  <si>
    <t>Comune di Carate Brianza</t>
  </si>
  <si>
    <t>CER Comune di Lissone</t>
  </si>
  <si>
    <t>Comune di Lissone</t>
  </si>
  <si>
    <t>CER Comune di Menaggio</t>
  </si>
  <si>
    <t>Comune di Menaggio</t>
  </si>
  <si>
    <t>CER Comune di Garzeno</t>
  </si>
  <si>
    <t>Comune di Garzeno</t>
  </si>
  <si>
    <t>CER Comune di San Siro</t>
  </si>
  <si>
    <t>Comune di San Siro</t>
  </si>
  <si>
    <t>CER Comune di Verdello</t>
  </si>
  <si>
    <t>Comune di Verdello</t>
  </si>
  <si>
    <t>Rinnovabili per Lurano</t>
  </si>
  <si>
    <t>Comune di Lurano</t>
  </si>
  <si>
    <t>CER Comune di Stezzano</t>
  </si>
  <si>
    <t>Comune di Stezzano</t>
  </si>
  <si>
    <t>eC-MVB (e-Community Media Valle Brembana)</t>
  </si>
  <si>
    <t>Comune di San Giovanni Bianco</t>
  </si>
  <si>
    <t>CER Comune di Zogno</t>
  </si>
  <si>
    <t>Comune di Zogno</t>
  </si>
  <si>
    <t>CER Comune di San Pellegrino Terme</t>
  </si>
  <si>
    <t>Comune di San Pellegrino Terme</t>
  </si>
  <si>
    <t>CER Comune di Bergamo - Clic</t>
  </si>
  <si>
    <t>Comune di Bergamo</t>
  </si>
  <si>
    <t>CER Comune di Spirano</t>
  </si>
  <si>
    <t>Comune di Spirano</t>
  </si>
  <si>
    <t>CER Comune di Lenna</t>
  </si>
  <si>
    <t>Comune di Lenna</t>
  </si>
  <si>
    <t>CER Comune di Dossena</t>
  </si>
  <si>
    <t>Comune di Dossena</t>
  </si>
  <si>
    <t>CER di Codogno</t>
  </si>
  <si>
    <t>Comune di Codogno</t>
  </si>
  <si>
    <t>Comunità Energetica Barianese</t>
  </si>
  <si>
    <t>Comune di Bariano</t>
  </si>
  <si>
    <t>CER Comune di Torre Boldone</t>
  </si>
  <si>
    <t>CER Comune di Cologno Al Serio</t>
  </si>
  <si>
    <t>Comune di Cologno Al Serio</t>
  </si>
  <si>
    <t>CER di Bracca</t>
  </si>
  <si>
    <t>Comune di Bracca</t>
  </si>
  <si>
    <t>CER Comune di Ranica</t>
  </si>
  <si>
    <t>Comune di Ranica</t>
  </si>
  <si>
    <t>CER Comune di Cislago</t>
  </si>
  <si>
    <t>Comune di Cislago</t>
  </si>
  <si>
    <t>CER Comune di Nerviano</t>
  </si>
  <si>
    <t>Comune di Nerviano</t>
  </si>
  <si>
    <t>CER Comune di Appiano Gentile</t>
  </si>
  <si>
    <t>Comune di Appiano Gentile</t>
  </si>
  <si>
    <t>CER Comune di Ronago</t>
  </si>
  <si>
    <t>Comune di Ronago</t>
  </si>
  <si>
    <t>CER di Vanzago e Pregnana</t>
  </si>
  <si>
    <t>Comune di Pregnana Milanese, Comune di Vanzago</t>
  </si>
  <si>
    <t>CER Comune di Voghera</t>
  </si>
  <si>
    <t>Comune di Voghera</t>
  </si>
  <si>
    <t>CER Comune di Saronno</t>
  </si>
  <si>
    <t>Comune di Saronno</t>
  </si>
  <si>
    <t>CER Comune di Cadorago</t>
  </si>
  <si>
    <t>Comune di Cadorago</t>
  </si>
  <si>
    <t>CER Rhaudum Lucis</t>
  </si>
  <si>
    <t>Comune di Rho</t>
  </si>
  <si>
    <t>SETTIMOCER</t>
  </si>
  <si>
    <t>Comune di Settimo Milanese</t>
  </si>
  <si>
    <t>CER Comune di Bregnano</t>
  </si>
  <si>
    <t>Comune di Bregnano</t>
  </si>
  <si>
    <t>Comunità energetica Arese Nord</t>
  </si>
  <si>
    <t>Comune di Arese</t>
  </si>
  <si>
    <t>CER Comune di Vertemate Con Minoprio</t>
  </si>
  <si>
    <t>Comune di Vertemate Con Minoprio</t>
  </si>
  <si>
    <t>CER Torre D'Isola</t>
  </si>
  <si>
    <t>Comune di Torre D'Isola</t>
  </si>
  <si>
    <t>Comunità energetica Arese</t>
  </si>
  <si>
    <t>CER Comune di Busto Garolfo</t>
  </si>
  <si>
    <t>Comune di Busto Garolfo</t>
  </si>
  <si>
    <t>Contatto diretto</t>
  </si>
  <si>
    <t>CER Comune di Cantello</t>
  </si>
  <si>
    <t>Comune di Cantello</t>
  </si>
  <si>
    <t>CERTA - Comunità Energetica Rinnovabile del Territorio Abbiatense</t>
  </si>
  <si>
    <t>Comune di Abbiategrasso</t>
  </si>
  <si>
    <t>CER Corbetta</t>
  </si>
  <si>
    <t>Comune di Corbetta</t>
  </si>
  <si>
    <t>CER Canegrate</t>
  </si>
  <si>
    <t>Comune di Canegrate</t>
  </si>
  <si>
    <t>CER Comune di Locate Varesino</t>
  </si>
  <si>
    <t>Comune di Locate Varesino</t>
  </si>
  <si>
    <t>CER Comune di Solbiate Con Cagno</t>
  </si>
  <si>
    <t>Comune di Solbiate Con Cagno</t>
  </si>
  <si>
    <t>CER Parabiago Rinnovabile e Sostenibile</t>
  </si>
  <si>
    <t>Comune di Parabiago</t>
  </si>
  <si>
    <t>CER Comune di Uggiate-Trevano</t>
  </si>
  <si>
    <t>Comune di Uggiate-Trevano</t>
  </si>
  <si>
    <t>CER Comune di Faloppio</t>
  </si>
  <si>
    <t>Comune di Faloppio</t>
  </si>
  <si>
    <t>CER Comune di Olgiate Comasco</t>
  </si>
  <si>
    <t>Comune di Olgiate Comasco</t>
  </si>
  <si>
    <t>CER Comune di Suzzara</t>
  </si>
  <si>
    <t>Comune di Suzzara</t>
  </si>
  <si>
    <t>CER solidale Mantova Ovest</t>
  </si>
  <si>
    <t>Comune di Mantova</t>
  </si>
  <si>
    <t>CER Comune di Marmirolo</t>
  </si>
  <si>
    <t>Comune di Marmirolo</t>
  </si>
  <si>
    <t>CER Comune di Pegognaga, frazione Polesine</t>
  </si>
  <si>
    <t>Comune di Pegognaga</t>
  </si>
  <si>
    <t>CER Comune di Pegognaga</t>
  </si>
  <si>
    <t>CER Comune di Moglia</t>
  </si>
  <si>
    <t>Comune di Moglia</t>
  </si>
  <si>
    <t>CER Comune di San Benedetto Po</t>
  </si>
  <si>
    <t>Comune di San Benedetto Po</t>
  </si>
  <si>
    <t>CER Comune di Quistello</t>
  </si>
  <si>
    <t>Comune di Quistello</t>
  </si>
  <si>
    <t>CER Comune di Sustinente</t>
  </si>
  <si>
    <t>Comune di Sustinente</t>
  </si>
  <si>
    <t>CER Comune di San Giovanni Del Dosso</t>
  </si>
  <si>
    <t>Comune di San Giovanni Del Dosso</t>
  </si>
  <si>
    <t>CER Comune di Serravalle A Po</t>
  </si>
  <si>
    <t>Comune di Serravalle A Po</t>
  </si>
  <si>
    <t>CER Mazzano</t>
  </si>
  <si>
    <t>Comune di Mazzano</t>
  </si>
  <si>
    <t>CER Comune di Valdisotto</t>
  </si>
  <si>
    <t>Comune di Valdisotto</t>
  </si>
  <si>
    <t>CER Nuvolera-Nuvolento</t>
  </si>
  <si>
    <t>Comune di Nuvolera, Comune di Nuvolento</t>
  </si>
  <si>
    <t>CER Comune di Odolo</t>
  </si>
  <si>
    <t>Comune di Odolo</t>
  </si>
  <si>
    <t>CER Comune di Montichiari</t>
  </si>
  <si>
    <t>Comune di Montichiari</t>
  </si>
  <si>
    <t>CER di Gavardo</t>
  </si>
  <si>
    <t>Comune di Gavardo</t>
  </si>
  <si>
    <t>Comune di Idro</t>
  </si>
  <si>
    <t>CER Alta Val Camonica</t>
  </si>
  <si>
    <t>Comune di Ponte Di Legno, Comune di Temù, Comune di Vione</t>
  </si>
  <si>
    <t>CER dei Prati Stabili</t>
  </si>
  <si>
    <t>Comune di Goito</t>
  </si>
  <si>
    <t>CER Comune di Borgosatollo</t>
  </si>
  <si>
    <t>Comune di Borgosatollo</t>
  </si>
  <si>
    <t>CER Comune di Lumezzane</t>
  </si>
  <si>
    <t>Comune di Lumezzane</t>
  </si>
  <si>
    <t>CER Comune di Lodrino</t>
  </si>
  <si>
    <t>Comune di Lodrino</t>
  </si>
  <si>
    <t>CER Comune di Irma</t>
  </si>
  <si>
    <t>Comune di Irma</t>
  </si>
  <si>
    <t>CER di Nave e di Caino</t>
  </si>
  <si>
    <t>Comune di Nave, Comune di Caino</t>
  </si>
  <si>
    <t>CER Comune di Valdidentro</t>
  </si>
  <si>
    <t>Comune di Valdidentro</t>
  </si>
  <si>
    <t>Web</t>
  </si>
  <si>
    <t>CER Comune di Isola Dovarese</t>
  </si>
  <si>
    <t>Comune di Isola Dovarese, ANPCI</t>
  </si>
  <si>
    <t>CER di Casto</t>
  </si>
  <si>
    <t>Comune di Casto</t>
  </si>
  <si>
    <t>CER di Edolo</t>
  </si>
  <si>
    <t>Comune di Edolo</t>
  </si>
  <si>
    <t>CER Niardo</t>
  </si>
  <si>
    <t>Comune di Niardo, Comune di Berzo Inferiore, Comune di Borno, Comune di Cividate Camuno</t>
  </si>
  <si>
    <t>Comuni rinnovabili</t>
  </si>
  <si>
    <t>REC Tirano-Sernio</t>
  </si>
  <si>
    <t>TCVVV S.p.A.</t>
  </si>
  <si>
    <t>CER Flero</t>
  </si>
  <si>
    <t>Comune di Flero, ANPCI</t>
  </si>
  <si>
    <t>CER Comune di Cellatica</t>
  </si>
  <si>
    <t>Comune di Cellatica</t>
  </si>
  <si>
    <t>CER Comune di Gardone Val Trompia</t>
  </si>
  <si>
    <t>Comune di Gardone Val Trompia</t>
  </si>
  <si>
    <t>CER Comune di Darfo Boario Terme</t>
  </si>
  <si>
    <t>Comune di Darfo Boario Terme</t>
  </si>
  <si>
    <t>CER Villa Carcina Nord</t>
  </si>
  <si>
    <t>Comune di Villa Carcina</t>
  </si>
  <si>
    <t>CER Villa Carcina Sud</t>
  </si>
  <si>
    <t>CER Comune di Sarezzo</t>
  </si>
  <si>
    <t>Comune di Sarezzo</t>
  </si>
  <si>
    <t>CER Comune di Marcheno</t>
  </si>
  <si>
    <t>Comune di Marcheno</t>
  </si>
  <si>
    <t>La Comunità del Sole</t>
  </si>
  <si>
    <t>Comune di Brescia</t>
  </si>
  <si>
    <t>CER Comune di Concesio</t>
  </si>
  <si>
    <t>Comune di Concesio</t>
  </si>
  <si>
    <t>CER Comune di Travagliato</t>
  </si>
  <si>
    <t>Comune di Travagliato</t>
  </si>
  <si>
    <t>CER Comune di Vilminore Di Scalve</t>
  </si>
  <si>
    <t>Comune di Vilminore Di Scalve</t>
  </si>
  <si>
    <t>CER di Torbole Casaglia</t>
  </si>
  <si>
    <t>Comune di Torbole Casaglia</t>
  </si>
  <si>
    <t>CER Comune di Polaveno - ACO01E01426</t>
  </si>
  <si>
    <t>Comune di Polaveno</t>
  </si>
  <si>
    <t>CER Comune di Polaveno - ACO01E01424</t>
  </si>
  <si>
    <t>CER Comune di Brione</t>
  </si>
  <si>
    <t>Comune di Brione</t>
  </si>
  <si>
    <t>CER di Angolo-Gianico-Piancogno – ANgoli di + Gusti sviluppi</t>
  </si>
  <si>
    <t>Comune di Angolo Terme, Comune di Gianico, Comune di Piancogno</t>
  </si>
  <si>
    <t>CER Roncadelle</t>
  </si>
  <si>
    <t>Comune di Roncadelle</t>
  </si>
  <si>
    <t>CER Bassa Valle Camonica</t>
  </si>
  <si>
    <t>Comune di Pian Camuno, Comune di Artogne, Comune di Pisogne</t>
  </si>
  <si>
    <t>CER Comune di Valgoglio</t>
  </si>
  <si>
    <t>Comune di Valgoglio</t>
  </si>
  <si>
    <t>CER Comune di Sesto Ed Uniti</t>
  </si>
  <si>
    <t>Comune di Sesto Ed Uniti</t>
  </si>
  <si>
    <t>CER Comune di Villa D'Ogna</t>
  </si>
  <si>
    <t>Comune di Villa D'Ogna</t>
  </si>
  <si>
    <t>CER Comune di Villachiara</t>
  </si>
  <si>
    <t>Comune di Villachiara</t>
  </si>
  <si>
    <t>CER Comune di Clusone</t>
  </si>
  <si>
    <t>Comune di Clusone</t>
  </si>
  <si>
    <t>CER di Endine Gaiano</t>
  </si>
  <si>
    <t>Comune di Endine Gaiano</t>
  </si>
  <si>
    <t>CER Altopiano della Presolana</t>
  </si>
  <si>
    <t>Comune di Cerete, Comune di Fino del Monte, Comune di Onore, Comune di Rovetta, Comune di Songavazzo</t>
  </si>
  <si>
    <t>CER Comune di Rovato - ACO01E01368</t>
  </si>
  <si>
    <t>Comune di Rovato</t>
  </si>
  <si>
    <t>CER Comune di Rovato - ACO01E01369</t>
  </si>
  <si>
    <t>CER di Sovere</t>
  </si>
  <si>
    <t>Comune di Sovere</t>
  </si>
  <si>
    <t>CER Comune di Costa Di Mezzate</t>
  </si>
  <si>
    <t>Comune di Costa Di Mezzate</t>
  </si>
  <si>
    <t>CER Comune di Calcinate</t>
  </si>
  <si>
    <t>Comune di Calcinate</t>
  </si>
  <si>
    <t>CER Comune di Fontanella</t>
  </si>
  <si>
    <t>Comune di Fontanella</t>
  </si>
  <si>
    <t>CER Comune di San Paolo D'Argon</t>
  </si>
  <si>
    <t>Comune di San Paolo D'Argon</t>
  </si>
  <si>
    <t>CER Comune di Bolgare</t>
  </si>
  <si>
    <t>Comune di Bolgare</t>
  </si>
  <si>
    <t>CER Comune di Oneta</t>
  </si>
  <si>
    <t>Comune di Oneta</t>
  </si>
  <si>
    <t>Gorlago 4 Green</t>
  </si>
  <si>
    <t>Comune di Gorlago</t>
  </si>
  <si>
    <t>CER Comune di Cividate Al Piano</t>
  </si>
  <si>
    <t>Comune di Cividate Al Piano</t>
  </si>
  <si>
    <t>CER Comune di Palosco</t>
  </si>
  <si>
    <t>Comune di Palosco</t>
  </si>
  <si>
    <t>CER Comune di Trescore Balneario</t>
  </si>
  <si>
    <t>Comune di Trescore Balneario</t>
  </si>
  <si>
    <t>CER Comune di Colzate</t>
  </si>
  <si>
    <t>Comune di Colzate</t>
  </si>
  <si>
    <t>CER Comune di Casnigo</t>
  </si>
  <si>
    <t>Comune di Casnigo</t>
  </si>
  <si>
    <t>CER Grumello Del Monte</t>
  </si>
  <si>
    <t>Comune di Grumello Del Monte</t>
  </si>
  <si>
    <t>CER Comune di Ponte Nossa</t>
  </si>
  <si>
    <t>Comune di Ponte Nossa</t>
  </si>
  <si>
    <t>CER Comune di Gandino</t>
  </si>
  <si>
    <t>Comune di Gandino</t>
  </si>
  <si>
    <t>CER Casazza 1</t>
  </si>
  <si>
    <t>Comune di Casazza</t>
  </si>
  <si>
    <t>CER Comune di Alzano Lombardo</t>
  </si>
  <si>
    <t>Comune di Alzano Lombardo</t>
  </si>
  <si>
    <t>CER Comune di Costa Serina</t>
  </si>
  <si>
    <t>Comune di Costa Serina</t>
  </si>
  <si>
    <t>CER Comune di Scanzorosciate</t>
  </si>
  <si>
    <t>Comune di Scanzorosciate</t>
  </si>
  <si>
    <t>CER Comune di Valleve</t>
  </si>
  <si>
    <t>Comune di Valleve</t>
  </si>
  <si>
    <t>CER Comune di Izano</t>
  </si>
  <si>
    <t>Comune di Izano</t>
  </si>
  <si>
    <t>CER Comune di Ghisalba</t>
  </si>
  <si>
    <t>Comune di Ghisalba</t>
  </si>
  <si>
    <t>CER Comune di Nembro</t>
  </si>
  <si>
    <t>Comune di Nembro</t>
  </si>
  <si>
    <t>CER Comune di Cavernago - Area Sud</t>
  </si>
  <si>
    <t>Comune di Cavernago</t>
  </si>
  <si>
    <t>CER Comune di Cavernago - Area Nord</t>
  </si>
  <si>
    <t>Comune di Albano Sant'Alessandro</t>
  </si>
  <si>
    <t>CER Comune di Pradalunga Ovest</t>
  </si>
  <si>
    <t>Comune di Pradalunga</t>
  </si>
  <si>
    <t>CER di Bagnatica</t>
  </si>
  <si>
    <t>Comune di Bagnatica</t>
  </si>
  <si>
    <t>CER Comune di Pradalunga Est</t>
  </si>
  <si>
    <t>CER Comune di Agnadello</t>
  </si>
  <si>
    <t>Comune di Agnadello</t>
  </si>
  <si>
    <t>CER Presezzo</t>
  </si>
  <si>
    <t>Comune di Presezzo</t>
  </si>
  <si>
    <t>CER Comune di Morbegno</t>
  </si>
  <si>
    <t>Comune di Morbegno</t>
  </si>
  <si>
    <t>CER di Ospedaletto Lodigiano</t>
  </si>
  <si>
    <t>Comune di Ospedaletto Lodigiano</t>
  </si>
  <si>
    <t>CER Comune di Osio Sotto</t>
  </si>
  <si>
    <t>Comune di Osio Sotto</t>
  </si>
  <si>
    <t>CER Comune di Treviglio</t>
  </si>
  <si>
    <t>Comune di Treviglio</t>
  </si>
  <si>
    <t>CER Comune di Calvenzano</t>
  </si>
  <si>
    <t>Comune di Calvenzano</t>
  </si>
  <si>
    <t>CER di Dalmine</t>
  </si>
  <si>
    <t>Comune di Dalmine</t>
  </si>
  <si>
    <t>CISENERGIE</t>
  </si>
  <si>
    <t>Comune di Ciserano</t>
  </si>
  <si>
    <t>CER Comune di Pieranica</t>
  </si>
  <si>
    <t>Comune di Pieranica</t>
  </si>
  <si>
    <t>Curno Energia per tutti</t>
  </si>
  <si>
    <t>Comune di Curno</t>
  </si>
  <si>
    <t>CER Comune di Treviolo</t>
  </si>
  <si>
    <t>Comune di Treviolo</t>
  </si>
  <si>
    <t>CER Comune di Talamona</t>
  </si>
  <si>
    <t>Comune di Talamona</t>
  </si>
  <si>
    <t>CER Comune di Almè</t>
  </si>
  <si>
    <t>Comune di Almè</t>
  </si>
  <si>
    <t>CER Comune di Verdellino</t>
  </si>
  <si>
    <t>Comune di Verdellino</t>
  </si>
  <si>
    <t>CER Comune di Castel Rozzone 2</t>
  </si>
  <si>
    <t>Comune di Castel Rozzone</t>
  </si>
  <si>
    <t>CER Comune di Castel Rozzone 1</t>
  </si>
  <si>
    <t>CER Comune di Poggio Rusco</t>
  </si>
  <si>
    <t>Comune di Poggio Rusco</t>
  </si>
  <si>
    <t>CER Comune di Borgo Mantovano - frazioni di Revere e Pieve di Coriano</t>
  </si>
  <si>
    <t>Comune di Borgo Mantovano</t>
  </si>
  <si>
    <t>CER Comune di Ostiglia</t>
  </si>
  <si>
    <t>Comune di Ostiglia</t>
  </si>
  <si>
    <t>CER Comune di Magnacavallo</t>
  </si>
  <si>
    <t>Comune di Magnacavallo</t>
  </si>
  <si>
    <t>CER Comune di Borgocarbonara</t>
  </si>
  <si>
    <t>Comune di Borgocarbonara</t>
  </si>
  <si>
    <t>CER Comune di Sermide e Felonica</t>
  </si>
  <si>
    <t>Comune di Sermide e Felonica</t>
  </si>
  <si>
    <t>Non dichiarata</t>
  </si>
  <si>
    <t>ACO01E01397</t>
  </si>
  <si>
    <t>ACO01E01364</t>
  </si>
  <si>
    <t>ACO01E01542</t>
  </si>
  <si>
    <t>ACO01E01202</t>
  </si>
  <si>
    <t>ACO01E01398</t>
  </si>
  <si>
    <t>ACO01E01386, ACO01E01398</t>
  </si>
  <si>
    <t>ACO01E01491</t>
  </si>
  <si>
    <t>ACO01E01181</t>
  </si>
  <si>
    <t>ACO01E01541</t>
  </si>
  <si>
    <t>ACO01E01465</t>
  </si>
  <si>
    <t>ACO01E01373</t>
  </si>
  <si>
    <t>ACO01E01492</t>
  </si>
  <si>
    <t>ACO01E01354</t>
  </si>
  <si>
    <t>ACO01E01177</t>
  </si>
  <si>
    <t>ACO01E01468</t>
  </si>
  <si>
    <t>ACO01E01499</t>
  </si>
  <si>
    <t>ACO01E01500</t>
  </si>
  <si>
    <t>ACO01E01372</t>
  </si>
  <si>
    <t>ACO01E01385</t>
  </si>
  <si>
    <t>ACO01E01543</t>
  </si>
  <si>
    <t>ACO01E01472</t>
  </si>
  <si>
    <t>ACO01E01387</t>
  </si>
  <si>
    <t>ACO01E01550</t>
  </si>
  <si>
    <t>ACO01E01415</t>
  </si>
  <si>
    <t>ACO01E01484</t>
  </si>
  <si>
    <t>ACO01E01472, ACO01E01479, ACO01E01482</t>
  </si>
  <si>
    <t>ACO01E01549</t>
  </si>
  <si>
    <t>ACO01E01200</t>
  </si>
  <si>
    <t>ACO01E01467</t>
  </si>
  <si>
    <t>ACO01E01493</t>
  </si>
  <si>
    <t>ACO01E01548</t>
  </si>
  <si>
    <t>ACO01E01490</t>
  </si>
  <si>
    <t>ACO01E01358</t>
  </si>
  <si>
    <t>ACO01E01417</t>
  </si>
  <si>
    <t>ACO01E01540</t>
  </si>
  <si>
    <t>ACO01E01388</t>
  </si>
  <si>
    <t>ACO01E01377</t>
  </si>
  <si>
    <t>ACO01E01207</t>
  </si>
  <si>
    <t>ACO01E01400</t>
  </si>
  <si>
    <t>ACO01E01199</t>
  </si>
  <si>
    <t>ACO01E01470</t>
  </si>
  <si>
    <t>ACO01E01476</t>
  </si>
  <si>
    <t>ACO01E01379</t>
  </si>
  <si>
    <t>ACO01E01399</t>
  </si>
  <si>
    <t>ACO01E01489</t>
  </si>
  <si>
    <t>ACO01E01483</t>
  </si>
  <si>
    <t>ACO01E01471</t>
  </si>
  <si>
    <t>ACO01E01471, ACO01E01467</t>
  </si>
  <si>
    <t>ACO01E01412</t>
  </si>
  <si>
    <t>ACO01E01386</t>
  </si>
  <si>
    <t>ACO01E01410</t>
  </si>
  <si>
    <t>ACO01E01502</t>
  </si>
  <si>
    <t>ACO01E01429</t>
  </si>
  <si>
    <t>ACO01E01506</t>
  </si>
  <si>
    <t>ACO01E01478</t>
  </si>
  <si>
    <t>ACO01E01178</t>
  </si>
  <si>
    <t>ACO01E01355</t>
  </si>
  <si>
    <t>ACO01E01408</t>
  </si>
  <si>
    <t>ACO01E01420</t>
  </si>
  <si>
    <t>ACO01E01375</t>
  </si>
  <si>
    <t>ACO01E01447</t>
  </si>
  <si>
    <t>ACO01E01456</t>
  </si>
  <si>
    <t>ACO01E01370, ACO01E01380</t>
  </si>
  <si>
    <t>ACO01E01854</t>
  </si>
  <si>
    <t>ACO01E01401</t>
  </si>
  <si>
    <t>ACO01E01370</t>
  </si>
  <si>
    <t>ACO01E01313</t>
  </si>
  <si>
    <t>ACO01E01390</t>
  </si>
  <si>
    <t>ACO01E01485</t>
  </si>
  <si>
    <t>ACO01E01190</t>
  </si>
  <si>
    <t>ACO01E01381</t>
  </si>
  <si>
    <t>ACO01E01332</t>
  </si>
  <si>
    <t>ACO01E01455</t>
  </si>
  <si>
    <t>ACO01E01211</t>
  </si>
  <si>
    <t>ACO01E01312, ACO01E01314</t>
  </si>
  <si>
    <t>ACO01E01332, ACO01E01335, ACO01E01392</t>
  </si>
  <si>
    <t>ACO01E01441</t>
  </si>
  <si>
    <t>ACO01E01229</t>
  </si>
  <si>
    <t>ACO01E01239</t>
  </si>
  <si>
    <t>ACO01E01240</t>
  </si>
  <si>
    <t>ACO01E01227</t>
  </si>
  <si>
    <t>ACO01E01226</t>
  </si>
  <si>
    <t>ACO01E01228</t>
  </si>
  <si>
    <t>ACO01E01231</t>
  </si>
  <si>
    <t>ACO06E00004</t>
  </si>
  <si>
    <t>ACO01E01523</t>
  </si>
  <si>
    <t>ACO06E00007</t>
  </si>
  <si>
    <t>ACO06E00008</t>
  </si>
  <si>
    <t>ACO01E01252</t>
  </si>
  <si>
    <t>ACO06E00003</t>
  </si>
  <si>
    <t>ACO06E00006</t>
  </si>
  <si>
    <t>ACO01E01519</t>
  </si>
  <si>
    <t>ACO01E01246</t>
  </si>
  <si>
    <t>ACO01E01365</t>
  </si>
  <si>
    <t>ACO01E01425</t>
  </si>
  <si>
    <t>ACO01E01477</t>
  </si>
  <si>
    <t>ACO01E01411</t>
  </si>
  <si>
    <t>ACO01E01524</t>
  </si>
  <si>
    <t>ACO01E01520</t>
  </si>
  <si>
    <t>ACO01E01517</t>
  </si>
  <si>
    <t>ACO01E01521</t>
  </si>
  <si>
    <t>ACO01E01404</t>
  </si>
  <si>
    <t>ACO01E01424</t>
  </si>
  <si>
    <t>ACO01E01503</t>
  </si>
  <si>
    <t>ACO06E00017</t>
  </si>
  <si>
    <t>ACO01E01367</t>
  </si>
  <si>
    <t>ACO01E01507</t>
  </si>
  <si>
    <t>ACO01E01366</t>
  </si>
  <si>
    <t>ACO01E01403</t>
  </si>
  <si>
    <t>ACO01E01497</t>
  </si>
  <si>
    <t>ACO01E01505</t>
  </si>
  <si>
    <t>ACO01E01183</t>
  </si>
  <si>
    <t>ACO01E01198</t>
  </si>
  <si>
    <t>ACO01E01504</t>
  </si>
  <si>
    <t>ACO01E01495</t>
  </si>
  <si>
    <t>ACO01E01368</t>
  </si>
  <si>
    <t>ACO01E01369</t>
  </si>
  <si>
    <t>ACO01E01423</t>
  </si>
  <si>
    <t>ACO01E01409</t>
  </si>
  <si>
    <t>ACO01E01361</t>
  </si>
  <si>
    <t>ACO01E01496</t>
  </si>
  <si>
    <t>ACO01E01405</t>
  </si>
  <si>
    <t>ACO01E01431</t>
  </si>
  <si>
    <t>ACO01E01494</t>
  </si>
  <si>
    <t>ACO01E01343</t>
  </si>
  <si>
    <t>ACO01E01418</t>
  </si>
  <si>
    <t>ACO01E01205</t>
  </si>
  <si>
    <t>ACO01E01474</t>
  </si>
  <si>
    <t>ACO01E01398, ACO01E01412</t>
  </si>
  <si>
    <t>ACO01E01363</t>
  </si>
  <si>
    <t>ACO01E01466</t>
  </si>
  <si>
    <t>ACO01E01469</t>
  </si>
  <si>
    <t>ACO01E01547</t>
  </si>
  <si>
    <t>ACO01E01481</t>
  </si>
  <si>
    <t>ACO01E00839</t>
  </si>
  <si>
    <t>Web, Contatto diretto</t>
  </si>
  <si>
    <t>CER-amica Laveno</t>
  </si>
  <si>
    <t>Cittadini</t>
  </si>
  <si>
    <t>ACO01E01463</t>
  </si>
  <si>
    <t>https://cer-amica.webnode.it/</t>
  </si>
  <si>
    <t>CER Sesto Calende</t>
  </si>
  <si>
    <t>Comune di Sesto Calende, ANPCI</t>
  </si>
  <si>
    <t>ACO01E01339</t>
  </si>
  <si>
    <t>CER Comune di Valle Lomellina</t>
  </si>
  <si>
    <t>Comune di Valle Lomellina, ANPCI</t>
  </si>
  <si>
    <t>Web, Manifestazione di interesse</t>
  </si>
  <si>
    <t>CER dei laghi</t>
  </si>
  <si>
    <t>Comune di Travedona-Monate, ANPCI</t>
  </si>
  <si>
    <t>ACO01E01453</t>
  </si>
  <si>
    <t>https://cerlaghi.pythonanywhere.com/</t>
  </si>
  <si>
    <t>CER Comune di Ternate</t>
  </si>
  <si>
    <t>Comune di Ternate, ANPCI</t>
  </si>
  <si>
    <t>ACO01E01443</t>
  </si>
  <si>
    <t>CER del Luinese</t>
  </si>
  <si>
    <t>Comune di Luino, ANPCI</t>
  </si>
  <si>
    <t>ACO01E01530</t>
  </si>
  <si>
    <t>Malpensafiere</t>
  </si>
  <si>
    <t>Camera di Commercio Varese</t>
  </si>
  <si>
    <t>Manifestazione di interesse, Web, contatto diretto</t>
  </si>
  <si>
    <t>Lozza blu e sociale</t>
  </si>
  <si>
    <t>Comune di Lozza</t>
  </si>
  <si>
    <t>ACO01E01454</t>
  </si>
  <si>
    <t>https://lozza.comunitaenergeticarinnovabile.it/</t>
  </si>
  <si>
    <t>Comunità Energetica delle Cinque Vette</t>
  </si>
  <si>
    <t>Comune di Cuasso Al Monte</t>
  </si>
  <si>
    <t>ACO01E01462</t>
  </si>
  <si>
    <t>CER Valmorea Albiolo</t>
  </si>
  <si>
    <t>Comune di Valmorea, Comune di Albiolo, ANPCI</t>
  </si>
  <si>
    <t>CER solidale del Lario ETS</t>
  </si>
  <si>
    <t>Comune di Olgiate Comasco, Comune di Appiano Gentile, Comune di Bregnano, Comune di Cadorago, Comune di Cucciago, Comune di Faloppio, Comune di Lurate Caccivio, Comune di Lambrugo</t>
  </si>
  <si>
    <t>CER Comune di Maslianico</t>
  </si>
  <si>
    <t>Comune di Maslianico, ANPCI</t>
  </si>
  <si>
    <t>ACO01E01498</t>
  </si>
  <si>
    <t>CER Comune di Cogliate</t>
  </si>
  <si>
    <t>Comune di Cogliate, ANPCI</t>
  </si>
  <si>
    <t>ACO01E01402</t>
  </si>
  <si>
    <t>CER Voltiana Brunate</t>
  </si>
  <si>
    <t>Comune di Brunate, ANPCI</t>
  </si>
  <si>
    <t>ACO01E01488</t>
  </si>
  <si>
    <t>CER.caMI Solidale</t>
  </si>
  <si>
    <t>Comune di Milano, Politecnico di Milano</t>
  </si>
  <si>
    <t>ACO12E00002, ACO12E00009, ACO12E00010, ACO12E00017</t>
  </si>
  <si>
    <t>https://cercami.info/</t>
  </si>
  <si>
    <t>ACO12E00011</t>
  </si>
  <si>
    <t>CER Edificio16</t>
  </si>
  <si>
    <t>Condominio Edificio16</t>
  </si>
  <si>
    <t>CER Comune di Albiate</t>
  </si>
  <si>
    <t>Comune di Albiate, ANPCI</t>
  </si>
  <si>
    <t>CER Comune di Viganò</t>
  </si>
  <si>
    <t>Comune di Viganò, ANPCI</t>
  </si>
  <si>
    <t>ACO01E01479</t>
  </si>
  <si>
    <t>CER Arcorese</t>
  </si>
  <si>
    <t>Comune di Arcore, ANPCI</t>
  </si>
  <si>
    <t>ACO01E01414</t>
  </si>
  <si>
    <t>CER Comune di Santa Maria Hoè</t>
  </si>
  <si>
    <t>Comune di Santa Maria Hoè, ANPCI</t>
  </si>
  <si>
    <t>CER Comune di Inverno E Monteleone</t>
  </si>
  <si>
    <t>Comune di Inverno e Monteleone, ANPCI</t>
  </si>
  <si>
    <t>ACO01E01180</t>
  </si>
  <si>
    <t>CER solidale di Lecco</t>
  </si>
  <si>
    <t>Comune di Lecco</t>
  </si>
  <si>
    <t>Associazione riconosciuta ETS</t>
  </si>
  <si>
    <t>ACO01E01500, ACO01E01501</t>
  </si>
  <si>
    <t>CER solidale di Ronco Briantino</t>
  </si>
  <si>
    <t>Comune di Ronco Briantino</t>
  </si>
  <si>
    <t>ACO01E01472, ACO01E01415</t>
  </si>
  <si>
    <t>CER Aicurziese</t>
  </si>
  <si>
    <t>Comune di Aicurzio, ANPCI</t>
  </si>
  <si>
    <t>CER Comune di Miradolo Terme</t>
  </si>
  <si>
    <t>Comune di Miradolo Terme, ANPCI</t>
  </si>
  <si>
    <t>Comunità Solare soc coop impresa sociale ETS</t>
  </si>
  <si>
    <t>Comune di Guardamiglio, Comune di Cervignano, Legambiente, Rete</t>
  </si>
  <si>
    <t>SINERGIA</t>
  </si>
  <si>
    <t>Comune di Almenno San Bartolomeo, Comune di Barzana, Comune di Bonate Sotto, Comune di Brembate di Sopra, Comune di Calusco d'Adda, Comune di Caprino Bergamasco, Comune di Carvico, Comune di Cisano Bergamasco, Comune di Mapello, Comune di Paladina, Comune di Palazzago, Comune di Ponte San Pietro, Comune di Roncola, Comune di Sotto il Monte Giovanni XXIII, Comune di Suisio, Comune di Terno d'Isola, Comune di Torre De' Busi</t>
  </si>
  <si>
    <t>https://fondazionesinergia.it/</t>
  </si>
  <si>
    <t>CER Comune di Fara Gera D'Adda</t>
  </si>
  <si>
    <t>Comune di Fara Gera D'Adda, ANPCI</t>
  </si>
  <si>
    <t>CER Capizzone Plus</t>
  </si>
  <si>
    <t>Comune di Capizzone, ANPCI</t>
  </si>
  <si>
    <t>CER Gerundo</t>
  </si>
  <si>
    <t>Comune di Dovera, Comune di Monte Cremasco, Comune di Spino d'Adda, Comune di Vaiano Cremasco, Comune di Crespiatica, Consorzio.it, Parrocchia di Vaiano Cremasco, Parrocchia di Dovera</t>
  </si>
  <si>
    <t>CER Adda-Serio</t>
  </si>
  <si>
    <t>Comune di Bagnolo Cremasco, Comune di Capergnanica, Comune di Casaletto Ceredano, Comune di Chieve, Comune di Credera Rubbiano, Comune di Ripalta Cremasca, Comune di Madignano, Comune di Moscazzano, Consorzio.it, Parrocchia di Credera</t>
  </si>
  <si>
    <t>Fondazione CER Fonte ETS</t>
  </si>
  <si>
    <t>Comune di Caravaggio, Comune di Fornovo San Giovanni, Parrocchia di Caravaggio, Parrocchia di Masano, Parrocchia di Fornovo San Giovanni, Parrocchia di Vailate, Fondazione 'Don Pidri e Don Pierino' in Caravaggio, Fondazione Asilo infantile 'Don Arturo Bietti' in Fornovo San Giovanni</t>
  </si>
  <si>
    <t>CER Comune di Casalpusterlengo</t>
  </si>
  <si>
    <t>Comune di Casalpusterlengo</t>
  </si>
  <si>
    <t>CER di Bertonico</t>
  </si>
  <si>
    <t>Comune di Bertonico</t>
  </si>
  <si>
    <t>CER Crema</t>
  </si>
  <si>
    <t>Comune di Campagnola Cremasca, Comune di Crema, Comune di Cremosano, Consorzio.it, Diocesi di Crema</t>
  </si>
  <si>
    <t>CER Palate e Fontanili</t>
  </si>
  <si>
    <t>Comune di Camisano, Comune di Capralba, Comune di Castel Gabbiano, Comune di Casaletto di Sopra, Comune di Pianengo, Comune di Ricengo, Comune di Sergnano, Comune di Vailate, Comune di Misano Gera d'Adda, Consorzio.it, Parrocchia di Capralba</t>
  </si>
  <si>
    <t>CER Oglio-Serio</t>
  </si>
  <si>
    <t>Comune di Cumignano sul Naviglio, Comune di Fiesco, Comune di Genivolta, Comune di Offanengo, Comune di Romanengo, Comune di Salvirola, Comune di Soncino, Comune di Ticengo, Consorzio.it, Parrocchia di Offanengo, Parrocchia di Fiesco</t>
  </si>
  <si>
    <t>CER Fulcheria</t>
  </si>
  <si>
    <t>Comune di Castelleone, Comune di Gombito, Comune di Montodine, Comune di Ripalta Arpina, Comune di Ripalta Guerina, Comune di Trigolo, Consorzio.it, Parrocchia di Montodine, Parrocchia di Castelleone, Parrocchia di Trigolo</t>
  </si>
  <si>
    <t>CER Valle dell'Adda</t>
  </si>
  <si>
    <t>Comune di Annicco, Comune di Casalmorano, Comune di Formigara, Comune di Pizzighettone, Consorzio.it</t>
  </si>
  <si>
    <t>CER Comune di Cappella Cantone</t>
  </si>
  <si>
    <t>Comune di Cappella Cantone, ANPCI</t>
  </si>
  <si>
    <t>ACO01E01196</t>
  </si>
  <si>
    <t>CER Comune di Pontoglio</t>
  </si>
  <si>
    <t>Comune di Pontoglio, ANPCI</t>
  </si>
  <si>
    <t>Fondazione CER Soresina – San Bassano ETS</t>
  </si>
  <si>
    <t>Comune di Soresina, Comune di San Bassano, Parrocchia di Soresina, Parrocchia di San Bassano, Fondazione Benefattori Soresinesi onlus di Soresina, Fondazione Istituto Carlo Vismara – Giovanni De Petri onlus di San Bassano</t>
  </si>
  <si>
    <t>CER Valtellina di Sondrio</t>
  </si>
  <si>
    <t>Comune di Sondrio, Comunità Montana Valtellina di Sondrio e Comuni aderenti</t>
  </si>
  <si>
    <t>ACO01E01544, ACO01E01545, ACO01E01546, ACO01E01605</t>
  </si>
  <si>
    <t>So.CER</t>
  </si>
  <si>
    <t>Provincia di Sondrio, Confartigianato Sondrio et al.</t>
  </si>
  <si>
    <t>ACO01E01546</t>
  </si>
  <si>
    <t>https://sondrio.comunitaenergeticarinnovabile.it/</t>
  </si>
  <si>
    <t>CER Comune di Palazzolo Sull'Oglio</t>
  </si>
  <si>
    <t>Comune di Palazzolo Sull'Oglio, ANPCI</t>
  </si>
  <si>
    <t>ACO01E01405, ACO01E01413</t>
  </si>
  <si>
    <t>CER Rudianese</t>
  </si>
  <si>
    <t>Comune di Rudiano, ANPCI</t>
  </si>
  <si>
    <t>ACO01E01360</t>
  </si>
  <si>
    <t>CER Comune di Parre</t>
  </si>
  <si>
    <t>Comune di Parre, ANPCI</t>
  </si>
  <si>
    <t>CER Comune di Orzinuovi</t>
  </si>
  <si>
    <t>Comune di Orzinuovi, ANPCI</t>
  </si>
  <si>
    <t>ACO01E01344, ACO01E01198</t>
  </si>
  <si>
    <t>CER Comune di Cologne</t>
  </si>
  <si>
    <t>Comune di Cologne, ANPCI</t>
  </si>
  <si>
    <t>CER Comune di Adro</t>
  </si>
  <si>
    <t>Comune di Adro, ANPCI</t>
  </si>
  <si>
    <t>ACO01E01406</t>
  </si>
  <si>
    <t>Fondazione CER solidale Elettra ETS</t>
  </si>
  <si>
    <t>Comune di Castelverde, Comune di Casalbuttano ed Uniti, Comune di Corte de’ Frati, Comune di Olmeneta, Comune di Paderno Ponchielli, Comune di Persico Dosimo, Comune di Pozzaglio ed Uniti, Parrocchia di Castelverde, Parrocchia di Casalbuttano, Parrocchia di Paderno Ponchielli, Parrocchia di Corte de’ Frati, Fondazione Opera Pia SS Redentore in Castelverde, Cooperativa Nazareth in Persico Dosimo</t>
  </si>
  <si>
    <t>ACO01E01193, ACO01E01194</t>
  </si>
  <si>
    <t>CER Comune di Orzivecchi</t>
  </si>
  <si>
    <t>Comune di Orzivecchi, ANPCI</t>
  </si>
  <si>
    <t>ACO01E01344</t>
  </si>
  <si>
    <t>CER Comune di Corte Franca</t>
  </si>
  <si>
    <t>Comune di Corte Franca, ANPCI</t>
  </si>
  <si>
    <t>CER Corzano</t>
  </si>
  <si>
    <t>Comune di Corzano, ANPCI</t>
  </si>
  <si>
    <t>CER Energia in Comune</t>
  </si>
  <si>
    <t>Comune di Cazzago San Martino, ANPCI</t>
  </si>
  <si>
    <t>ACO01E01369, ACO01E01407</t>
  </si>
  <si>
    <t>CER Comune di San Paolo</t>
  </si>
  <si>
    <t>Comune di San Paolo, ANPCI</t>
  </si>
  <si>
    <t>CER Comune di Berlingo</t>
  </si>
  <si>
    <t>Comune di Berlingo, ANPCI</t>
  </si>
  <si>
    <t>ACO01E01367, ACO01E01366</t>
  </si>
  <si>
    <t>CER Barbariga</t>
  </si>
  <si>
    <t>Comune di Barbariga, ANPCI</t>
  </si>
  <si>
    <t>ACO01E01346</t>
  </si>
  <si>
    <t>CER Comune di Passirano</t>
  </si>
  <si>
    <t>Comune di Passirano, ANPCI</t>
  </si>
  <si>
    <t>ACO01E01407</t>
  </si>
  <si>
    <t>CER Comune di Lovere</t>
  </si>
  <si>
    <t>Comune di Lovere, ANPCI</t>
  </si>
  <si>
    <t>ACO01E01497, ACO01E01495</t>
  </si>
  <si>
    <t>CER di Costa Volpino</t>
  </si>
  <si>
    <t>Comune di Costa Volpino</t>
  </si>
  <si>
    <t>CER Monticelli Brusati</t>
  </si>
  <si>
    <t>Comune di Monticelli Brusati, ANPCI</t>
  </si>
  <si>
    <t>CER Comune di Castel Mella</t>
  </si>
  <si>
    <t>Comune di Castel Mella, ANPCI</t>
  </si>
  <si>
    <t>CER Comune di Alfianello</t>
  </si>
  <si>
    <t>Comune di Alfianello, ANPCI</t>
  </si>
  <si>
    <t>ACO01E01193, ACO01E01995</t>
  </si>
  <si>
    <t>CER Comune di Gussago</t>
  </si>
  <si>
    <t>Comune di Gussago, ANPCI</t>
  </si>
  <si>
    <t>ACO01E01403, ACO01E01404</t>
  </si>
  <si>
    <t>Fondazione CER Postumia ETS</t>
  </si>
  <si>
    <t>Comune di Sospiro, Comune di Vescovato, Comune di Pieve San Giacomo, Comune di Bonemerse, Comune di Malagnino, Comune di Grontardo, Parrocchia di Sospiro, Parrocchia di Vescovato, Parrocchia di Pescarolo, Parrocchia di Pieve San Giacomo, Parrocchia di Malagnino, Fondazione Istituto Ospedaliero di Sospiro, Fondazione Esilda e Francesco Soldi in Vescovato, Fondazione Elisabetta Germani in Cingia de’ Botti, COSPER Impresa Sociale in Pieve San Giacomo</t>
  </si>
  <si>
    <t>ACO01E01175, ACO01E01192</t>
  </si>
  <si>
    <t>CER Comune di Seniga</t>
  </si>
  <si>
    <t>Comune di Seniga, ANPCI</t>
  </si>
  <si>
    <t>ACO01E01195</t>
  </si>
  <si>
    <t>CER Comune di Pavone Del Mella</t>
  </si>
  <si>
    <t>Comune di Pavone Del Mella, ANPCI</t>
  </si>
  <si>
    <t>CER Collebeatese</t>
  </si>
  <si>
    <t>Comune di Collebeato, ANPCI</t>
  </si>
  <si>
    <t>CER Comune di Pralboino</t>
  </si>
  <si>
    <t>Comune di Pralboino, ANPCI</t>
  </si>
  <si>
    <t>CER Comune di Montirone</t>
  </si>
  <si>
    <t>Comune di Montirone, ANPCI</t>
  </si>
  <si>
    <t>ACO01E01345</t>
  </si>
  <si>
    <t>CER Comune di Bovezzo</t>
  </si>
  <si>
    <t>Comune di Bovezzo, ANPCI</t>
  </si>
  <si>
    <t>ACO01E01411, ACO01E01404</t>
  </si>
  <si>
    <t>CER Comune di Ghedi</t>
  </si>
  <si>
    <t>Comune di Ghedi, ANPCI</t>
  </si>
  <si>
    <t>ACO01E01251</t>
  </si>
  <si>
    <t>CER Comune di Gambara</t>
  </si>
  <si>
    <t>Comune di Gambara, ANPCI</t>
  </si>
  <si>
    <t>ACO01E01248, ACO01E01195</t>
  </si>
  <si>
    <t>CER Comune di Castenedolo</t>
  </si>
  <si>
    <t>Comune di Castenedolo, ANPCI</t>
  </si>
  <si>
    <t>ACO01E01508</t>
  </si>
  <si>
    <t>CER Brenese</t>
  </si>
  <si>
    <t>Comune di Breno, ANPCI</t>
  </si>
  <si>
    <t>CER di Berzo Demo</t>
  </si>
  <si>
    <t>Comune di Berzo Demo, ANPCI</t>
  </si>
  <si>
    <t>ACO01E01518</t>
  </si>
  <si>
    <t>CER Monno</t>
  </si>
  <si>
    <t>Comune di Monno, ANPCI</t>
  </si>
  <si>
    <t>CER Comune di Calvisano</t>
  </si>
  <si>
    <t>Comune di Calvisano, ANPCI</t>
  </si>
  <si>
    <t>ACO01E01249, ACO01E01251</t>
  </si>
  <si>
    <t>Fondazione CER T.O.P. Energie ETS</t>
  </si>
  <si>
    <t>Comune di Gussola, Comune di Martignana Po, Comune di Piadena Drizzona, Comune di San Giovanni in Croce, Comune di Scandolara Ravara, Comune di Rivarolo Mantovano, Parrocchia di Gussola, Parrocchia di Piadena, Parrocchia di San Giovanni in Croce, Parrocchia di Scandolara Ravara, Parrocchia di Rivarolo Mantovano, Associazione Amici di Emmaus di Torre de’ Picenardi, Ospedale Aragona di San Giovanni in Croce, Fondazione Tosi Cippelletti di Rivarolo Mantovano</t>
  </si>
  <si>
    <t>ACO01E01234, ACO01E01236</t>
  </si>
  <si>
    <t>CER Comune di Cevo</t>
  </si>
  <si>
    <t>Comune di Cevo, ANPCI</t>
  </si>
  <si>
    <t>CER Vezza d'Oglio</t>
  </si>
  <si>
    <t>Comune di Vezza d'Oglio, ANPCI</t>
  </si>
  <si>
    <t>Fondazione CER Casalasco Viadanese ETS</t>
  </si>
  <si>
    <t>Comune di Viadana, Comune di Casalmaggiore, Comune di Commessaggio, Comune di Pomponesco, Parrocchia di Viadana Santa Maria Assunta in Castello, Parrocchia di Viadana San Pietro Apostolo, Parrocchia di Cicognara, Parrocchia di Casalmaggiore Santo Stefano protomartire, Parrocchia di Casalmaggiore San Leonardo di Noblac, Parrocchia di Commessaggio, Parrocchia di Pomponesco</t>
  </si>
  <si>
    <t>ACO01E01233, ACO01E01232, ACO01E01235</t>
  </si>
  <si>
    <t>CER Piubega 'Energia in Comune'</t>
  </si>
  <si>
    <t>Comune di Piubega, ANPCI</t>
  </si>
  <si>
    <t>ACO01E01237</t>
  </si>
  <si>
    <t>CER di Rodigo</t>
  </si>
  <si>
    <t>Comune di Rodigo</t>
  </si>
  <si>
    <t>CER Comune di Roverbella</t>
  </si>
  <si>
    <t>Comune di Roverbella</t>
  </si>
  <si>
    <t>GSE - Mappa cabine primarie, Web</t>
  </si>
  <si>
    <t>SOL Solari e solidali</t>
  </si>
  <si>
    <t>Fondazione Banco dell'Energia</t>
  </si>
  <si>
    <t>ACO01E01376</t>
  </si>
  <si>
    <t>https://bancodellenergia.it/sol_solari_e_solidali/</t>
  </si>
  <si>
    <t>GSE - Mappa cabine primarie, Manifestazione di interesse</t>
  </si>
  <si>
    <t>CER.BA</t>
  </si>
  <si>
    <t>Comune di Barzio</t>
  </si>
  <si>
    <t>https://barzio.comunitaenergeticarinnovabile.it/</t>
  </si>
  <si>
    <t>Comuni rinnovabili, GSE - Mappa cabine primarie</t>
  </si>
  <si>
    <t>GSE - Mappa cabine primarie</t>
  </si>
  <si>
    <t>https://sun-fai.org/</t>
  </si>
  <si>
    <t>CER Logratese</t>
  </si>
  <si>
    <t>Comune di Lograto, ANPCI</t>
  </si>
  <si>
    <t>Monticello Green Hill</t>
  </si>
  <si>
    <t>Energy Saving Management Consultants SpA</t>
  </si>
  <si>
    <t>ACO01E01473</t>
  </si>
  <si>
    <t>Registered GSE</t>
  </si>
  <si>
    <t>Terzo d'Aquileia</t>
  </si>
  <si>
    <t>San Vito al Torre</t>
  </si>
  <si>
    <t>Trivignano Udinese</t>
  </si>
  <si>
    <t>Tarvisio</t>
  </si>
  <si>
    <t>Oderzo</t>
  </si>
  <si>
    <t>Sacile</t>
  </si>
  <si>
    <t>Aviano</t>
  </si>
  <si>
    <t>Venezia</t>
  </si>
  <si>
    <t>Mira</t>
  </si>
  <si>
    <t>Santa Maria di Sala</t>
  </si>
  <si>
    <t>Albignasego</t>
  </si>
  <si>
    <t>Villafranca Padovana</t>
  </si>
  <si>
    <t>Tombolo</t>
  </si>
  <si>
    <t>Mezzano</t>
  </si>
  <si>
    <t>Bressanone - Brixen</t>
  </si>
  <si>
    <t>Campo Tures - Sand in Taufers</t>
  </si>
  <si>
    <t>Villafranca di Verona</t>
  </si>
  <si>
    <t>Parcines - Partschins</t>
  </si>
  <si>
    <t>Lograto</t>
  </si>
  <si>
    <t>Cologno al Serio</t>
  </si>
  <si>
    <t>Verdello</t>
  </si>
  <si>
    <t>Lallio</t>
  </si>
  <si>
    <t>Barzio</t>
  </si>
  <si>
    <t>Riccione</t>
  </si>
  <si>
    <t>Novi di Modena</t>
  </si>
  <si>
    <t>Peccioli</t>
  </si>
  <si>
    <t>Gossolengo</t>
  </si>
  <si>
    <t>Andora</t>
  </si>
  <si>
    <t>Fossano</t>
  </si>
  <si>
    <t>Savigliano</t>
  </si>
  <si>
    <t>Costigliole d'Asti</t>
  </si>
  <si>
    <t>Isola d'Asti</t>
  </si>
  <si>
    <t>Fossalto</t>
  </si>
  <si>
    <t>San Giacomo degli Schiavoni</t>
  </si>
  <si>
    <t>Gissi</t>
  </si>
  <si>
    <t>Gagliano Aterno</t>
  </si>
  <si>
    <t>San Benedetto del Tronto</t>
  </si>
  <si>
    <t>Monte Urano</t>
  </si>
  <si>
    <t>Torrita di Siena</t>
  </si>
  <si>
    <t>Portoferraio</t>
  </si>
  <si>
    <t>Venosa</t>
  </si>
  <si>
    <t>Nocera Superiore</t>
  </si>
  <si>
    <t>Marano di Napoli</t>
  </si>
  <si>
    <t>Somma Vesuviana</t>
  </si>
  <si>
    <t>Pomigliano d'Arco</t>
  </si>
  <si>
    <t>Castello di Cisterna</t>
  </si>
  <si>
    <t>Casamarciano</t>
  </si>
  <si>
    <t>Castelpoto</t>
  </si>
  <si>
    <t>Vitulano</t>
  </si>
  <si>
    <t>Molinara</t>
  </si>
  <si>
    <t>San Nicola da Crissa</t>
  </si>
  <si>
    <t>Tiriolo</t>
  </si>
  <si>
    <t>Miglierina</t>
  </si>
  <si>
    <t>Misterbianco</t>
  </si>
  <si>
    <t>Partinico</t>
  </si>
  <si>
    <t>Palermo</t>
  </si>
  <si>
    <t>Altavilla Milicia</t>
  </si>
  <si>
    <t>Barcellona Pozzo di Gotto</t>
  </si>
  <si>
    <t>Saponara</t>
  </si>
  <si>
    <t>Municipalitity of Tarvisio, Municipality of Premariacco</t>
  </si>
  <si>
    <t>Part-energy Benefit coop (referee and tech partner), Legacoop FVG</t>
  </si>
  <si>
    <t>https://www.gse.it/servizi-per-te/autoconsumo/mappa-interattiva-delle-cabine-primarie; https://www.legacoop.coop/legacoop-fvg-nasce-a-tarvisio-udine-la-prima-cer-idroelettrica/50/</t>
  </si>
  <si>
    <t>https://www.gse.it/servizi-per-te/autoconsumo/mappa-interattiva-delle-cabine-primarie; https://www.comune.mira.ve.it/novita/la-comunita-energetica-del-comune-di-mira/?utm_source=chatgpt.com</t>
  </si>
  <si>
    <t>Comune di Mira</t>
  </si>
  <si>
    <t>Confindustria Veneto Est</t>
  </si>
  <si>
    <t>Sernaglia della Battaglia, Pieve di Soligo</t>
  </si>
  <si>
    <t>https://www.gse.it/servizi-per-te/autoconsumo/mappa-interattiva-delle-cabine-primarie; https://www.confindustriavenest.it/stampa-e-media/comunicati-stampa/a-pieve-di-soligo-sernaglia-della-battaglia-la-prima-comunita-energetica-della-provincia-di-treviso-coordinata-da-confindustria-veneto-est?utm_source=chatgpt.com</t>
  </si>
  <si>
    <t>Plans to grow in members.</t>
  </si>
  <si>
    <t>CER Parco Industriale San Michele</t>
  </si>
  <si>
    <t>Regalgrid srl, Aperia</t>
  </si>
  <si>
    <t>2 Public (municipalities [2 consumers]), 1 NPO (business association), 2 SMEs [2 prosumers].</t>
  </si>
  <si>
    <t>1 Public (sport/complex [1 prosumer])</t>
  </si>
  <si>
    <t>Municipality of Albignasego.</t>
  </si>
  <si>
    <t>annual revenues of around €10,000 from energy sales and self-consumption, with additional savings of about €2,400 on the energy costs of the football field.</t>
  </si>
  <si>
    <t>https://www.gse.it/servizi-per-te/autoconsumo/mappa-interattiva-delle-cabine-primarie; https://comune.albignasego.pd.it/notizie/3143484/assemblea-costitutiva-creazione-comunita?utm_source=chatgpt.com</t>
  </si>
  <si>
    <t>1 Residential (villa [1 prosumer])</t>
  </si>
  <si>
    <t>120 kwh</t>
  </si>
  <si>
    <t>Plan to grow to 1 MW to meet demand of 300 families</t>
  </si>
  <si>
    <t>https://www.gse.it/servizi-per-te/autoconsumo/mappa-interattiva-delle-cabine-primarie; https://www.ilsole24ore.com/art/nel-padovano-prima-comunita-energetica-una-villa-veneta-AFZF0Z2C?</t>
  </si>
  <si>
    <t>Ambico Group</t>
  </si>
  <si>
    <t>Feltrenergy</t>
  </si>
  <si>
    <t>https://www.gse.it/servizi-per-te/autoconsumo/mappa-interattiva-delle-cabine-primarie; https://www.amicodelpopolo.it/2024/07/29/a-feltre-la-prima-comunita-energetica-rinnovabile-con-impianto-in-produzione-della-provincia-di-belluno/?utm_source=chatgpt.com&amp;doing_wp_cron=1736763575.1605110168457031250000</t>
  </si>
  <si>
    <t>Feltre, Pedavena, Seren del Grappa</t>
  </si>
  <si>
    <t>Publlic (PNRR)</t>
  </si>
  <si>
    <t>? Residential (private [prosumers]), ? SMEs</t>
  </si>
  <si>
    <t>CER Tures</t>
  </si>
  <si>
    <t>https://www.gse.it/servizi-per-te/autoconsumo/mappa-interattiva-delle-cabine-primarie; https://www.reportaziende.it/comunita_energetica_rinnovabile_tures_cooperativa_in_forma_abbreviata_cer_tures_soc_coop_bz_03209670219?</t>
  </si>
  <si>
    <t>? Residential (condominium)</t>
  </si>
  <si>
    <t>LOGRATESE</t>
  </si>
  <si>
    <t>https://www.gse.it/servizi-per-te/autoconsumo/mappa-interattiva-delle-cabine-primarie; https://www.cer-anpci.it/cer-lograto/</t>
  </si>
  <si>
    <t>https://www.gse.it/servizi-per-te/autoconsumo/mappa-interattiva-delle-cabine-primarie; https://lecconotizie.com/economia/valsassina-economia/barzio-un-passo-verso-la-cer-il-progetto-sara-finanziato-dalla-regione/?utm_source=chatgpt.com; https://barzio.comunitaenergeticarinnovabile.it/;</t>
  </si>
  <si>
    <t>2 Public (sport/complex [prosumer 30kw], town hall [prosumer 20kw])</t>
  </si>
  <si>
    <t>The proposed project provides for a total CER power of 337 kWp of which 263 kWp from public plants . To date, 54 applications have been received, with estimated economic benefits of approximately 40 thousand euros/year to be used for the benefit of the community.</t>
  </si>
  <si>
    <t>Comune di Riccione</t>
  </si>
  <si>
    <t>Polisportiva Comunale</t>
  </si>
  <si>
    <t>https://www.gse.it/servizi-per-te/autoconsumo/mappa-interattiva-delle-cabine-primarie; https://www.corriereromagna.it/riccione/riccione-la-prima-comunita-energetica-rinnovabile-BG855762?</t>
  </si>
  <si>
    <t>NOVReS</t>
  </si>
  <si>
    <t>4 SMEs, 2 NPOs (sport assoc), 1 Public (municipality)</t>
  </si>
  <si>
    <t>https://www.gse.it/servizi-per-te/autoconsumo/mappa-interattiva-delle-cabine-primarie; https://temponews.it/2024/07/25/nasce-novres-la-comunita-energetica-rinnovabile/?</t>
  </si>
  <si>
    <t>Alta Valdera</t>
  </si>
  <si>
    <t>Fondazione Peccioliper,  Belvedere Spa</t>
  </si>
  <si>
    <t>CER-a</t>
  </si>
  <si>
    <t>Confartigianato Cuneo</t>
  </si>
  <si>
    <t>Environment Park SpA,  Cuneo Chamber of Commerce</t>
  </si>
  <si>
    <t>https://www.gse.it/servizi-per-te/autoconsumo/mappa-interattiva-delle-cabine-primarie; https://cuneo.confartigianato.it/confartigianato-cuneo-a-fossano-ha-presentato-cer-a-la-sua-comunita-energetica/?utm_source=chatgpt.com; https://comunita.energetiche.eu/comunita/#cosa-e</t>
  </si>
  <si>
    <t>Marconi</t>
  </si>
  <si>
    <t>The portion of revenues deriving from the valorization of the energy fed into the grid by CER plants, through Dedicated Withdrawal or through sale to a trader on the market, will go to the respective prosumers in proportion to the energy fed into the grid by each plant;
The portion of revenues deriving from the reimbursement of charges will be divided among the end customers on the basis of the contextual consumption data made available by the GSE;
The revenues from the premium tariff of €110/MWh will be used primarily to cover costs and to create a possible cash fund, while the remainder will be divided equally between prosumers and consumers (50% and 50%). The latter will see the premium tariff share divided in proportion to the share of energy self-consumed by each, a value established on the basis of the data made available by GSE.</t>
  </si>
  <si>
    <t>11 Residential (private [11 consumers]), 4 SMEs (industrial [1 prosumer], gym [1 consumer], technical studio [1 consumer], English school [1 consumer])</t>
  </si>
  <si>
    <t>SME</t>
  </si>
  <si>
    <t>https://www.gse.it/servizi-per-te/autoconsumo/mappa-interattiva-delle-cabine-primarie; https://www.cuneo24.it/2023/07/savigliano-al-via-i-lavori-della-nuova-comunita-energetica-206958/?</t>
  </si>
  <si>
    <t>Oasi Giovani</t>
  </si>
  <si>
    <t>Fondazione Cassa di Risparmio di Cuneo, Fondazione Cassa di Risparmio di Savigliano</t>
  </si>
  <si>
    <t>Private (2 foundations)</t>
  </si>
  <si>
    <t>4 NPOs (kindergarten [1 prosumer], foundation [non-user], church [1 consumer], educational center [1 consumer])</t>
  </si>
  <si>
    <t>https://www.gse.it/servizi-per-te/autoconsumo/mappa-interattiva-delle-cabine-primarie; https://www.ansalatina.com/molise/notizie/2022/05/26/a-fossalto-comunita-energetica-con-impianto-sulla-scuola_0cf826bb-f56b-4182-af5f-7bdd5cc980c6.html?</t>
  </si>
  <si>
    <t>Gal Molise Verso il 2000</t>
  </si>
  <si>
    <t>Public (school [1 prosumer]), ? Residential [consumers], ? SMEs [consumers]</t>
  </si>
  <si>
    <t>Fossalto Energia in Rete</t>
  </si>
  <si>
    <t>Energia Prima O&amp;M (referente)</t>
  </si>
  <si>
    <t>https://www.gse.it/servizi-per-te/autoconsumo/mappa-interattiva-delle-cabine-primarie; https://www.ansa.it/molise/notizie/2023/11/28/s.giacomo-degli-schiavoni-accede-a-fondi-per-smart-city_3efd9fab-8155-4a33-bcf5-1548404a94dd.html?utm_source=chatgpt.com</t>
  </si>
  <si>
    <t>Aim at expanding to 200kw</t>
  </si>
  <si>
    <t>SunCity srl (PV developer)</t>
  </si>
  <si>
    <t>A2A, ACEA, Hera, Iren, Impresa 21, Fondazione Cariplo</t>
  </si>
  <si>
    <t>https://www.gse.it/servizi-per-te/autoconsumo/mappa-interattiva-delle-cabine-primarie;https://www.rainews.it/tgr/abruzzo/video/2022/04/comunit-energetica-da2f4cb5-cda7-4de9-9995-f8fbb342f167.html;  https://viaggi.corriere.it/green/gagliano-aterno-comunita-energetica-rinnovabile-un-documentario-racconta-la-rinascita-del-borgo-del-futuro/?utm_source=chatgpt.com</t>
  </si>
  <si>
    <t>Public (fontane [1 standalone 19,6kw])</t>
  </si>
  <si>
    <t>S.T. Energy Solutions</t>
  </si>
  <si>
    <t>San Benedetto del Tronto, Acquaviva Picena</t>
  </si>
  <si>
    <t>Public (school [prosumer 39kw])</t>
  </si>
  <si>
    <t>https://www.gse.it/servizi-per-te/autoconsumo/mappa-interattiva-delle-cabine-primarie; https://www.repubblica.it/green-and-blue/2022/10/20/news/comunita_energetica_torrita_di_siena-368415296/</t>
  </si>
  <si>
    <t>Renerwave Srl</t>
  </si>
  <si>
    <t>Elba Est Ovest</t>
  </si>
  <si>
    <t>Federalberghi Confcommercio Elba-Faita</t>
  </si>
  <si>
    <t>Confesercenti, Province of Livorno, Comune di Portoferraio</t>
  </si>
  <si>
    <t>https://www.gse.it/servizi-per-te/autoconsumo/mappa-interattiva-delle-cabine-primarie; https://www.quinewselba.it/isola-d-elba-elba-due-comunita-energetiche-allelba.htm; https://www.lg.camcom.it/sites/default/files/contenuto_redazione/TRANSIZIONE%20ENERGETICA/FORMAZIONE/NOVEMBRE%20CER%202024/CER%20Elba_07-11-2024_pdfa.pdf</t>
  </si>
  <si>
    <t>Le Associazioni e le Amministrazioni pubbliche  saranno inquadrate come soggetti PARTNER e veicoleranno le iscrizioni dei loro associati e dei cittadini alla CER, ricevendo in cambio:- 4% dell’incentivo generato dagli iscritti da loro veicolati (quota che verrà presa dalla quota destinata al fornitore del servizio di gestione, quindi senza intaccare la quota destinata a produttori/consumatori/sociale;- possibilità di partecipare al processo decisionale per la spesa della quota di incentivo destinata a fini sociali.</t>
  </si>
  <si>
    <t>Private (members, NPO donation)</t>
  </si>
  <si>
    <t>Venosa Sud</t>
  </si>
  <si>
    <t>average annual benefits are expected equal to about 1000 euros for each associated company and about 200 euros for each associated family</t>
  </si>
  <si>
    <t>https://caniolagala.it/cer/; https://www.gse.it/servizi-per-te/autoconsumo/mappa-interattiva-delle-cabine-primarie; https://www.basilicata24.it/2024/10/a-venosa-e-operativa-una-comunita-energetica-approvata-dal-gse-142339/?</t>
  </si>
  <si>
    <t>Comune di Pomigliano d'Arco</t>
  </si>
  <si>
    <t>https://www.gse.it/servizi-per-te/autoconsumo/mappa-interattiva-delle-cabine-primarie; https://www.ansa.it/campania/notizie/comune_pomigliano_d_arco/2024/11/22/a-pomigliano-darco-nasce-la-comunita-energetica-rinnovabile_03bece07-9485-4764-8ded-ddecbe553782.html</t>
  </si>
  <si>
    <t>Comune di Castelpoto</t>
  </si>
  <si>
    <t>Municipality of Vitulano</t>
  </si>
  <si>
    <t>1 Pubic [prosumer], 1 NPO (kindergarten [1 consumer]), 1 SME (office [1 consumer])</t>
  </si>
  <si>
    <t>Fusion Srl</t>
  </si>
  <si>
    <t>https://www.ansa.it/campania/notizie/2021/07/19/sindaco-vitulanonasce-prima-comunita-energetica-rinnovabile_1b24d657-f340-4c26-a52e-42a5bd94f9b7.html; https://fusion-cer.it/progetti/; https://www.gse.it/servizi-per-te/autoconsumo/mappa-interattiva-delle-cabine-primarie</t>
  </si>
  <si>
    <t>Comune di Molinara</t>
  </si>
  <si>
    <t>Pro-loco of Molinara, Attilio Emanuele Foundation</t>
  </si>
  <si>
    <t>? Public (town hall [prosumer 10,1 kw], kindergarten [prosumer 10,1kw])</t>
  </si>
  <si>
    <t>https://www.gse.it/servizi-per-te/autoconsumo/mappa-interattiva-delle-cabine-primarie; https://www.ntr24.tv/2023/07/17/molinara-ha-la-sua-comunita-energetica-rinnovabile-il-19-luglio-la-presentazione/?utm_source=chatgpt.com</t>
  </si>
  <si>
    <t>Private (bank loans), Public (PNRR)</t>
  </si>
  <si>
    <t>Legambiente Calabria</t>
  </si>
  <si>
    <t>Private (bank loan), Tax deduction (superbonus), collateral from Municipality</t>
  </si>
  <si>
    <t>Banca Cooperativo della Calabria Ulteriore, 3E environment energy economy srl</t>
  </si>
  <si>
    <t>Energy poverty oriented. There are plans to install additional photovoltaic systems on five other municipal buildings, potentially increasing the community's membership to around 85 members and the total installed capacity to 180 kW. 40% of the revenues will be divided equally among the families for 20 years.</t>
  </si>
  <si>
    <t>4 Public (school [1 prosumer 66,8kw], others [3 consumers]), 30 Residential (public [30 consumers])</t>
  </si>
  <si>
    <t>Legambiente 2022 report; https://www.comunirinnovabili.it/comunita-energetica-rinnovabile-e-solidale-critaro/; https://www.corrieredellacalabria.it/2023/01/15/a-san-nicola-da-crissa-una-delle-prime-comunita-energetiche-solidali-ditalia/?; https://www.gse.it/servizi-per-te/autoconsumo/mappa-interattiva-delle-cabine-primarie</t>
  </si>
  <si>
    <t>Critaro</t>
  </si>
  <si>
    <t>Comune di Tiriolo</t>
  </si>
  <si>
    <t>University of Calabria</t>
  </si>
  <si>
    <t>https://www.corrieredellacalabria.it/2021/06/02/a-tiriolo-le-prime-comunita-energetiche-della-calabria/?; https://www.gse.it/servizi-per-te/autoconsumo/mappa-interattiva-delle-cabine-primarie</t>
  </si>
  <si>
    <t>Private (EU project)</t>
  </si>
  <si>
    <t>https://www.rinnovabili.it/mercato/politiche-e-normativa/transizione-ecologica-miglierina/?; https://www.gse.it/servizi-per-te/autoconsumo/mappa-interattiva-delle-cabine-primarie</t>
  </si>
  <si>
    <t>Partanna</t>
  </si>
  <si>
    <t>The municipalities admitted to the incentives will be able to obtain from the Department of Energy an advance equal to 40 percent of the total contribution and the Regional Administration will accompany the local bodies in the various phases of the process until the definitive constitution of the communities.</t>
  </si>
  <si>
    <t>https://www.gse.it/servizi-per-te/autoconsumo/mappa-interattiva-delle-cabine-primarie; https://www.blogsicilia.it/palermo/regione-comuni-transizione-ecologica-comunita-energetiche-elenco/784265/</t>
  </si>
  <si>
    <t>Palermo Est</t>
  </si>
  <si>
    <t>University of Palermo</t>
  </si>
  <si>
    <t>https://www.cerpalermoest.com/</t>
  </si>
  <si>
    <t>https://www.gse.it/servizi-per-te/autoconsumo/mappa-interattiva-delle-cabine-primarie; https://www.comune.palermo.it/palermo-informa-dettaglio.php?id=37494&amp;tp=1#</t>
  </si>
  <si>
    <t>PV, e-charging</t>
  </si>
  <si>
    <t>Public (industrial site [standalone 1000kw])</t>
  </si>
  <si>
    <t>? Public (police [prosumer 10kw])</t>
  </si>
  <si>
    <t>AMG Energia</t>
  </si>
  <si>
    <t>Municipality of Palermo</t>
  </si>
  <si>
    <t>Zen 2 Carabinieri Station</t>
  </si>
  <si>
    <t>BROLO_1R</t>
  </si>
  <si>
    <t>Brolo, Gioiosa Marea, Piraino, Sant'Angelo di Brolo, Ficarra, Sinagra</t>
  </si>
  <si>
    <t>https://www.gse.it/servizi-per-te/autoconsumo/mappa-interattiva-delle-cabine-primarie; https://www.nebrodi24.it/2022/10/07/brolo-finanziata-la-costituzione-di-una-comunita-di-energie-rinnovabili-e-solidali/; https://www.facebook.com/gammeriphoto/posts/e-nata-brolo_1rla-prima-comunit%C3%A0-di-energia-rinnovabile-brolese-cere%CC%80-unassociaz/1052654150194692/</t>
  </si>
  <si>
    <t>GreenBarCer</t>
  </si>
  <si>
    <t>https://www.gse.it/servizi-per-te/autoconsumo/mappa-interattiva-delle-cabine-primarie; https://www.greenbarcer.it/?fbclid=IwY2xjawH1tphleHRuA2FlbQIxMAABHa9SP7DUyCvOtel2e_5Daac80rmXqxIQCc2vEk-x6vtr8St0U8o3l7Sk7A_aem_2VPRaaIZcEb7jUfSf6lX6Q; https://www.facebook.com/GreenBarCer/</t>
  </si>
  <si>
    <t>Comune di Saponara</t>
  </si>
  <si>
    <t>https://www.gse.it/servizi-per-te/autoconsumo/mappa-interattiva-delle-cabine-primarie; https://98zero.com/1522097-saponara-comunita-energetiche-rinnovabili-spunti-di-riflessione-in-aula-consiliare</t>
  </si>
  <si>
    <t>PV, BESS, e-vehicle</t>
  </si>
  <si>
    <t>PV, BESS, e-vehicles</t>
  </si>
  <si>
    <t>PV, BESS, biogas</t>
  </si>
  <si>
    <t>Enostra, Fondazione Cariplo,  CAST ONG/NPO, Rete per il Clima del Verbano</t>
  </si>
  <si>
    <t>https://www.enostra.it/nasce-la-cer-dei-cittadini-di-laveno-mombello/; https://cer-amica.webnode.it/; https://www.varesenoi.it/2024/02/06/leggi-notizia/argomenti/territorio/articolo/e-nata-cer-amica-la-comunita-energetica-di-laveno-mombello.html</t>
  </si>
  <si>
    <t>15 Residential (private [5 prosumers, 10 consumers])</t>
  </si>
  <si>
    <t>injecting approximately 20 MWh per year and sharing 16 MWh per year .</t>
  </si>
  <si>
    <t xml:space="preserve"> the owners of the plants will collect the revenues deriving from the sale of energy, while the GSE incentives will be collected and reinvested in community projects . </t>
  </si>
  <si>
    <t xml:space="preserve"> Sesto Calende</t>
  </si>
  <si>
    <t>Valle Lomellina</t>
  </si>
  <si>
    <t>Comune di Ternate</t>
  </si>
  <si>
    <t>Public (kindergarten [prosumer], canteen [prosumer], sport/complex [prosumer], town hall [prosumer])</t>
  </si>
  <si>
    <t>https://www.verbanonews.it/aree-geografiche/lago-maggiore/2024/10/01/nasce-la-comunita-energetica-rinnovabile-di-sesto-calende/989973/?utm_source=chatgpt.com</t>
  </si>
  <si>
    <t>Comune di Sesto Calende</t>
  </si>
  <si>
    <t>ANPCI</t>
  </si>
  <si>
    <t>ANPCI, Local Action Group (GAL) Risorsa Lomellina</t>
  </si>
  <si>
    <t>https://www.cer-anpci.it/wp-content/uploads/2024/02/OkValle-Lomellina_2023_CER-Studio-di-Fattibilita_Comune-di-Valle-Lomellina_-.pdf?</t>
  </si>
  <si>
    <t>Energia immessa kwh: 990.000; Energia condivisa kwh: 594.000; Produzione kwh:  1.980.000; Kw autoconsumati: 990.000;</t>
  </si>
  <si>
    <t>PV, biogas, biomass</t>
  </si>
  <si>
    <t>Quota su reddito dichiarato dai residenti: 5,34%. Recupero investimento in anni: 4,60</t>
  </si>
  <si>
    <t>300 Residential, 30 SMEs, 5 Public</t>
  </si>
  <si>
    <t>Ternate</t>
  </si>
  <si>
    <t>Lozza</t>
  </si>
  <si>
    <t>378 Residential, 44 SMEs, 2 Public</t>
  </si>
  <si>
    <t>PV, 18 e-charging</t>
  </si>
  <si>
    <t>https://www.cer-anpci.it/cer-ternate/?; https://www.cer-anpci.it/wp-content/uploads/2024/02/Ternate_2023_CER-Studio-di-Fattibilita.pdf?</t>
  </si>
  <si>
    <t>Energia immessa kwh: 1.265.000 Energia condivisa kwh: 759.000. Of the 1.265 GWh fed into the grid, we estimate a share of energy shared by the other CER members of approximately 60-70%. The overall production at full capacity will be over 2.53 GWh. an average direct saving of €0.25 per kWh, for a total of €316,250. Produzione kwh:  2.530.000. Kw autoconsumati: 1.265.000.</t>
  </si>
  <si>
    <t>Recupero investimento in anni: 4,60; Quota su reddito dichiarato dai residenti: 4,24%. In the future biomas and biogas are considered. After covering management costs, estimated at 9.4% of the incentive tariff, the remaining profits are distributed among members based on the community's regulations. The CER's regulations include provisions to enhance the shares of members facing energy poverty or other vulnerabilities.  There will be no dominant members within the community; any reductions in dominant members' shares will be redistributed to support vulnerable participants. Through a mathematical algorithm, with self-regulating parameters, the quota of the incentive fee due will be defined for each member on an annual basis.  After deducting management costs, which will certainly be less than 10%, all revenues will be distributed directly to the members based on three parameters that will be collected through reading the members' PODs:
• installed power
• energy fed into the grid after direct self-consumption
• energy purchased from the grid.</t>
  </si>
  <si>
    <t>Savings from self-consumption</t>
  </si>
  <si>
    <t>MalpensaFiere</t>
  </si>
  <si>
    <t>Promovarese Srl, Comune di Busto Arsizio</t>
  </si>
  <si>
    <t>Busto Arsizio</t>
  </si>
  <si>
    <t>2 Public (chamber of commerce/exhibition center [prosumer 1000kw], elderly center [consumer]), 14 SMEs (offices [7 consumers], commercial/restaurant,hotel [2 consumers], sport/complex [1 consumer], other [1 consumer], industrial [3 consumers]), Residential (1 condominium [600 consumers]), 4 NPOs (offices [4 consumers])</t>
  </si>
  <si>
    <t>https://www.unioncamere.gov.it/sistema-camerale/news-dal-sistema-camerale/varese-costituita-la-comunita-energetica-rinnovabile-di-malpensafiere?; https://www.pv-magazine.it/2023/04/03/nasce-la-comunita-energetica-di-malpensafiere/?</t>
  </si>
  <si>
    <t>the surplus paid by the Gse (Energy Services Manager) will be entirely allocated to the third sector , with the aim of supporting local associations that work for the community</t>
  </si>
  <si>
    <t>Church of Lozza, Weproject srl</t>
  </si>
  <si>
    <t>2 Public (town halls [1 prosumer, 1 standalone], kindergarten [1 prosumer]), 1 NPO (church [consumer])</t>
  </si>
  <si>
    <t>https://lozza.comunitaenergeticarinnovabile.it/; https://www.malpensa24.it/terzo-settore-lozza-cer/?; https://www.varesenews.it/2024/10/a-lozza-nasce-la-comunita-energetica-dara-forza-al-terzo-settore/2061666/?</t>
  </si>
  <si>
    <t>Cuasso al Monte, Arcisate, Besano, Bisuschio, Clivio, Cuasso al Monte, Porto Ceresio, Saltrio, Viggiù</t>
  </si>
  <si>
    <t>Province of Varese, University of Florence, Banca Cooperativa di Busto Garolfo e Buguggiate</t>
  </si>
  <si>
    <t>Private (bank loan), Public (PNRR)</t>
  </si>
  <si>
    <t>https://www.bccbanca1897.it/news/dettaglio_news_div.asp?hNewsID=177713&amp;i_menuID=65403&amp;utm_source=chatgpt.com; https://www.luinonotizie.it/2024/09/24/valceresio-nasce-la-comunita-energetica-delle-5-vette/492620?utm_source=chatgpt.com#google_vignette; https://www.greenplanner.it/2024/11/28/comunita-energetiche-finanziamento-100-percento-spese/?</t>
  </si>
  <si>
    <t>Valmorea, Albiolo</t>
  </si>
  <si>
    <t>Comune di Valmorea, Comune di Albiolo</t>
  </si>
  <si>
    <t>1 Public, 1 NPO</t>
  </si>
  <si>
    <t>https://www.energialombardia.eu/cer/monitoraggio</t>
  </si>
  <si>
    <t>Municipality of Olgiate Comasco</t>
  </si>
  <si>
    <t>Ecofficine cooperative</t>
  </si>
  <si>
    <t>https://www.elettricarogeno.it/comunita-energetica-rinnovabile-cers-del-lario/?; https://www.ciaocomo.it/2024/12/06/nasce-la-cers-del-lario-ets-la-comunita-energetica-di-11-comuni-e-4-imprese/291876/?utm_source=chatgpt.com</t>
  </si>
  <si>
    <t>Maslianico</t>
  </si>
  <si>
    <t>Cogliate</t>
  </si>
  <si>
    <t>Brunate</t>
  </si>
  <si>
    <t>Albiate</t>
  </si>
  <si>
    <t>Kwp da installare: 3000. Prod. kwh/kwp: 1.100. Energia immessa kwh: 1.650.000 Energia condivisa kwh: 990.000. Produzione kwh: 3.300.000. Kw autoconsumati: 1.650.000</t>
  </si>
  <si>
    <t>Recupero investimento in anni:4,60 Quota su reddito dichiarato dai residenti: 5,97%</t>
  </si>
  <si>
    <t>Comune di Maslianico</t>
  </si>
  <si>
    <t>1151 Residential, 94 SMEs, 8 Public</t>
  </si>
  <si>
    <t>505 Residential, 42 SMEs, 3 Public</t>
  </si>
  <si>
    <t>PV, 16 e-charging</t>
  </si>
  <si>
    <t>https://www.cer-anpci.it/wp-content/uploads/2024/01/Cogliate_2023_CER-Studio-di-Fattibilita.pdf</t>
  </si>
  <si>
    <t>Comune di Cogliate</t>
  </si>
  <si>
    <t>Kwp da installare: Produzione kwh: 6.900 7.590.000 Prod. kwh/kwp: 1100. Energia immessa kwh: 3.795.000 Energia condivisa kwh: 2.277.000. Produzione kwh: 6.900 7.590.000. Kw autoconsumati: 3.795.000</t>
  </si>
  <si>
    <t>Quota su reddito dichiarato dai residenti: 3,82%. After deducting management costs, which will certainly be less than 10%, all revenues will be distributed directly to the members based on three parameters that will be collected through reading the members' PODs:
• installed power
• energy fed into the grid after direct self-consumption
• energy purchased from the grid
Through a mathematical algorithm, with self-regulating parameters, the quota of the incentive fee due will be defined for each member on an annual basis.</t>
  </si>
  <si>
    <t>Comune di Albiate</t>
  </si>
  <si>
    <t>Comune di Brunate</t>
  </si>
  <si>
    <t>ANPCI, Pastoral Community
of the Holy Apostles</t>
  </si>
  <si>
    <t>Brunate, Como, Blevio, Torno, Faggeto</t>
  </si>
  <si>
    <t>Arcore</t>
  </si>
  <si>
    <t>Santa Maria Hoè</t>
  </si>
  <si>
    <t>Politecnico di Milano, Enostra, Abitare Società Cooperativa,Cooperativa Diapason, Associazione Terzo Paesaggio</t>
  </si>
  <si>
    <t>https://cercami.info/; https://www.polimi.it/il-politecnico/news/dettaglio-news/un-ets-per-la-realizzazione-e-gestione-delle-cers?</t>
  </si>
  <si>
    <t>2 Public (university [prosumer], municipality), ? Residential, 3 NPOs</t>
  </si>
  <si>
    <t>The PV installation is expected to produce approximately 475 MWh annually</t>
  </si>
  <si>
    <t>SME (business center/offices [prosumer 400kw])</t>
  </si>
  <si>
    <t>GreenFlex spa</t>
  </si>
  <si>
    <t>Bicocca (former CER Edificio16)</t>
  </si>
  <si>
    <t>https://www.greenflex.com/it/progetti/referenze/impianto-fotovoltaico-chiavi-in-mano-edificio16/; https://www.pv-magazine.it/2024/04/17/a-milano-sta-per-nascere-la-comunita-energetica-bicocca/; https://www.infobuildenergia.it/edificio16-milano-bicocca-fotovoltaico/</t>
  </si>
  <si>
    <t>Kwp da installare:  5.400; Prod. kwh/kwp: : 1.100; Produzione kwh: 5.940.000; Kw autoconsumati: 2.970.000; Energia immessa kwh: 2.970.000 Energia condivisa kwh: 1.782.000</t>
  </si>
  <si>
    <t>Recupero investimento in anni: 4,60; Quota su reddito dichiarato dai residenti: 3,69%</t>
  </si>
  <si>
    <t>https://www.cer-anpci.it/wp-content/uploads/2024/01/Albiate_2023_CER-Studio-di-Fattibilita.pdf</t>
  </si>
  <si>
    <t>Vigano</t>
  </si>
  <si>
    <t>305 Residential, 35 SMEs, 1 Public</t>
  </si>
  <si>
    <t>Stima fabbisogno totale kwh: 10.215.400; Prod. kwh/kwp: 1100; Kwp da installare  1.800; Produzione kwh: 1.980.000; Kw autoconsumati: 990.000; Energia immessa kwh: 990.000 Energia condivisa kwh: 594.000</t>
  </si>
  <si>
    <t>After covering management costs, estimated at 9.4% of the incentive tariff, the remaining profits are distributed among members based on parameters outlined in the community's regulations. Quota su reddito dichiarato dai residenti: 3,41%</t>
  </si>
  <si>
    <t>Comune di Arcore</t>
  </si>
  <si>
    <t>2682 Residential, 336 SMEs, 17 Public</t>
  </si>
  <si>
    <t>Kwp da installare: 16.000; Prod. kwh/kwp: 1.100; Produzione kwh: 17.600.000; Energia immessa kwh: 8.800.000 Energia condivisa kwh: 5.280.000; Kw autoconsumati: 8.800.000</t>
  </si>
  <si>
    <t>Quota su reddito dichiarato dai residenti: 3,69%</t>
  </si>
  <si>
    <t>https://www.cer-anpci.it/wp-content/uploads/2024/01/Arcore_2023_CER-Studio-di-Fattibilita_Comune-di-Arcore_-.pdf</t>
  </si>
  <si>
    <t>https://www.cer-anpci.it/wp-content/uploads/2024/01/ModificatoVigano_2023_CER-Studio-di-Fattibilita_Comune-di-Vigano_-.pdf</t>
  </si>
  <si>
    <t>Comune di Miradolo Terme</t>
  </si>
  <si>
    <t>Comune di Santa Maria Hoè</t>
  </si>
  <si>
    <t>260 Residential, 40 SMEs, 3 Public</t>
  </si>
  <si>
    <t>https://www.cer-anpci.it/wp-content/uploads/2024/02/Santa-Maria-Hoe_2023_CER-Studio-di-Fattibilita.pdf</t>
  </si>
  <si>
    <t xml:space="preserve">Kwp da installare: 1.800; Prod. kwh/kwp: 1.100; Produzione kwh: 1.980.000; Kw autoconsumati: 990.000; Energia immessa kwh: 990.000 Energia condivisa kwh: 594.000; </t>
  </si>
  <si>
    <t>Quota su reddito dichiarato dai residenti: 3,81%</t>
  </si>
  <si>
    <t>Inverno, Monteleone</t>
  </si>
  <si>
    <t>https://www.cer-anpci.it/wp-content/uploads/2024/02/Inverno-E-Monteleone_2023_CER-Studio-di-Fattibilita.pdf</t>
  </si>
  <si>
    <t>212 residential, 16 SMEs, 1 Public</t>
  </si>
  <si>
    <t>Kwp da installare: 1.300; Prod. kwh/kwp:  1.100; Produzione kwh: 1.430.000; Kw autoconsumati: 715.000; Energia immessa kwh: 715.000; Energia condivisa kwh: 429.000;</t>
  </si>
  <si>
    <t>Quota su reddito dichiarato dai residenti: 4,53%</t>
  </si>
  <si>
    <t>Ronco Briantino</t>
  </si>
  <si>
    <t>Miradolo Terme</t>
  </si>
  <si>
    <t>6000 total revenue</t>
  </si>
  <si>
    <t>Fondazione Cariplo, Comune di Ronco Briantino; La Rosa Blu social cooperative , an A+B type enterprise, Confcooperative Milano and Navigli, Cooperativa impresa sociale Insula Net, cooperative social Demo Energia of Cantù</t>
  </si>
  <si>
    <t>Futuro in Comune</t>
  </si>
  <si>
    <t>Private (foundation, members)</t>
  </si>
  <si>
    <t>https://www.instagram.com/insula_net/p/DEnW1eCKWQt/?img_index=1; https://www.lombardia.confcooperative.it/Dettaglio/ArtMID/523/ArticleID/4932/Parte-la-CER-di-Ronco-Briantino?utm_source=chatgpt.com</t>
  </si>
  <si>
    <t>5 NPOs (office [1 prosumer]), 1 Public</t>
  </si>
  <si>
    <t>Comune di Aicurzio</t>
  </si>
  <si>
    <t>AICURZIO</t>
  </si>
  <si>
    <t>Kwp da installare:  1.900; Prod. kwh/kwp: 1.100; Energia immessa kwh: 1.045.000 Energia condivisa kwh: 627.000; Produzione kwh: 2.090.000; Kw autoconsumati: 1.045.000</t>
  </si>
  <si>
    <t>https://www.cer-anpci.it/wp-content/uploads/2024/01/Aicurzio_2023_CER-Studio-di-Fattibilita.pdf</t>
  </si>
  <si>
    <t>Quota su reddito dichiarato dai residenti: 3,85%</t>
  </si>
  <si>
    <t>PV, 15 e-charging</t>
  </si>
  <si>
    <t>300 Residential, 30 SMEs, 1 NPO (church)</t>
  </si>
  <si>
    <t>550 Residential, 52 SMEs, 3 Public</t>
  </si>
  <si>
    <t>https://www.cer-anpci.it/wp-content/uploads/2024/02/OkMiradolo-Terme_2023_CER-Studio-di-Fattibilita_Comune-di-Miradolo-Terme_-.pdf</t>
  </si>
  <si>
    <t>Kwp da installare:  3.000; Prod. kwh/kwp: 1.100; Energia immessa kwh: 1.650.000 Energia condivisa kwh: 990.000; Produzione kwh:  3.300.000; Kw autoconsumati: 1.650.000</t>
  </si>
  <si>
    <t>Quota su reddito dichiarato dai residenti: 4,15%</t>
  </si>
  <si>
    <t>Comune di Guardamiglio, Comune di Cervignano</t>
  </si>
  <si>
    <t>Legambiente, Rete, Umanità Lodigiana NPO, Fondazione Cariplo</t>
  </si>
  <si>
    <t>https://www.coopsolare.it/progetti/scuola-di-cervignano-d%E2%80%99adda; https://www.legambientelodi.it/aderire-alla-cers-comunita-solare-lodi-e-piacenza/?</t>
  </si>
  <si>
    <t>production of another 90 MWh of energy</t>
  </si>
  <si>
    <t>Guardamiglio, Cervignano d'Adda, Pellicano of Monte Oliveto</t>
  </si>
  <si>
    <t>Public (PNRR), Private (foundation, members)</t>
  </si>
  <si>
    <t>Payback 10 years. Running equity and loan crowdfunding</t>
  </si>
  <si>
    <t>? Public (school [1 prosumer 100kw], other [1 prosumer 60kw]), 100 Residential, ? SMEs, ? NPOs</t>
  </si>
  <si>
    <t>Fara Gera D'Adda</t>
  </si>
  <si>
    <t>1130 Residential, 108 SMEs, 7 Public</t>
  </si>
  <si>
    <t>Comune di Fara Gera D'Adda</t>
  </si>
  <si>
    <t>Kwp da installare: 6.800; Prod. kwh/kwp: 1.100; Kw autoconsumati: 3.740.000; Produzione kwh: 7.480.000; Energia immessa kwh: 3.740.000 Energia condivisa kwh: 2.244.000;</t>
  </si>
  <si>
    <t>Quota su reddito dichiarato dai residenti: 4,13%</t>
  </si>
  <si>
    <t>https://www.cer-anpci.it/wp-content/uploads/2024/01/Fara-Gera-DAdda_2023_CER-Studio-di-Fattibilita.pdf?</t>
  </si>
  <si>
    <t>Comune di Capizzone</t>
  </si>
  <si>
    <t>117 Residential, 16 SMEs, 1 Public</t>
  </si>
  <si>
    <t>Capizzone</t>
  </si>
  <si>
    <t>Kwp da installare: 1.100; Prod. kwh/kwp: 1.100; Produzione kwh: 1.210.000; Energia immessa kwh: 605.000 Energia condivisa kwh: 363.000; Kw autoconsumati: 605.000</t>
  </si>
  <si>
    <t>https://www.cer-anpci.it/wp-content/uploads/2024/01/Capizzone_2023_CER-Studio-di-Fattibilita.pdf</t>
  </si>
  <si>
    <t>Dovera
Monte Cremasco
Spino d’Adda
Vaiano Cremasco
Crespiatica</t>
  </si>
  <si>
    <t>5 Public, 2 NPOs (churches)</t>
  </si>
  <si>
    <t>https://www.consorzioit.net/CER-11dic?</t>
  </si>
  <si>
    <t>Comune di Dovera, Comune di Monte Cremasco, Comune di Spino d'Adda, Comune di Vaiano Cremasco, Comune di Crespiatica, Parrocchia di Vaiano Cremasco, Parrocchia di Dovera</t>
  </si>
  <si>
    <t xml:space="preserve"> Consorzio.it</t>
  </si>
  <si>
    <t>Private (members), Public (PNRR)</t>
  </si>
  <si>
    <t>Comune di Bagnolo Cremasco, Comune di Capergnanica, Comune di Casaletto Ceredano, Comune di Chieve, Comune di Credera Rubbiano, Comune di Ripalta Cremasca, Comune di Madignano, Comune di Moscazzano, Parrocchia di Credera</t>
  </si>
  <si>
    <t xml:space="preserve">Consorzio.it, </t>
  </si>
  <si>
    <t>Consorzio.it</t>
  </si>
  <si>
    <t>Bagnolo Cremasco
Capergnanica
Casaletto Ceredano
Chieve
Credera Rubbiano
Ripalta Cremasca
Madignano
Moscazzano</t>
  </si>
  <si>
    <t>8 Public, 1 NPO (church)</t>
  </si>
  <si>
    <t>All the expenses of the acts and the legal contribution required for the recognition of the Associations (1 5,000 euros of initial endowment ) were paid by Consorzio.it on behalf of all the founding members.</t>
  </si>
  <si>
    <t>https://www.cremaonline.it/politica/28-11-2024_Costituite+le+prime+due+Cer+del+territorio%3A+Fulcheria+e+Adda+Serio</t>
  </si>
  <si>
    <t>Diocesi di Cremona</t>
  </si>
  <si>
    <t>Caravaggio, Misano di Gera d'Adda</t>
  </si>
  <si>
    <t>2 Public, 6 NPOs (4 churches, 1 coop., 1 foundation)</t>
  </si>
  <si>
    <t>https://www.qualenergia.it/articoli/crescono-cer-promosse-terzo-settore-enti-locali-quando-ci-sono-risorse/?</t>
  </si>
  <si>
    <t>Casalpusterlengo</t>
  </si>
  <si>
    <t>5 Public (town hall [1 prosumer], schools [2 prosumers], educationa center [1prosumer], warehouse [1 prosumer] ), 1 Residential (public [1 prosumer])</t>
  </si>
  <si>
    <t>https://www.ilcittadino.it/stories/basso_lodigiano/a-casale-nasce-seconda-comunita-energetica-del-lodigiano-servira-250-famiglie-o_85975_96/?; https://www.sorgenia.it/content/approvato-il-progetto-la-comunita-energetica-di-casalpusterlengo?</t>
  </si>
  <si>
    <t>Comune di Crema, Diocesi di Crema</t>
  </si>
  <si>
    <t>Crema, Campagnola Cremasca, Cremosano</t>
  </si>
  <si>
    <t>https://www.cremaonline.it/politica/12-12-2024_Consorzio.+Costituite+le+Comunit%C3%A0+energetiche+Gerundo+e+Crema+</t>
  </si>
  <si>
    <t>https://www.cremaonline.it/politica/06-12-2024_Consorzio.+Costitute+le+Cer+Oglio+Serio+e+Palate+Fontanili</t>
  </si>
  <si>
    <t>Camisano
Capralba
Castel Gabbiano
Casaletto di Sopra
Pianengo
Ricengo
Sergnano
Vailate
Misano Gera d’Adda</t>
  </si>
  <si>
    <t>9 Public, 1 NPO (church)</t>
  </si>
  <si>
    <t>Municipaities, Diocesi di Crema</t>
  </si>
  <si>
    <t>Cumignano sul Naviglio
Fiesco
Genivolta
Offanengo
Romanengo
Salvirola
Soncino
Ticengo</t>
  </si>
  <si>
    <t>Municipalities, Diocese di Crema</t>
  </si>
  <si>
    <t>8 Public (municipalities), 2 NPOs (churches)</t>
  </si>
  <si>
    <t>https://www.cremaonline.it/politica/06-12-2024_Consorzio.%2BCostitute%2Ble%2BCer%2BOglio%2BSerio%2Be%2BPalate%2BFontanili/?</t>
  </si>
  <si>
    <t>Castelleone
Gombito
Montodine
Ripalta Arpina
Ripalta Guerina
Trigolo</t>
  </si>
  <si>
    <t>6 Public (municipalities), 3 NPOs (churches)</t>
  </si>
  <si>
    <t>Fulcheria</t>
  </si>
  <si>
    <t>Palate e Fontanili</t>
  </si>
  <si>
    <t>Oglio-Serio</t>
  </si>
  <si>
    <t>Adda-Serio</t>
  </si>
  <si>
    <t>https://www.consorzioit.net/CER-realta?</t>
  </si>
  <si>
    <t>Private (members), Public (PNRR, region)</t>
  </si>
  <si>
    <t>Annicco
Casalmorano
Formigara
Pizzighettone</t>
  </si>
  <si>
    <t>Municipalities</t>
  </si>
  <si>
    <t>https://www.consorzioit.net/valle_dadda?</t>
  </si>
  <si>
    <t>4 Public (municipalities)</t>
  </si>
  <si>
    <t>Cappella Cantone</t>
  </si>
  <si>
    <t>Comune di Pontoglio</t>
  </si>
  <si>
    <t>Comune di Cappella Cantone</t>
  </si>
  <si>
    <t>73 Residential, 14 SMEs, 1 Public</t>
  </si>
  <si>
    <t>https://www.cer-anpci.it/wp-content/uploads/2024/01/Cappella-Cantone_2023_CER-Studio-di-Fattibilita.pdf?</t>
  </si>
  <si>
    <t>Kwp da installare: 500; Prod. kwh/kwp:1.100; Produzione kwh: 550.000; Kw autoconsumati: 275.000; Energia immessa kwh: 275.000 Energia condivisa kwh: 165.000;</t>
  </si>
  <si>
    <t>Quota su reddito dichiarato dai residenti: 5,20%</t>
  </si>
  <si>
    <t>Pontoglio</t>
  </si>
  <si>
    <t>Sondrio</t>
  </si>
  <si>
    <t>Soresina
San Bassano</t>
  </si>
  <si>
    <t>2 Public (municipalities), 4 NPOs (2 churches, 2 foundations)</t>
  </si>
  <si>
    <t>https://www.diocesidicremona.it/tra-soresina-e-san-bassano-prende-avvio-la-sesta-comunita-energetica-rinnovabile-06-12-2024.html?</t>
  </si>
  <si>
    <t>Energy poverty focus</t>
  </si>
  <si>
    <t>Castione
Lanzada
Sondrio
Tresenda</t>
  </si>
  <si>
    <t>Comune di Sondrio,Province of Sondrio, Comunità Montana Valtellina di Sondrio</t>
  </si>
  <si>
    <t>6 Public (4 municipalities, 1 province, 1 other)</t>
  </si>
  <si>
    <t>PV, hydro (in future), biomass (in future)</t>
  </si>
  <si>
    <t>https://www.cmsondrio.it/cmvtnsdr/po/mostra_news.php?area=H&amp;id=238&amp;utm_source=chatgpt.com; https://www.energialombardia.eu/cer/monitoraggio</t>
  </si>
  <si>
    <t>Rudiano</t>
  </si>
  <si>
    <t>Parre</t>
  </si>
  <si>
    <t>Confartigianato Sondrio</t>
  </si>
  <si>
    <t>1 Public (province [non-user], school [prosumer]), 2 NPOs (associations), 3 SMEs (industrial)</t>
  </si>
  <si>
    <t>Weproject, Provincia di Sondrio, Banca Popolare di Sondrio</t>
  </si>
  <si>
    <t>Palazzolo sull'Oglio</t>
  </si>
  <si>
    <t>Comune di Palazzolo Sull'Oglio</t>
  </si>
  <si>
    <t>Kwp da installare: 16.900; Prod. kwh/kwp: 1.100; Produzione kwh: 18.590.000; Energia immessa kwh: 9.295.000 Energia condivisa kwh: 5.577.000; Kw autoconsumati: 9.295.000</t>
  </si>
  <si>
    <t>Quota su reddito dichiarato dai residenti: 4,37%</t>
  </si>
  <si>
    <t>2500 Residential, 500 SMEs, 25 Public</t>
  </si>
  <si>
    <t>https://www.cer-anpci.it/wp-content/uploads/2024/02/Palazzolo-SullOglio_2023_CER-Studio-di-Fattibilita.pdf?; https://primabrescia.it/cronaca/e-nata-ufficialmente-la-comunita-energetica-rinnovabile-a-palazzolo/?utm_source=chatgpt.com</t>
  </si>
  <si>
    <t>700 Residential, 70 SMEs, others</t>
  </si>
  <si>
    <t>Comune di Rudiano</t>
  </si>
  <si>
    <t>https://www.cer-anpci.it/wp-content/uploads/2024/01/Rudiano_2023_CER-Studio-di-Fattibilita.pdf; https://comune.rudiano.bs.it/documenti/2091220/comunita-energia-rinnovabile-rudianese-serata</t>
  </si>
  <si>
    <t>Kwp da installare: 4.300; Prod. kwh/kwp: 1.100; Produzione kwh: 4.730.000; Energia immessa kwh: 2.365.000 Energia condivisa kwh: 1.419.000; Kw autoconsumati: 2.365.000</t>
  </si>
  <si>
    <t>Quota su reddito dichiarato dai residenti: 4,85%</t>
  </si>
  <si>
    <t>Comune di Parre</t>
  </si>
  <si>
    <t>387 Residential, 34 SMEs, 2 Public</t>
  </si>
  <si>
    <t>https://www.cer-anpci.it/wp-content/uploads/2024/02/Parre_2023_CER-Studio-di-Fattibilita.pdf</t>
  </si>
  <si>
    <t>Kwp da installare: 2.300; Prod. kwh/kwp:  1.100; Produzione kwh: 2.530.000; Kw autoconsumati: 1.265.000; Energia immessa kwh: 1.265.000 Energia condivisa kwh: 759.000</t>
  </si>
  <si>
    <t>Quota su reddito dichiarato dai residenti: 4,51%</t>
  </si>
  <si>
    <t>Comune di Orzinuovi</t>
  </si>
  <si>
    <t>Orzinuovi</t>
  </si>
  <si>
    <t>Cologne</t>
  </si>
  <si>
    <t>Adro</t>
  </si>
  <si>
    <t>1712 Residential</t>
  </si>
  <si>
    <t xml:space="preserve">Kwp da installare:  10.300; Prod. kwh/kwp: 1.100; Produzione kwh: 11.330.000; Kw autoconsumati: 5.665.000; Energia immessa kwh: 5.665.000 Energia condivisa kwh: 3.399.000; </t>
  </si>
  <si>
    <t>Quota su reddito dichiarato dai residenti: 4,26%</t>
  </si>
  <si>
    <t>https://www.cer-anpci.it/wp-content/uploads/2024/02/Orzinuovi_2023_CER-Studio-di-Fattibilita_Comune-di-Orzinuovi_-.pdf?; https://fondazione.cogeme.net/wp-content/uploads/2023/05/20230519_GIORNALEPAESEMIO.IT_A_Orzinuovi_nasce_la_Comunit_energetica.pdf?</t>
  </si>
  <si>
    <t>Comune di Cologne</t>
  </si>
  <si>
    <t>Public (kindergarden [prosumer 26kw])</t>
  </si>
  <si>
    <t>https://primabrescia.it/cronaca/energia-pulita-e-rinnovabile-a-chilometro-zero-a-cologne-nasce-la-cer/?</t>
  </si>
  <si>
    <t>Orzivecchi</t>
  </si>
  <si>
    <t>Comune di Adro</t>
  </si>
  <si>
    <t>970 Residential, 120 SMEs, 4 NPOs</t>
  </si>
  <si>
    <t>Kwp da installare:  5.800; Prod. kwh/kwp: 1.100; Produzione kwh: 6.380.000; Kw autoconsumati: 3.190.000; Energia immessa kwh: 3.190.000 Energia condivisa kwh: 1.914.000</t>
  </si>
  <si>
    <t>https://www.cer-anpci.it/wp-content/uploads/2024/01/Adro_2023_CER-Studio-di-Fattibilita.pdf</t>
  </si>
  <si>
    <t>Quota su reddito dichiarato dai residenti: 4,18%</t>
  </si>
  <si>
    <t>Castelverde
Casalbuttano ed Uniti
Olmeneta
Paderno Ponchielli
Corte de’ Frati
Persico Dosimo
Pozzaglio ed Uniti</t>
  </si>
  <si>
    <t>7 Public (municipalities), 6 NPOs (4 churches, 1 foundation, 1 coop)</t>
  </si>
  <si>
    <t>Diocese di Cremona</t>
  </si>
  <si>
    <t>https://www.diocesidicremona.it/comunita-energetiche-rinnovabili-la-rete-si-allarga-altre-tre-fondazioni-cer-costituite-sul-territorio-09-11-2024.html?</t>
  </si>
  <si>
    <t>Comune di Orzivecchi</t>
  </si>
  <si>
    <t>Corzano</t>
  </si>
  <si>
    <t>Berlingo</t>
  </si>
  <si>
    <t>Barbariga</t>
  </si>
  <si>
    <t>Passirano</t>
  </si>
  <si>
    <t>https://www.cer-anpci.it/wp-content/uploads/2024/02/Orzivecchi_2023_CER-Studio-di-Fattibilita_Comune-di-Orzivecchi_-.pdf</t>
  </si>
  <si>
    <t>Kwp da installare: 2.000; Prod. kwh/kwp: 1.100; Produzione kwh: 2.200.000; Kw autoconsumati: 1.100.000; Energia immessa kwh: 1.100.000 Energia condivisa kwh: 660.000</t>
  </si>
  <si>
    <t>Quota su reddito dichiarato dai residenti: 4,96%</t>
  </si>
  <si>
    <t>Comune di Corte Franca</t>
  </si>
  <si>
    <t>985 Residential</t>
  </si>
  <si>
    <t>Corte Franca</t>
  </si>
  <si>
    <t>San Paolo</t>
  </si>
  <si>
    <t>Comune di Berlingo</t>
  </si>
  <si>
    <t>Comune di Passirano</t>
  </si>
  <si>
    <t>PV, biomass, biogas, 20 e-charging</t>
  </si>
  <si>
    <t>https://www.cer-anpci.it/wp-content/uploads/2024/01/Corte-Franca_2023_CER-Studio-di-Fattibilita.pdf</t>
  </si>
  <si>
    <t>Kwp da installare:  5.900; Prod. kwh/kwp:  1.100; Produzione kwh: 6.490.000; Kw autoconsumati: 3.245.000; Energia immessa kwh: 3.245.000 Energia condivisa kwh: 1.947.000</t>
  </si>
  <si>
    <t>Quota su reddito dichiarato dai residenti: 4,05%</t>
  </si>
  <si>
    <t>189 Residential, 19 SMEs, 1 Public</t>
  </si>
  <si>
    <t>https://www.cer-anpci.it/wp-content/uploads/2024/01/Corzano_2023_CER-Studio-di-Fattibilita_Comune-di-Corzano_-.pdf</t>
  </si>
  <si>
    <t>Kwp da installare:  1.100; Prod. kwh/kwp:  1.100; Produzione kwh: 1.210.000; Kw autoconsumati: 605.000; Energia immessa kwh: 605.000 Energia condivisa kwh: 363.000</t>
  </si>
  <si>
    <t>Quota su reddito dichiarato dai residenti: 4,28%</t>
  </si>
  <si>
    <t>Comune di Cazzago San Martino</t>
  </si>
  <si>
    <t>https://www.cer-anpci.it/wp-content/uploads/2024/01/DEfCazzago-San-Martino_2023_CER-Studio-di-Fattibilita_Comune-di-Cazzago-San-Martino_-.pdf</t>
  </si>
  <si>
    <t>Cazzago San Martino</t>
  </si>
  <si>
    <t>Quota su reddito dichiarato dai residenti: 4,31%</t>
  </si>
  <si>
    <t>Kwp da installare:  8.800; Prod. kwh/kwp: 1.100; Produzione kwh: 9.680.000; Kw autoconsumati: 4.840.000; Energia immessa kwh: 4.840.000 Energia condivisa kwh: 2.904.000</t>
  </si>
  <si>
    <t>Comune di San Paolo</t>
  </si>
  <si>
    <t>Comune di Lovere</t>
  </si>
  <si>
    <t>Costa Volpino</t>
  </si>
  <si>
    <t>Monticelli Brusati</t>
  </si>
  <si>
    <t>Castel Mella</t>
  </si>
  <si>
    <t>580 Residential, 60 SMEs, 4 Publc</t>
  </si>
  <si>
    <t>https://www.cer-anpci.it/wp-content/uploads/2024/02/San-Paolo_2023_CER-Studio-di-Fattibilita-1.pdf</t>
  </si>
  <si>
    <t>Kwp da installare: 3.500; Prod. kwh/kwp: 1.100; Produzione kwh: 3.850.000; Kw autoconsumati: 1.925.000; Energia immessa kwh: 1.925.000 Energia condivisa kwh: 1.155.000</t>
  </si>
  <si>
    <t>Quota su reddito dichiarato dai residenti: 4,87%</t>
  </si>
  <si>
    <t>Lovere</t>
  </si>
  <si>
    <t>Kwp da installare: 2.200; Prod. kwh/kwp:  1.100; Produzione kwh: 2.420.000; Kw autoconsumati: 1.210.000; Energia immessa kwh: 1.210.000 Energia condivisa kwh: 726.000</t>
  </si>
  <si>
    <t>Quota su reddito dichiarato dai residenti: 4,69%</t>
  </si>
  <si>
    <t>https://www.cer-anpci.it/wp-content/uploads/2024/01/Berlingo_2023_CER-Studio-di-Fattibilita.pdf?; https://www.comune.berlingo.bs.it/content/view/full/1310</t>
  </si>
  <si>
    <t>Comune di Barbariga</t>
  </si>
  <si>
    <t>https://www.cer-anpci.it/wp-content/uploads/2024/01/Barbariga_2023_CER-Studio-di-Fattibilita.pdf</t>
  </si>
  <si>
    <t>Kwp da installare: 1.800; Prod. kwh/kwp: 1.100; Produzione kwh: 1.980.000; Kw autoconsumati: 990.000; Energia immessa kwh: 990.000 Energia condivisa kwh: 594.000</t>
  </si>
  <si>
    <t>Quota su reddito dichiarato dai residenti: 4,48%</t>
  </si>
  <si>
    <t>Alfianello</t>
  </si>
  <si>
    <t>Gussago</t>
  </si>
  <si>
    <t>1000 Residential, 144 SMEs, 6 Public</t>
  </si>
  <si>
    <t>Kwp da installare: 6.000; Prod. kwh/kwp: 1.100; Produzione kwh: 6.600.000; Kw autoconsumati: 3.300.000; Energia immessa kwh: 3.300.000 Energia condivisa kwh: 1.980.000</t>
  </si>
  <si>
    <t>Quota su reddito dichiarato dai residenti: 3,98%</t>
  </si>
  <si>
    <t>https://www.cer-anpci.it/wp-content/uploads/2024/01/Passirano_2023_CER-Studio-di-Fattibilita_Comune-di-Passirano_-.pdf; https://www.bresciaoggi.it/territorio-bresciano/sebino-franciacorta/anche-a-passirano-nasce-la-comunita-energetica-1.9921371?utm_source=chatgpt.com</t>
  </si>
  <si>
    <t>828 Residential, 115 SMEs, 5 Public</t>
  </si>
  <si>
    <t>PV, 20 e-charging</t>
  </si>
  <si>
    <t>https://www.cer-anpci.it/wp-content/uploads/2024/01/Lovere_2023_CER-Studio-di-Fattibilita.pdf</t>
  </si>
  <si>
    <t>Kwp da installare:  5.000; Prod. kwh/kwp:  1.100; Produzione kwh:  5.500.000; Kw autoconsumati: 2.750.000; Energia immessa kwh: 2.750.000 Energia condivisa kwh: 1.650.000</t>
  </si>
  <si>
    <t>Quota su reddito dichiarato dai residenti: 4,41%</t>
  </si>
  <si>
    <t>https://www.teleboario.it/notizia/5848/comunit-energetica-nascer-a-costa-volpino/</t>
  </si>
  <si>
    <t>Comune di Alfianello</t>
  </si>
  <si>
    <t>Comune di Gussago</t>
  </si>
  <si>
    <t>Comune di Monticelli Brusati</t>
  </si>
  <si>
    <t>ANPCI, Comunità Montana del Sebino Bresciano</t>
  </si>
  <si>
    <t>Comune di Castel Mella</t>
  </si>
  <si>
    <t>1541 Residential, 168 SMEs, 10 Public</t>
  </si>
  <si>
    <t>Kwp da installare:  9.200; Prod. kwh/kwp: : 1.100; Produzione kwh: 10.120.000; Kw autoconsumati: 5.060.000; Energia immessa kwh: 5.060.000 Energia condivisa kwh: 3.036.000</t>
  </si>
  <si>
    <t>https://www.cer-anpci.it/wp-content/uploads/2024/01/Castel-Mella_2023_CER-Studio-di-Fattibilita.pdf</t>
  </si>
  <si>
    <t>Quota su reddito dichiarato dai residenti: 4,21%</t>
  </si>
  <si>
    <t>319 Residential, 33 SMEs, 2 Public</t>
  </si>
  <si>
    <t>https://www.cer-anpci.it/wp-content/uploads/2024/01/Alfianello_2023_CER-Studio-di-Fattibilita.pdf</t>
  </si>
  <si>
    <t>Kwp da installare:  1.900; Prod. kwh/kwp:  1.100; Produzione kwh:  2.090.000; Kw autoconsumati: 1.045.000; Energia immessa kwh: 1.045.000 Energia condivisa kwh: 627.000</t>
  </si>
  <si>
    <t>Quota su reddito dichiarato dai residenti: 4,20%</t>
  </si>
  <si>
    <t>2338 Residential, 328 SMEs, 16 Public</t>
  </si>
  <si>
    <t>PV, 30 e-charging</t>
  </si>
  <si>
    <t>Kwp da installare: 15.000; Prod. kwh/kwp: 1.100; Produzione kwh: 16.500.000; Kw autoconsumati: 8.250.000; Energia immessa kwh: 8.250.000 Energia condivisa kwh: 4.950.000</t>
  </si>
  <si>
    <t>https://www.cer-anpci.it/wp-content/uploads/2024/02/Gussago_2023_CER-Studio-di-Fattibilita.pdf; https://www.gussagonews.it/comune-gussago-punta-creazione-comunita-energetica-febbraio-2023/</t>
  </si>
  <si>
    <t>Sospiro, Vescovato, Pieve San Giacomo, Bonemerse, Malagnino, Grontardo</t>
  </si>
  <si>
    <t>6 Public (municipalities), 9 NPOs (5 churches, 3 foundations, 1 social enter.)</t>
  </si>
  <si>
    <t>Municipalities, Fondazione Cariplo</t>
  </si>
  <si>
    <t>https://www.diocesidicremona.it/comunita-energetiche-rinnovabili-la-rete-si-allarga-altre-tre-fondazioni-cer-costituite-sul-territorio-09-11-2024.html; https://www.qualenergia.it/articoli/crescono-cer-promosse-terzo-settore-enti-locali-quando-ci-sono-risorse/</t>
  </si>
  <si>
    <t>Doicese di Cremona</t>
  </si>
  <si>
    <t>Private (foundation), Public (PNRR)</t>
  </si>
  <si>
    <t>Comune di Seniga</t>
  </si>
  <si>
    <t>209 Residential, 17 SMEs, 2 Public</t>
  </si>
  <si>
    <t>Seniga</t>
  </si>
  <si>
    <t>https://www.cer-anpci.it/wp-content/uploads/2024/02/Seniga_2023_CER-Studio-di-Fattibilita_Comune-di-Seniga_-1-1.pdf</t>
  </si>
  <si>
    <t>Kwp da installare:  1.200; Prod. kwh/kwp: 1.100; Produzione kwh: 1.320.000; Kw autoconsumati: 660.000; Energia immessa kwh: 660.000 Energia condivisa kwh: 396.000</t>
  </si>
  <si>
    <t>Quota su reddito dichiarato dai residenti: 4,49%</t>
  </si>
  <si>
    <t>Pavone Del Mella</t>
  </si>
  <si>
    <t>367 Residential, 43 SMEs, 2 Public</t>
  </si>
  <si>
    <t>Comune di Pavone Del Mella</t>
  </si>
  <si>
    <t>PV, 10 e-charging</t>
  </si>
  <si>
    <t>https://www.cer-anpci.it/wp-content/uploads/2024/02/Pavone-Del-Mella_2023_CER-Studio-di-Fattibilita-1.pdf</t>
  </si>
  <si>
    <t>Kwp da installare: 2.200; Prod. kwh/kwp: 1.100; Produzione kwh: 2.420.000; Kw autoconsumati: 1.210.000; Energia immessa kwh: 1.210.000 Energia condivisa kwh: 726.000</t>
  </si>
  <si>
    <t>Quota su reddito dichiarato dai residenti: 4,50%</t>
  </si>
  <si>
    <t>Num of primary substations</t>
  </si>
  <si>
    <t>Collebeatese</t>
  </si>
  <si>
    <t>Pralboino</t>
  </si>
  <si>
    <t>Montirone</t>
  </si>
  <si>
    <t>Bovezzo</t>
  </si>
  <si>
    <t>Ghedi</t>
  </si>
  <si>
    <t>Gambara</t>
  </si>
  <si>
    <t>Castenedolo</t>
  </si>
  <si>
    <t>669 Residential, 90 SMEs, 4 Public</t>
  </si>
  <si>
    <t>Comune di Collebeato</t>
  </si>
  <si>
    <t>Kwp da installare: 4.000; Prod. kwh/kwp: 1.100; Produzione kwh: 4.400.000; Kw autoconsumati: 2.200.000; Energia immessa kwh: 2.200.000 Energia condivisa kwh: 1.320.000</t>
  </si>
  <si>
    <t>https://www.cer-anpci.it/wp-content/uploads/2024/01/Collebeato_2023_CER-Studio-di-Fattibilita_Comune-di-Collebeato_.pdf</t>
  </si>
  <si>
    <t>Quota su reddito dichiarato dai residenti: 3,41%</t>
  </si>
  <si>
    <t>Comune di Pralboino</t>
  </si>
  <si>
    <t>389 Residential, 36 SMEs, 2 Public</t>
  </si>
  <si>
    <t>https://www.cer-anpci.it/wp-content/uploads/2024/02/Pralboino_2023_CER-Studio-di-Fattibilita-2.pdf</t>
  </si>
  <si>
    <t>Kwp da installare:  2.300; Prod. kwh/kwp: 1.100; Produzione kwh: 2.530.000; Kw autoconsumati: 1.265.000; Energia immessa kwh: 1.265.000 Energia condivisa kwh: 759.000</t>
  </si>
  <si>
    <t>Quota su reddito dichiarato dai residenti: 4,60%</t>
  </si>
  <si>
    <t>Comune di Montirone</t>
  </si>
  <si>
    <t>703 Residential, 85 SMEs, 5 Public</t>
  </si>
  <si>
    <t>https://www.cer-anpci.it/wp-content/uploads/2024/02/Montirone_2023_CER-Studio-di-Fattibilita.pdf</t>
  </si>
  <si>
    <t>Quota su reddito dichiarato dai residenti: 4,66%</t>
  </si>
  <si>
    <t>Kwp da installare:  4.200; Prod. kwh/kwp:  1.100; Produzione kwh: 4.620.000; Kw autoconsumati: 2.310.000; Energia immessa kwh: 2.310.000 Energia condivisa kwh: 1.386.000</t>
  </si>
  <si>
    <t>Comune di Bovezzo</t>
  </si>
  <si>
    <t>1122 Residentials, 120 SMEs, 7 Public</t>
  </si>
  <si>
    <t>https://www.cer-anpci.it/wp-content/uploads/2024/01/Bovezzo_2023_CER-Studio-di-Fattibilita.pdf</t>
  </si>
  <si>
    <t>Quota su reddito dichiarato dai residenti: 4,06%</t>
  </si>
  <si>
    <t>Kwp da installare: 6.700; Prod. kwh/kwp:  1.100; Produzione kwh: 7.370.000; Kw autoconsumati: 3.685.000; Energia immessa kwh: 3.685.000 Energia condivisa kwh: 2.211.000</t>
  </si>
  <si>
    <t>Comune di Ghedi</t>
  </si>
  <si>
    <t>2445 Residential, 278 SMEs, 18 Public</t>
  </si>
  <si>
    <t>https://www.cer-anpci.it/wp-content/uploads/2024/02/Ghedi_2023_CER-Studio-di-Fattibilita_Comune-di-Ghedi_.pdf</t>
  </si>
  <si>
    <t>Kwp da installare:  14.700; Prod. kwh/kwp:  1.100; Produzione kwh:  16.170.000; Kw autoconsumati: 8.085.000; Energia immessa kwh: 8.085.000 Energia condivisa kwh: 4.851.000</t>
  </si>
  <si>
    <t>Comune di Gambara</t>
  </si>
  <si>
    <t>https://www.cer-anpci.it/wp-content/uploads/2024/01/Gambara_2023_CER-Studio-di-Fattibilita.pdf</t>
  </si>
  <si>
    <t>Kwp da installare:  3.700; Prod. kwh/kwp:  1.100; Produzione kwh: 4.070.000; Kw autoconsumati: 2.035.000; Energia immessa kwh: 2.035.000 Energia condivisa kwh: 1.221.000</t>
  </si>
  <si>
    <t>Comune di Castenedolo</t>
  </si>
  <si>
    <t>1608 Residential, 226 SMEs, 11 Public</t>
  </si>
  <si>
    <t>PV, 26 e-charging</t>
  </si>
  <si>
    <t>https://www.cer-anpci.it/wp-content/uploads/2024/01/DefCastenedolo_2023_CER-Studio-di-Fattibilita_Comune-di-Castenedolo_-7.pdf</t>
  </si>
  <si>
    <t>Costo installazione kwp: 1.200,00; Recupero investimento in anni: 6,90; Quota su reddito dichiarato dai residenti: 7,87%</t>
  </si>
  <si>
    <t>Kwp da installare: 12.121; Prod. kwh/kwp:  1.100; Produzione kwh: 13.333.100; Kw autoconsumati: 6.666.550; Energia immessa kwh: 6.666.550 Energia condivisa kwh: 3.999.930</t>
  </si>
  <si>
    <t>Comune di Breno</t>
  </si>
  <si>
    <t>Breno</t>
  </si>
  <si>
    <t>800 Residential, 150 SMEs, 10 Public</t>
  </si>
  <si>
    <t>https://www.cer-anpci.it/wp-content/uploads/2024/01/Breno_2023_CER-Studio-di-Fattibilita_Comune-di-Breno.pdf</t>
  </si>
  <si>
    <t>Quota su reddito dichiarato dai residenti: 4,97%</t>
  </si>
  <si>
    <t>Kwp da installare:  4.800; Prod. kwh/kwp: 1.100; Produzione kwh: 5.280.000; Kw autoconsumati: 2.640.000; Energia immessa kwh: 2.640.000 Energia condivisa kwh: 1.584.000</t>
  </si>
  <si>
    <t>Berzo Demo</t>
  </si>
  <si>
    <t>Comune di Calvisano</t>
  </si>
  <si>
    <t>Comune di Berzo Demo</t>
  </si>
  <si>
    <t>241 Residential, 23 SMEs, 1 Public</t>
  </si>
  <si>
    <t>https://www.cer-anpci.it/wp-content/uploads/2024/01/DefBerzo-Demo_2023_CER-Studio-di-Fattibilita_Comune-di-Berzo-Demo_-.pdf</t>
  </si>
  <si>
    <t>Quota su reddito dichiarato dai residenti: 5,40%</t>
  </si>
  <si>
    <t>Stima fabbisogno totale kwh: 6.030.100; Kwp da installare: 1.400; Prod. kwh/kwp: 1.100; Produzione kwh: 1.540.000; Kw autoconsumati: 770.000; Energia immessa kwh: 770.000 Energia condivisa kwh: 462.000</t>
  </si>
  <si>
    <t>Comune di Monno</t>
  </si>
  <si>
    <t>Monno</t>
  </si>
  <si>
    <t>Calvisano</t>
  </si>
  <si>
    <t>https://www.cer-anpci.it/assemblea-pubblica-a-monno-bs/</t>
  </si>
  <si>
    <t>https://www.cer-anpci.it/wp-content/uploads/2024/01/Calvisano_2023_CER-Studio-di-Fattibilita.pdf?</t>
  </si>
  <si>
    <t>1125 Residential, 129 SMEs, 8 Public</t>
  </si>
  <si>
    <t>Kwp da installare: 6.800; Prod. kwh/kwp: 1.100; Produzione kwh: 7.480.000; Kw autoconsumati: 3.740.000; Energia immessa kwh: 3.740.000 Energia condivisa kwh: 2.244.000</t>
  </si>
  <si>
    <t>Quota su reddito dichiarato dai residenti: 4,57%</t>
  </si>
  <si>
    <t>6 Public (municipalities), 8 NPOs (5 churches, 3 other NPOs)</t>
  </si>
  <si>
    <t>https://cremonasera.it/cronaca/nasce-a-gussola-la-prima-comunit-energetica-rinnovabile-fondazione-cer-top-energie-ets-coinvolti-6-comuni-5-parrocchie-e-3-enti-del-terzo-settore-gi-pronti-altri-5-progetti; https://www.diocesidicremona.it/anche-nella-bergamasca-la-prima-comunita-energetica-rinnovabile-del-progetto-diocesano-29-11-2024.html</t>
  </si>
  <si>
    <t>Gussola, Piadena Drizzona, San Giovanni in Croce, Scandolara Ravara, Martignana Po, Rivarolo Mantovano</t>
  </si>
  <si>
    <t>Cevo</t>
  </si>
  <si>
    <t>Comune di Cevo</t>
  </si>
  <si>
    <t>149 Residential, 14 SMEs, 1 Public</t>
  </si>
  <si>
    <t>https://www.cer-anpci.it/wp-content/uploads/2024/01/Cevo_2023_CER-Studio-di-Fattibilita.pdf</t>
  </si>
  <si>
    <t>Kwp da installare:  1.000; Prod. kwh/kwp:  1.100; Produzione kwh: 1.100.000; Kw autoconsumati: 550.000; Energia immessa kwh: 550.000 Energia condivisa kwh: 330.000</t>
  </si>
  <si>
    <t>Quota su reddito dichiarato dai residenti: 6,93%</t>
  </si>
  <si>
    <t>Vezza d'Oglio</t>
  </si>
  <si>
    <t>https://www.cer-anpci.it/cer-vezza-doglio/</t>
  </si>
  <si>
    <t>Comune di Vezza d'Oglio</t>
  </si>
  <si>
    <t>https://www.diocesidicremona.it/comunita-energetiche-rinnovabili-la-rete-si-allarga-altre-tre-fondazioni-cer-costituite-sul-territorio-09-11-2024.html?utm_source=chatgpt.com</t>
  </si>
  <si>
    <t>Viadana, Casalmaggiore, Commessaggio, Pomponesco</t>
  </si>
  <si>
    <t>4 Public (municipalities), 12 NPOs (7 churches, 3 foundations, 1 coop., 1 kindergarden)</t>
  </si>
  <si>
    <t>Comune di Piubega</t>
  </si>
  <si>
    <t>Piubega</t>
  </si>
  <si>
    <t>https://www.cer-anpci.it/assemblea-pubblica-a-piubega-mn-6-novembre/</t>
  </si>
  <si>
    <t>Rodigo</t>
  </si>
  <si>
    <t>https://www.sorgenia.it/content/comunita-energetiche-rinnovabili-al-quattro-comuni-nel-mantovano</t>
  </si>
  <si>
    <t>4 Public (school [1 [prosumer], warehouses [2 prosumers], sport/complex [1 prosumer]</t>
  </si>
  <si>
    <t>Roverbella</t>
  </si>
  <si>
    <t>Comune di Lograto</t>
  </si>
  <si>
    <t>https://www.cer-anpci.it/assemblea-pubblica-cer-lograto15-aprile-2024/</t>
  </si>
  <si>
    <t>Fossa, Scoppito, San Demetrio, Poggio Picenze, Navelli, Barisciano, Civitella Casanova, Torricella Sicura, Teramo, Montereale, Civitella del Tronto</t>
  </si>
  <si>
    <t>Assergi</t>
  </si>
  <si>
    <t>? Public (car parking [1 standalone 1000kw], warehouses  [? prosumers 998kw]), 87 residential and industrial (consumers)</t>
  </si>
  <si>
    <t>https://abruzzoweb.it/comunita-energetiche-a-laquila-ecco-progetto-i-sei-impianti-e-i-risparmi-per-i-cittadini/?</t>
  </si>
  <si>
    <t>2 Public (sport/complex [1 prosumer 350kw], sport/stadium [1 prosumer 450kw])</t>
  </si>
  <si>
    <t xml:space="preserve">1 Public (car parking [1 standalone 999kw]), 9 residential and SMEs </t>
  </si>
  <si>
    <t>In perspective, there is also a project by the University of L'Aquila to create storage plants using hydrogen technology, so that energy can be used for example at night in the case of solar panels, or when necessary, for example to meet peaks in demand.</t>
  </si>
  <si>
    <t>Public (waste management company [? Prosumers 950kw])</t>
  </si>
  <si>
    <t>40% public funds, 60% private funds</t>
  </si>
  <si>
    <t>33.028.528,43</t>
  </si>
  <si>
    <t>Cascia, Cerreto di Spoleto, Sellano, Norcia, Vallo di Nera, Sant'Anatolia di Narco, Monteleone di Spoleto</t>
  </si>
  <si>
    <t>Belforte del Chienti, Caldarola, Camporotondo di Fiastrone, Cessapalombo, Colmurano, Gualgo, Loro Piceno, Monte San Martino, Penna San Giovanni, Ripe San Ginesio, San Ginesio, Sant'Angelo in Pontano, Serrapetrona .</t>
  </si>
  <si>
    <t>Public ([88 prosumers]), Residential and SMEs (130 residential [90 prosumers])</t>
  </si>
  <si>
    <t>288 Public ([288 prosumers]), 614 Residential ([302 prosumers])</t>
  </si>
  <si>
    <t>Matelica, Treia, Castignano, Apiro, Esanatoglia, Montappone, Cossignano, Montelparo, Monteleone di Fermo.</t>
  </si>
  <si>
    <t>Camerino, Muccia, Serravalle del Chienti, Castelraimondo, Gagliole</t>
  </si>
  <si>
    <t>6 Public ([29 prosumers]), 300 Residential ([124 prosumers, 176 consumers]), producer (hydro, standalone)</t>
  </si>
  <si>
    <t>PV standalone, %</t>
  </si>
  <si>
    <t>Tossicia, Teramo</t>
  </si>
  <si>
    <t>Teramo</t>
  </si>
  <si>
    <t>Buccino</t>
  </si>
  <si>
    <t>Pelugo, Spiazzo, Porte di Rendena, Borgo Lares, Sella Giudicarie, Tione di Trento, Tre Ville</t>
  </si>
  <si>
    <t>https://www.cerpiugreen.it/; https://www.ilrestodelcarlino.it/ancona/cronaca/comunita-energetiche-ecco-la-prima-coop-d10f4949?live</t>
  </si>
  <si>
    <t>Total energy fed into the grid 1.098 MWh; Total incentivized/shared energy 767.8 MWh; Physical self-consumption 330 MWh</t>
  </si>
  <si>
    <t>CER Valdarno</t>
  </si>
  <si>
    <t>https://www.cervaldarno.it/chi-siamo; https://confcommercio.ar.it/articoli/altro/21159-valdarno-nasce-la-comunita-energetica-cer-valdarno</t>
  </si>
  <si>
    <t>1 Public (23 municipality [schools, gyms, cemeteries, etc]), ? residential</t>
  </si>
  <si>
    <t>PV, hydro 500 kw</t>
  </si>
  <si>
    <t>2 standalone [PV 3000kw, hydro 500kw]</t>
  </si>
  <si>
    <t>Public (university [20 prosumers, 1 standalone 1000kw]), Residential</t>
  </si>
  <si>
    <t>Public (5 roofs and 1 parking [prosumer]), Residential (186 prosumers, 58 consumers)</t>
  </si>
  <si>
    <t>PV Capacity (inst. or plan) kw</t>
  </si>
  <si>
    <t>Capacity (inst. or plan) kw</t>
  </si>
  <si>
    <t>1 public (municipality), ? SMEs (local utility, SMEs), ? Residential, 2 producers standalone [1 wind, 1 PV]</t>
  </si>
  <si>
    <t>Public (1 prosumer, 5 car parking standalone), residential (consumer)</t>
  </si>
  <si>
    <t>5 SMEs min (agricultural market/parking [standalone 4000kw, 1 prosumer 200kw], industrial site [standalone biogas 50 kwe], commercial/mall [1 prosumer 200kw], industrial [2 prosumers 200kw+200kw]),  3 Residential (social [3 prosumers 33kw+33kw+33kw)</t>
  </si>
  <si>
    <t>Amatrice</t>
  </si>
  <si>
    <t>Castel Sant’Angelo</t>
  </si>
  <si>
    <t>Aquila</t>
  </si>
  <si>
    <t>Bologna</t>
  </si>
  <si>
    <t>Capacity per 1 substation, kw</t>
  </si>
  <si>
    <t>Italy aggregated</t>
  </si>
  <si>
    <t>Average N. of  roofs/plants per type of Prosumer/Producer</t>
  </si>
  <si>
    <t>North zone</t>
  </si>
  <si>
    <t>Central North zone</t>
  </si>
  <si>
    <t>Central South zone</t>
  </si>
  <si>
    <t>Calabria zone</t>
  </si>
  <si>
    <t>South zone</t>
  </si>
  <si>
    <t>Sicily zone</t>
  </si>
  <si>
    <t>Sardegna zone</t>
  </si>
  <si>
    <t>Italy Public</t>
  </si>
  <si>
    <t>Italy Residential</t>
  </si>
  <si>
    <t>Italy SMEs</t>
  </si>
  <si>
    <t>Italy NPOs</t>
  </si>
  <si>
    <t>Italy Standalone</t>
  </si>
  <si>
    <t>North Public</t>
  </si>
  <si>
    <t>North SMEs</t>
  </si>
  <si>
    <t>North NPOs</t>
  </si>
  <si>
    <t>North Standalone</t>
  </si>
  <si>
    <t>North Residential</t>
  </si>
  <si>
    <t>Central North Public</t>
  </si>
  <si>
    <t>Central North Residential</t>
  </si>
  <si>
    <t>Central North SMEs</t>
  </si>
  <si>
    <t>Central North NPOs</t>
  </si>
  <si>
    <t>Central North Standalone</t>
  </si>
  <si>
    <t>Central South Public</t>
  </si>
  <si>
    <t>Central South Residential</t>
  </si>
  <si>
    <t>Central South SMEs</t>
  </si>
  <si>
    <t>Central South NPOs</t>
  </si>
  <si>
    <t>Central South Standalone</t>
  </si>
  <si>
    <t>Calabria Public</t>
  </si>
  <si>
    <t>Calabria Residential</t>
  </si>
  <si>
    <t>Calabria SMEs</t>
  </si>
  <si>
    <t>Calabria NPOs</t>
  </si>
  <si>
    <t>Calabria Standalone</t>
  </si>
  <si>
    <t>South Public</t>
  </si>
  <si>
    <t>South Residential</t>
  </si>
  <si>
    <t>South SMEs</t>
  </si>
  <si>
    <t>South NPOs</t>
  </si>
  <si>
    <t>South Standalone</t>
  </si>
  <si>
    <t>Sicily Public</t>
  </si>
  <si>
    <t>Sicily Residential</t>
  </si>
  <si>
    <t>Sicily SMEs</t>
  </si>
  <si>
    <t>Sicily NPOs</t>
  </si>
  <si>
    <t>Sicily Standalone</t>
  </si>
  <si>
    <t>Sardegna Public</t>
  </si>
  <si>
    <t>Sardegna Residential</t>
  </si>
  <si>
    <t>Sardegna SMEs</t>
  </si>
  <si>
    <t>Sardegna NPOs</t>
  </si>
  <si>
    <t>Sardegna Standalone</t>
  </si>
  <si>
    <t>Number of CER observations</t>
  </si>
  <si>
    <t>Total average capacity per CER</t>
  </si>
  <si>
    <t>Type of Prosumer/Producer</t>
  </si>
  <si>
    <t>https://esg.nexteconomia.org/utente/ezio-chiaramello/; https://www.qualenergia.it/articoli/comunita-energetica-valpellice-aspetti-economici-energetici-sociali/; https://www.ecodallecitta.it/grazie-a-acea-pinerolese-nasce-la-comunita-energetica-valpellice/</t>
  </si>
  <si>
    <t>2 NPOs (churches [2 consumers]), 2 SMEs (sport/complex [2 prosumers]), ? residential ([consumers])</t>
  </si>
  <si>
    <t>3 NPOs ( 86kw churchs [2 prosumers], 15kw social canteen [1 prosumer], church [consumer])</t>
  </si>
  <si>
    <t>https://sinergiecondivise.it/comunita-energetiche-rinnovabili/; https://fondazionemirafiori.it/comunita-cers-mirafiori</t>
  </si>
  <si>
    <t>1 Public [1 prosumer], 4 NPOs (2 cooperatives [1 prosumer/office, 1 consumer], solidarity condominium [consumer], other [consumer]),  26 Residential [consumers]</t>
  </si>
  <si>
    <t>5 Public (schools [2 consumers], town hall [2 prosumers, 1 consumer]), 22 NPOs [cooperatives/offices [3 prosumers, 4 consumers], associations/foundations/offices [4 prosumers, 6 consumers], church [2 prosumers, 2 consumers]),  1 SME ([prosumer])</t>
  </si>
  <si>
    <t>4 NPOs (church [1 prosumer], foundations/onlus/offices [3 prosumers]), 1 SME (commercial, [prosumer]), 11 Residential ( consumers)</t>
  </si>
  <si>
    <t>personal participation at FVG regional event; https://fvgenergia.it/export/sites/energia/documents/CER/5_Sessione-CER.pdf</t>
  </si>
  <si>
    <t>Public [prosumers 6 roofs], NPOs [prosumers 5 roofs]</t>
  </si>
  <si>
    <t>All Calabria</t>
  </si>
  <si>
    <t>Number of members and typology of members</t>
  </si>
  <si>
    <t>NPO</t>
  </si>
  <si>
    <t>Central South shares of prosumers</t>
  </si>
  <si>
    <t>Central North shares of prosumers</t>
  </si>
  <si>
    <t>North shares of prosumers</t>
  </si>
  <si>
    <t>Italy aggregated shares of prosumers</t>
  </si>
  <si>
    <t>South shares of prosumers</t>
  </si>
  <si>
    <t>Calabria shares of prosumers</t>
  </si>
  <si>
    <t>Sicily shares of prosumers</t>
  </si>
  <si>
    <t>Sardegna shares of prosumers</t>
  </si>
  <si>
    <t>Residen.</t>
  </si>
  <si>
    <t>Standal.</t>
  </si>
  <si>
    <t>Shares, %</t>
  </si>
  <si>
    <t>Town hall/municipality</t>
  </si>
  <si>
    <t>Warehouse (municipal)</t>
  </si>
  <si>
    <t>Library</t>
  </si>
  <si>
    <t>3 NPOs [prosumers/offices], 1 SME [prosumer/private school], 1 Public (municipality [prosumer/town hall])</t>
  </si>
  <si>
    <t>Non-specified</t>
  </si>
  <si>
    <t>Number of buildings per type</t>
  </si>
  <si>
    <t>5 SMEs (3 prosumers with a total 185 kwp [industrial], 2 consumers], 30 Residential [18 prosumers with a total 45 kwp, 12 consumers]</t>
  </si>
  <si>
    <t>27 SMEs (commercial [14 prosumers], tourist/hotel [13 prosumers])</t>
  </si>
  <si>
    <t>Offices</t>
  </si>
  <si>
    <t>Sport complex (private)</t>
  </si>
  <si>
    <t>School (private)</t>
  </si>
  <si>
    <t>Market agricultural</t>
  </si>
  <si>
    <t>Residential (consumer), SMEs (consumer), public (town halls, schools, sport/football stadium [prosumers])</t>
  </si>
  <si>
    <t>Public (municipality [prosumer])</t>
  </si>
  <si>
    <t>Public [103kw prosumer/sport/autodrom, consumer/social center], 7 NPOs [92kw prosumer/seminario church, 99kw standalone/water surface, consumers/1 church and 5 coops], 1 SME [437 kw prosumer/industrial], Standalone 3d party [905 kw+1 MW].</t>
  </si>
  <si>
    <t>11 Public (? Municipalities, 3 schools [1 prosumer 19,8kw, 1 prosumer 60kw, 1 prosumer 20kw]), 4 SMEs, 15 Residential</t>
  </si>
  <si>
    <t>University</t>
  </si>
  <si>
    <t>Kindergarden (public)</t>
  </si>
  <si>
    <t>Others</t>
  </si>
  <si>
    <t>Public/social condominium</t>
  </si>
  <si>
    <t>Private condominium</t>
  </si>
  <si>
    <t>3 Public (municipalities, cemetery [standalone 50kw]), 3 NPOs (5 associations and 5 churches [10 prosumers/92 kwp + 50kwp +100kw +50kw+5kw+5kw+5kw+5kw+5kw+5kw, 5 consumers), 16 Residential [12 prosumers, 4 consumers]</t>
  </si>
  <si>
    <t>Kindergarden (NPO)</t>
  </si>
  <si>
    <t>Others (soc. canteen, sport &amp; educational center, soc. farm)</t>
  </si>
  <si>
    <t>Hydro</t>
  </si>
  <si>
    <t>CERs with Standalone facilities (with or without storage)</t>
  </si>
  <si>
    <t>Biomass</t>
  </si>
  <si>
    <t>Biogas</t>
  </si>
  <si>
    <t>PV standalone, N</t>
  </si>
  <si>
    <t>Produced energy 21 Mwh/year. Shared energy 6,3 Mwh/year</t>
  </si>
  <si>
    <t>Revenue from energy sales/year</t>
  </si>
  <si>
    <t>Revenue from shared energy/year</t>
  </si>
  <si>
    <t>Total energy fed into the grid
91.2 MWh
Total incentivized/shared energy
91.2 MWh
Physical self-consumption
22 MWh</t>
  </si>
  <si>
    <t>Total energy fed into the grid
286.6 MWh
Total incentivized/shared energy
95.9 MWh
Physical self-consumption
4 MWh</t>
  </si>
  <si>
    <t>Total energy fed into the grid
288.8 MWh
Total incentivized/shared energy
59.2 MWh
Physical self-consumption
276.6 MWh</t>
  </si>
  <si>
    <t>Total energy fed into the grid
284.3 MWh
Total incentivized/shared energy
284.3 MWh
Physical self-consumption
94.3 MWh</t>
  </si>
  <si>
    <t>Energy poverty inclined. Regulation of redistribution of benefits
40% Prosumer
25% Consumer
25% Social Fund
10% Management Costs</t>
  </si>
  <si>
    <t>Total energy produced
95 MWh
Total energy fed into the grid
50 MWh
Total incentivized/shared energy
25 MWh</t>
  </si>
  <si>
    <t>Total energy produced
70 MWh
Total energy fed into the grid
70 MWh
Total incentivized/shared energy
53.2 MWh</t>
  </si>
  <si>
    <t>https://esg.nexteconomia.org/utente/cer-di-borgo-val-di-taro/</t>
  </si>
  <si>
    <t>Total energy fed into the grid
243.1 MWh
Total incentivized/shared energy
40.8 MWh
Physical self-consumption
69.8 MWh</t>
  </si>
  <si>
    <t xml:space="preserve">Energy poverty inclined.Regulation of redistribution of benefits
20% Prosumer
70% Consumer
10% Management Costs
</t>
  </si>
  <si>
    <t>Total energy produced
51 MWh
Total energy fed into the grid
36 MWh
Total incentivized/shared energy
28.80 MWh</t>
  </si>
  <si>
    <t>Total energy produced
46 MWh
Total energy fed into the grid
37.5 MWh
Total incentivized/shared energy
25.1 MWh</t>
  </si>
  <si>
    <t>Regulation of redistribution of benefits
Regulation on the distribution of the amounts resulting from the
Energy Sharing of the Sant'Elia Renewable Energy Community provides:
2. The Community may hold, for the purposes of art. 42 bis, Legislative Decree 162/2019, pursuant to art.
3.2, letter D) of Annex A to Resolution no. 318/2020 of the Regulatory Authority for Networks and
the Environment, plants of Community Members or, where permitted, of third parties provided
that the latter sign this Regulation for acceptance.
Article 3 – Allocation of Amounts from Energy Sharing
1. The Amounts from Community Energy Sharing will be allocated:
i. to the payment to the Municipality of the fee for making
the plant available to the CER as a “Plant for the production of electricity
powered by renewable sources owned by the
renewable energy community”, according to the agreements reached with the Municipality through a specific
agreement, or with the other members or third-party producers;
ii. to cover the administrative costs defined in the Technical Rules of the GSE and
invoiced by the same and the other operating costs of the
Community. The amounts due to the GSE are due on an annual basis and
recognized to the GSE through compensation of the amounts paid;
iii. to the refund to the members of the CER, pursuant to the following art. 4;
iv. for the remaining share and secondarily, to the institutional purposes of the Community
or, as established by the Members' Assembly, to
social initiatives, environmental redevelopment or social support
in the local area in which it operates.
Article 4 – Refund of Amounts deriving from Energy Sharing
1. The refund to the members of the Amounts deriving from Community Energy Sharing
, referred to in art. 3 (iii) will be made through annual payments by the
Community, in accordance with the tax regime applicable from time to time.
2. The calculation of the Contribution to the reduction of Energy Costs will take place as
established in Annex 1, taking into account the contribution of each member to
energy sharing.
3. In any case, in anticipation of the variable number of members of the CER, in particular
for decreasing numbers, the Contribution to the reduction of Energy Costs cannot
exceed the limit of €118.22/MWh (calculated according to the values ​​of the
2020 Arera unit fee) of shared energy for each individual member plus the remuneration
of the energy fed into the grid at a zonal price (reference value equal to €144/MWh).
Any excess revenue, if any, will be set aside and used in
accordance with the provisions of Article 3(iv) for the institutional purposes of the Community,
as established by the Members' Assembly.
4. In anticipation of increasing numbers of members, the Contribution to the reduction of
Energy Costs to be divided among the members cannot exceed the value generated by
a maximum of 80% of energy shared within the community. If the
sharing index is greater than 80%, the value generated by the remaining 20% ​​will be
set aside and used in accordance with the provisions of Article 3(iv) for the
institutional purposes of the Community, as established by the Members' Assembly.
5. The Community will forward to the members on an annual basis:
i. the statement relating to the Amounts deriving from Energy Sharing received
from GSE under the Incentive and Enhancement Service (the
“Statement”);
ii. The calculation of the Contribution to the reduction of Energy Costs due to each
member pursuant to this Article. If the Statement and the Contribution to the reduction of Energy Costs are not contested within ten days of receipt by the members, they will be considered approved.</t>
  </si>
  <si>
    <t>Total energy produced
40 MWh
Total energy fed into the grid
19 MWh
Total incentivized/shared energy
17 MWh</t>
  </si>
  <si>
    <t>Total energy fed into the grid
40.9 MWh
Total incentivized/shared energy
36.25 MWh</t>
  </si>
  <si>
    <t>Total energy produced
1.095 MWh
Total energy fed into the grid
1.048 MWh
Total incentivized/shared energy
1.034 MWh</t>
  </si>
  <si>
    <t>Energy povery aim. 10% WILL GO TO THE MUNICIPALITY WHICH COMMITS TO USE THEM FOR THE PURPOSE OF FIGHTING ENERGY POVERTY. Has objective to grow to 1,8 MWp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</si>
</sst>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2]\ #,##0.00;[Red]\-[$€-2]\ #,##0.00"/>
  </numFmts>
  <fonts count="23" x14ac:knownFonts="1">
    <font>
      <sz val="11"/>
      <color theme="1"/>
      <name val="Calibri"/>
      <family val="2"/>
      <charset val="204"/>
      <scheme val="minor"/>
    </font>
    <font>
      <sz val="10"/>
      <color theme="1"/>
      <name val="Calibri"/>
      <family val="2"/>
      <charset val="204"/>
      <scheme val="minor"/>
    </font>
    <font>
      <b/>
      <sz val="11"/>
      <color theme="1"/>
      <name val="Calibri"/>
      <family val="2"/>
      <charset val="204"/>
      <scheme val="minor"/>
    </font>
    <font>
      <b/>
      <sz val="10"/>
      <color theme="1"/>
      <name val="Calibri"/>
      <family val="2"/>
      <charset val="204"/>
      <scheme val="minor"/>
    </font>
    <font>
      <sz val="12"/>
      <color theme="1"/>
      <name val="Calibri"/>
      <family val="2"/>
      <charset val="204"/>
      <scheme val="minor"/>
    </font>
    <font>
      <b/>
      <sz val="12"/>
      <color theme="1"/>
      <name val="Calibri"/>
      <family val="2"/>
      <charset val="204"/>
      <scheme val="minor"/>
    </font>
    <font>
      <sz val="18"/>
      <color theme="1"/>
      <name val="Calibri"/>
      <family val="2"/>
      <charset val="204"/>
      <scheme val="minor"/>
    </font>
    <font>
      <u/>
      <sz val="11"/>
      <color theme="10"/>
      <name val="Calibri"/>
      <family val="2"/>
      <charset val="204"/>
      <scheme val="minor"/>
    </font>
    <font>
      <sz val="9"/>
      <color theme="1"/>
      <name val="Calibri"/>
      <family val="2"/>
      <charset val="204"/>
      <scheme val="minor"/>
    </font>
    <font>
      <b/>
      <sz val="14"/>
      <color theme="1"/>
      <name val="Calibri"/>
      <family val="2"/>
      <charset val="204"/>
      <scheme val="minor"/>
    </font>
    <font>
      <b/>
      <sz val="11"/>
      <color rgb="FF313131"/>
      <name val="Arial"/>
      <family val="2"/>
      <charset val="204"/>
    </font>
    <font>
      <sz val="13"/>
      <name val="Arial"/>
      <family val="2"/>
      <charset val="204"/>
    </font>
    <font>
      <sz val="11"/>
      <color rgb="FF474747"/>
      <name val="Arial"/>
      <family val="2"/>
      <charset val="204"/>
    </font>
    <font>
      <sz val="12"/>
      <color rgb="FF000022"/>
      <name val="Arial"/>
      <family val="2"/>
      <charset val="204"/>
    </font>
    <font>
      <sz val="9"/>
      <color rgb="FF050505"/>
      <name val="Arial"/>
      <family val="2"/>
      <charset val="204"/>
    </font>
    <font>
      <sz val="11"/>
      <color theme="1"/>
      <name val="Calibri"/>
      <family val="2"/>
      <scheme val="minor"/>
    </font>
    <font>
      <b/>
      <sz val="11"/>
      <color theme="1"/>
      <name val="Calibri"/>
      <family val="2"/>
      <scheme val="minor"/>
    </font>
    <font>
      <u/>
      <sz val="11"/>
      <color theme="10"/>
      <name val="Calibri"/>
      <family val="2"/>
    </font>
    <font>
      <sz val="11"/>
      <color theme="1"/>
      <name val="Arial"/>
      <family val="2"/>
      <charset val="204"/>
    </font>
    <font>
      <sz val="11"/>
      <color rgb="FF3A3A3A"/>
      <name val="Source Sans Pro"/>
      <family val="2"/>
    </font>
    <font>
      <b/>
      <sz val="9"/>
      <color theme="1"/>
      <name val="Calibri"/>
      <family val="2"/>
      <charset val="204"/>
      <scheme val="minor"/>
    </font>
    <font>
      <sz val="11"/>
      <name val="Calibri"/>
      <family val="2"/>
      <charset val="204"/>
      <scheme val="minor"/>
    </font>
    <font>
      <b/>
      <i/>
      <sz val="14"/>
      <color theme="1"/>
      <name val="Calibri"/>
      <family val="2"/>
      <scheme val="minor"/>
    </font>
  </fonts>
  <fills count="21">
    <fill>
      <patternFill patternType="none"/>
    </fill>
    <fill>
      <patternFill patternType="gray125"/>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rgb="FF92D050"/>
        <bgColor indexed="64"/>
      </patternFill>
    </fill>
    <fill>
      <patternFill patternType="solid">
        <fgColor theme="5" tint="-0.249977111117893"/>
        <bgColor indexed="64"/>
      </patternFill>
    </fill>
    <fill>
      <patternFill patternType="solid">
        <fgColor rgb="FFBBD32D"/>
        <bgColor indexed="64"/>
      </patternFill>
    </fill>
    <fill>
      <patternFill patternType="solid">
        <fgColor rgb="FF00B0F0"/>
        <bgColor indexed="64"/>
      </patternFill>
    </fill>
    <fill>
      <patternFill patternType="solid">
        <fgColor theme="8" tint="0.79998168889431442"/>
        <bgColor indexed="64"/>
      </patternFill>
    </fill>
    <fill>
      <patternFill patternType="solid">
        <fgColor rgb="FFFFFF00"/>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9"/>
        <bgColor indexed="64"/>
      </patternFill>
    </fill>
    <fill>
      <patternFill patternType="solid">
        <fgColor theme="5" tint="0.39997558519241921"/>
        <bgColor indexed="64"/>
      </patternFill>
    </fill>
    <fill>
      <patternFill patternType="solid">
        <fgColor theme="7"/>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4">
    <xf numFmtId="0" fontId="0" fillId="0" borderId="0"/>
    <xf numFmtId="0" fontId="7" fillId="0" borderId="0" applyNumberFormat="0" applyFill="0" applyBorder="0" applyAlignment="0" applyProtection="0"/>
    <xf numFmtId="0" fontId="15" fillId="0" borderId="0"/>
    <xf numFmtId="0" fontId="17" fillId="0" borderId="0" applyNumberFormat="0" applyFill="0" applyBorder="0" applyAlignment="0" applyProtection="0">
      <alignment vertical="top"/>
      <protection locked="0"/>
    </xf>
  </cellStyleXfs>
  <cellXfs count="205">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xf numFmtId="0" fontId="0" fillId="0" borderId="2" xfId="0" applyBorder="1"/>
    <xf numFmtId="0" fontId="0" fillId="0" borderId="3" xfId="0" applyBorder="1"/>
    <xf numFmtId="0" fontId="0" fillId="0" borderId="5" xfId="0" applyBorder="1"/>
    <xf numFmtId="0" fontId="2" fillId="0" borderId="2" xfId="0" applyFont="1" applyBorder="1"/>
    <xf numFmtId="0" fontId="2" fillId="0" borderId="3" xfId="0" applyFont="1" applyBorder="1"/>
    <xf numFmtId="0" fontId="2" fillId="0" borderId="4" xfId="0" applyFont="1" applyBorder="1" applyAlignment="1">
      <alignment wrapText="1"/>
    </xf>
    <xf numFmtId="0" fontId="2" fillId="0" borderId="5" xfId="0" applyFont="1" applyBorder="1"/>
    <xf numFmtId="0" fontId="0" fillId="0" borderId="6" xfId="0" applyBorder="1"/>
    <xf numFmtId="0" fontId="0" fillId="0" borderId="7" xfId="0" applyBorder="1"/>
    <xf numFmtId="0" fontId="0" fillId="0" borderId="8" xfId="0" applyBorder="1"/>
    <xf numFmtId="0" fontId="0" fillId="0" borderId="4" xfId="0" applyBorder="1"/>
    <xf numFmtId="0" fontId="0" fillId="0" borderId="9" xfId="0" applyBorder="1"/>
    <xf numFmtId="0" fontId="0" fillId="0" borderId="10" xfId="0" applyBorder="1"/>
    <xf numFmtId="0" fontId="0" fillId="0" borderId="11" xfId="0" applyBorder="1"/>
    <xf numFmtId="0" fontId="2" fillId="0" borderId="0" xfId="0" applyFont="1"/>
    <xf numFmtId="0" fontId="0" fillId="0" borderId="12" xfId="0" applyBorder="1"/>
    <xf numFmtId="0" fontId="0" fillId="0" borderId="13" xfId="0" applyBorder="1"/>
    <xf numFmtId="0" fontId="0" fillId="0" borderId="14" xfId="0" applyBorder="1"/>
    <xf numFmtId="9" fontId="0" fillId="0" borderId="15" xfId="0" applyNumberFormat="1" applyBorder="1"/>
    <xf numFmtId="9" fontId="0" fillId="0" borderId="16" xfId="0" applyNumberFormat="1" applyBorder="1"/>
    <xf numFmtId="10" fontId="0" fillId="0" borderId="16" xfId="0" applyNumberFormat="1" applyBorder="1"/>
    <xf numFmtId="10" fontId="0" fillId="0" borderId="17" xfId="0" applyNumberFormat="1" applyBorder="1"/>
    <xf numFmtId="0" fontId="1" fillId="0" borderId="0" xfId="0" applyFont="1"/>
    <xf numFmtId="0" fontId="1" fillId="2" borderId="1" xfId="0" applyFont="1" applyFill="1" applyBorder="1"/>
    <xf numFmtId="0" fontId="1" fillId="2" borderId="1" xfId="0" applyFont="1" applyFill="1" applyBorder="1" applyAlignment="1">
      <alignment wrapText="1"/>
    </xf>
    <xf numFmtId="0" fontId="1" fillId="2" borderId="0" xfId="0" applyFont="1" applyFill="1" applyAlignment="1">
      <alignment wrapText="1"/>
    </xf>
    <xf numFmtId="0" fontId="1" fillId="3" borderId="1" xfId="0" applyFont="1" applyFill="1" applyBorder="1" applyAlignment="1">
      <alignment wrapText="1"/>
    </xf>
    <xf numFmtId="0" fontId="6" fillId="0" borderId="0" xfId="0" applyFont="1"/>
    <xf numFmtId="0" fontId="1" fillId="7" borderId="1" xfId="0" applyFont="1" applyFill="1" applyBorder="1" applyAlignment="1">
      <alignment wrapText="1"/>
    </xf>
    <xf numFmtId="0" fontId="8" fillId="2" borderId="1" xfId="0" applyFont="1" applyFill="1" applyBorder="1"/>
    <xf numFmtId="0" fontId="8" fillId="2" borderId="0" xfId="0" applyFont="1" applyFill="1" applyAlignment="1">
      <alignment wrapText="1"/>
    </xf>
    <xf numFmtId="0" fontId="8" fillId="2" borderId="1" xfId="0" applyFont="1" applyFill="1" applyBorder="1" applyAlignment="1">
      <alignment wrapText="1"/>
    </xf>
    <xf numFmtId="0" fontId="8" fillId="3" borderId="1" xfId="0" applyFont="1" applyFill="1" applyBorder="1" applyAlignment="1">
      <alignment wrapText="1"/>
    </xf>
    <xf numFmtId="0" fontId="8" fillId="7" borderId="1" xfId="0" applyFont="1" applyFill="1" applyBorder="1" applyAlignment="1">
      <alignment wrapText="1"/>
    </xf>
    <xf numFmtId="0" fontId="8" fillId="0" borderId="0" xfId="0" applyFont="1"/>
    <xf numFmtId="0" fontId="0" fillId="8" borderId="1" xfId="0" applyFill="1" applyBorder="1" applyAlignment="1">
      <alignment wrapText="1"/>
    </xf>
    <xf numFmtId="0" fontId="9" fillId="0" borderId="18" xfId="0" applyFont="1" applyBorder="1" applyAlignment="1">
      <alignment horizontal="left"/>
    </xf>
    <xf numFmtId="0" fontId="1" fillId="12" borderId="1" xfId="0" applyFont="1" applyFill="1" applyBorder="1" applyAlignment="1">
      <alignment wrapText="1"/>
    </xf>
    <xf numFmtId="1" fontId="0" fillId="0" borderId="0" xfId="0" applyNumberFormat="1" applyAlignment="1">
      <alignment wrapText="1"/>
    </xf>
    <xf numFmtId="1" fontId="1" fillId="0" borderId="0" xfId="0" applyNumberFormat="1" applyFont="1"/>
    <xf numFmtId="164" fontId="4" fillId="0" borderId="6" xfId="0" applyNumberFormat="1" applyFont="1" applyBorder="1" applyAlignment="1">
      <alignment horizontal="right"/>
    </xf>
    <xf numFmtId="164" fontId="1" fillId="0" borderId="6" xfId="0" applyNumberFormat="1" applyFont="1" applyBorder="1" applyAlignment="1">
      <alignment horizontal="right"/>
    </xf>
    <xf numFmtId="0" fontId="10" fillId="0" borderId="0" xfId="0" applyFont="1" applyAlignment="1">
      <alignment wrapText="1"/>
    </xf>
    <xf numFmtId="0" fontId="2" fillId="0" borderId="1" xfId="0" applyFont="1" applyBorder="1" applyAlignment="1">
      <alignment horizontal="left" wrapText="1"/>
    </xf>
    <xf numFmtId="1" fontId="1" fillId="0" borderId="6" xfId="0" applyNumberFormat="1" applyFont="1" applyBorder="1" applyAlignment="1">
      <alignment horizontal="center"/>
    </xf>
    <xf numFmtId="0" fontId="11" fillId="0" borderId="0" xfId="0" applyFont="1" applyAlignment="1">
      <alignment wrapText="1"/>
    </xf>
    <xf numFmtId="0" fontId="12" fillId="0" borderId="0" xfId="0" applyFont="1"/>
    <xf numFmtId="0" fontId="7" fillId="0" borderId="0" xfId="1" applyAlignment="1"/>
    <xf numFmtId="0" fontId="7" fillId="0" borderId="0" xfId="1" applyAlignment="1">
      <alignment wrapText="1"/>
    </xf>
    <xf numFmtId="0" fontId="1" fillId="14" borderId="1" xfId="0" applyFont="1" applyFill="1" applyBorder="1" applyAlignment="1">
      <alignment wrapText="1"/>
    </xf>
    <xf numFmtId="0" fontId="13" fillId="0" borderId="0" xfId="0" applyFont="1" applyAlignment="1">
      <alignment wrapText="1"/>
    </xf>
    <xf numFmtId="0" fontId="0" fillId="3" borderId="1" xfId="0" applyFill="1" applyBorder="1" applyAlignment="1">
      <alignment wrapText="1"/>
    </xf>
    <xf numFmtId="0" fontId="0" fillId="3" borderId="1" xfId="0" applyFill="1" applyBorder="1"/>
    <xf numFmtId="0" fontId="14" fillId="0" borderId="0" xfId="0" applyFont="1"/>
    <xf numFmtId="0" fontId="0" fillId="15" borderId="1" xfId="0" applyFill="1" applyBorder="1"/>
    <xf numFmtId="0" fontId="0" fillId="16" borderId="22" xfId="0" applyFill="1" applyBorder="1"/>
    <xf numFmtId="0" fontId="0" fillId="0" borderId="0" xfId="0" applyAlignment="1">
      <alignment vertical="center" wrapText="1"/>
    </xf>
    <xf numFmtId="0" fontId="16" fillId="0" borderId="7" xfId="2" applyFont="1" applyBorder="1" applyAlignment="1">
      <alignment horizontal="center" vertical="top"/>
    </xf>
    <xf numFmtId="0" fontId="15" fillId="0" borderId="0" xfId="2"/>
    <xf numFmtId="0" fontId="0" fillId="8" borderId="1" xfId="0" applyFill="1" applyBorder="1"/>
    <xf numFmtId="0" fontId="0" fillId="8" borderId="22" xfId="0" applyFill="1" applyBorder="1"/>
    <xf numFmtId="0" fontId="7" fillId="0" borderId="0" xfId="1" applyAlignment="1" applyProtection="1"/>
    <xf numFmtId="0" fontId="17" fillId="0" borderId="0" xfId="3" applyAlignment="1" applyProtection="1"/>
    <xf numFmtId="0" fontId="15" fillId="0" borderId="0" xfId="2" applyAlignment="1">
      <alignment wrapText="1"/>
    </xf>
    <xf numFmtId="166" fontId="0" fillId="0" borderId="0" xfId="0" applyNumberFormat="1"/>
    <xf numFmtId="0" fontId="18" fillId="0" borderId="0" xfId="0" applyFont="1"/>
    <xf numFmtId="0" fontId="7" fillId="0" borderId="0" xfId="1" applyFill="1" applyAlignment="1"/>
    <xf numFmtId="0" fontId="0" fillId="0" borderId="23" xfId="0" applyBorder="1" applyAlignment="1">
      <alignment wrapText="1"/>
    </xf>
    <xf numFmtId="0" fontId="0" fillId="0" borderId="24" xfId="0" applyBorder="1" applyAlignment="1">
      <alignment wrapText="1"/>
    </xf>
    <xf numFmtId="0" fontId="7" fillId="0" borderId="0" xfId="1"/>
    <xf numFmtId="0" fontId="19" fillId="0" borderId="0" xfId="0" applyFont="1"/>
    <xf numFmtId="0" fontId="1" fillId="0" borderId="24" xfId="0" applyFont="1" applyBorder="1"/>
    <xf numFmtId="0" fontId="1" fillId="17" borderId="0" xfId="0" applyFont="1" applyFill="1" applyAlignment="1">
      <alignment wrapText="1"/>
    </xf>
    <xf numFmtId="0" fontId="7" fillId="0" borderId="0" xfId="1" applyFill="1"/>
    <xf numFmtId="0" fontId="0" fillId="0" borderId="18" xfId="0" applyBorder="1"/>
    <xf numFmtId="0" fontId="1" fillId="0" borderId="18" xfId="0" applyFont="1" applyBorder="1"/>
    <xf numFmtId="0" fontId="1" fillId="0" borderId="19" xfId="0" applyFont="1" applyBorder="1"/>
    <xf numFmtId="164" fontId="0" fillId="13" borderId="6" xfId="0" applyNumberFormat="1" applyFill="1" applyBorder="1" applyAlignment="1">
      <alignment horizontal="center"/>
    </xf>
    <xf numFmtId="0" fontId="2" fillId="0" borderId="10" xfId="0" applyFont="1" applyBorder="1" applyAlignment="1">
      <alignment horizontal="left" wrapText="1"/>
    </xf>
    <xf numFmtId="0" fontId="4" fillId="0" borderId="10" xfId="0" applyFont="1" applyBorder="1" applyAlignment="1">
      <alignment horizontal="left" wrapText="1"/>
    </xf>
    <xf numFmtId="0" fontId="4" fillId="0" borderId="10" xfId="0" applyFont="1" applyBorder="1" applyAlignment="1">
      <alignment wrapText="1"/>
    </xf>
    <xf numFmtId="0" fontId="4" fillId="0" borderId="4" xfId="0" applyFont="1" applyBorder="1" applyAlignment="1">
      <alignment wrapText="1"/>
    </xf>
    <xf numFmtId="0" fontId="2" fillId="0" borderId="6" xfId="0" applyFont="1" applyBorder="1" applyAlignment="1">
      <alignment horizontal="left" wrapText="1"/>
    </xf>
    <xf numFmtId="164" fontId="1" fillId="0" borderId="9" xfId="0" applyNumberFormat="1" applyFont="1" applyBorder="1" applyAlignment="1">
      <alignment horizontal="right"/>
    </xf>
    <xf numFmtId="164" fontId="4" fillId="0" borderId="1" xfId="0" applyNumberFormat="1" applyFont="1" applyBorder="1" applyAlignment="1">
      <alignment horizontal="right"/>
    </xf>
    <xf numFmtId="1" fontId="1" fillId="0" borderId="1" xfId="0" applyNumberFormat="1" applyFont="1" applyBorder="1" applyAlignment="1">
      <alignment horizontal="center"/>
    </xf>
    <xf numFmtId="164" fontId="1" fillId="0" borderId="1" xfId="0" applyNumberFormat="1" applyFont="1" applyBorder="1" applyAlignment="1">
      <alignment horizontal="right"/>
    </xf>
    <xf numFmtId="1" fontId="1" fillId="0" borderId="9" xfId="0" applyNumberFormat="1" applyFont="1" applyBorder="1" applyAlignment="1">
      <alignment horizontal="center"/>
    </xf>
    <xf numFmtId="0" fontId="0" fillId="0" borderId="27" xfId="0" applyBorder="1" applyAlignment="1">
      <alignment wrapText="1"/>
    </xf>
    <xf numFmtId="0" fontId="0" fillId="0" borderId="28" xfId="0" applyBorder="1" applyAlignment="1">
      <alignment wrapText="1"/>
    </xf>
    <xf numFmtId="0" fontId="1" fillId="0" borderId="27" xfId="0" applyFont="1" applyBorder="1" applyAlignment="1">
      <alignment wrapText="1"/>
    </xf>
    <xf numFmtId="0" fontId="1" fillId="0" borderId="28" xfId="0" applyFont="1" applyBorder="1" applyAlignment="1">
      <alignment wrapText="1"/>
    </xf>
    <xf numFmtId="0" fontId="1" fillId="0" borderId="27" xfId="0" applyFont="1" applyBorder="1"/>
    <xf numFmtId="0" fontId="1" fillId="0" borderId="28" xfId="0" applyFont="1" applyBorder="1"/>
    <xf numFmtId="0" fontId="0" fillId="0" borderId="27" xfId="0" applyBorder="1"/>
    <xf numFmtId="0" fontId="0" fillId="0" borderId="28" xfId="0" applyBorder="1"/>
    <xf numFmtId="0" fontId="0" fillId="0" borderId="28" xfId="0" applyBorder="1" applyAlignment="1">
      <alignment vertical="center" wrapText="1"/>
    </xf>
    <xf numFmtId="0" fontId="1" fillId="0" borderId="29" xfId="0" applyFont="1" applyBorder="1"/>
    <xf numFmtId="0" fontId="1" fillId="0" borderId="30" xfId="0" applyFont="1" applyBorder="1"/>
    <xf numFmtId="0" fontId="1" fillId="0" borderId="31" xfId="0" applyFont="1" applyBorder="1"/>
    <xf numFmtId="0" fontId="0" fillId="0" borderId="29" xfId="0" applyBorder="1"/>
    <xf numFmtId="0" fontId="20" fillId="0" borderId="1" xfId="0" applyFont="1" applyBorder="1" applyAlignment="1">
      <alignment horizontal="left" wrapText="1"/>
    </xf>
    <xf numFmtId="0" fontId="1" fillId="13" borderId="32" xfId="0" applyFont="1" applyFill="1" applyBorder="1"/>
    <xf numFmtId="0" fontId="4" fillId="0" borderId="2" xfId="0" applyFont="1" applyBorder="1" applyAlignment="1">
      <alignment horizontal="left" wrapText="1"/>
    </xf>
    <xf numFmtId="164" fontId="4" fillId="0" borderId="33" xfId="0" applyNumberFormat="1" applyFont="1" applyBorder="1" applyAlignment="1">
      <alignment horizontal="right"/>
    </xf>
    <xf numFmtId="1" fontId="1" fillId="0" borderId="33" xfId="0" applyNumberFormat="1" applyFont="1" applyBorder="1" applyAlignment="1">
      <alignment horizontal="center"/>
    </xf>
    <xf numFmtId="164" fontId="0" fillId="13" borderId="33" xfId="0" applyNumberFormat="1" applyFill="1" applyBorder="1" applyAlignment="1">
      <alignment horizontal="center"/>
    </xf>
    <xf numFmtId="1" fontId="1" fillId="0" borderId="32" xfId="0" applyNumberFormat="1" applyFont="1" applyBorder="1" applyAlignment="1">
      <alignment horizontal="center"/>
    </xf>
    <xf numFmtId="0" fontId="1" fillId="0" borderId="22" xfId="0" applyFont="1" applyBorder="1"/>
    <xf numFmtId="164" fontId="4" fillId="0" borderId="8" xfId="0" applyNumberFormat="1" applyFont="1" applyBorder="1" applyAlignment="1">
      <alignment horizontal="right"/>
    </xf>
    <xf numFmtId="1" fontId="1" fillId="0" borderId="8" xfId="0" applyNumberFormat="1" applyFont="1" applyBorder="1" applyAlignment="1">
      <alignment horizontal="center"/>
    </xf>
    <xf numFmtId="164" fontId="4" fillId="0" borderId="9" xfId="0" applyNumberFormat="1" applyFont="1" applyBorder="1" applyAlignment="1">
      <alignment horizontal="right"/>
    </xf>
    <xf numFmtId="164" fontId="0" fillId="9" borderId="33" xfId="0" applyNumberFormat="1" applyFill="1" applyBorder="1" applyAlignment="1">
      <alignment horizontal="center"/>
    </xf>
    <xf numFmtId="164" fontId="0" fillId="9" borderId="6" xfId="0" applyNumberFormat="1" applyFill="1" applyBorder="1" applyAlignment="1">
      <alignment horizontal="center"/>
    </xf>
    <xf numFmtId="0" fontId="1" fillId="9" borderId="21" xfId="0" applyFont="1" applyFill="1" applyBorder="1"/>
    <xf numFmtId="0" fontId="0" fillId="6" borderId="10" xfId="0" applyFill="1" applyBorder="1" applyAlignment="1">
      <alignment horizontal="right"/>
    </xf>
    <xf numFmtId="0" fontId="0" fillId="6" borderId="4" xfId="0" applyFill="1" applyBorder="1" applyAlignment="1">
      <alignment horizontal="right"/>
    </xf>
    <xf numFmtId="165" fontId="4" fillId="5" borderId="6" xfId="0" applyNumberFormat="1" applyFont="1" applyFill="1" applyBorder="1" applyAlignment="1">
      <alignment horizontal="left"/>
    </xf>
    <xf numFmtId="165" fontId="4" fillId="5" borderId="32" xfId="0" applyNumberFormat="1" applyFont="1" applyFill="1" applyBorder="1" applyAlignment="1">
      <alignment horizontal="left"/>
    </xf>
    <xf numFmtId="165" fontId="4" fillId="3" borderId="11" xfId="0" applyNumberFormat="1" applyFont="1" applyFill="1" applyBorder="1" applyAlignment="1">
      <alignment horizontal="left"/>
    </xf>
    <xf numFmtId="0" fontId="2" fillId="0" borderId="11" xfId="0" applyFont="1" applyBorder="1" applyAlignment="1">
      <alignment horizontal="center"/>
    </xf>
    <xf numFmtId="0" fontId="2" fillId="4" borderId="2" xfId="0" applyFont="1" applyFill="1" applyBorder="1"/>
    <xf numFmtId="0" fontId="2" fillId="4" borderId="3" xfId="0" applyFont="1" applyFill="1" applyBorder="1"/>
    <xf numFmtId="0" fontId="2" fillId="0" borderId="11" xfId="0" applyFont="1" applyBorder="1" applyAlignment="1">
      <alignment horizontal="center" vertical="center"/>
    </xf>
    <xf numFmtId="0" fontId="0" fillId="0" borderId="10" xfId="0" applyBorder="1" applyAlignment="1">
      <alignment wrapText="1"/>
    </xf>
    <xf numFmtId="0" fontId="2" fillId="0" borderId="5" xfId="0" applyFont="1" applyBorder="1" applyAlignment="1">
      <alignment horizontal="center" vertical="center"/>
    </xf>
    <xf numFmtId="0" fontId="0" fillId="0" borderId="2" xfId="0" applyBorder="1" applyAlignment="1">
      <alignment horizontal="left"/>
    </xf>
    <xf numFmtId="0" fontId="2" fillId="0" borderId="3" xfId="0" applyFont="1" applyBorder="1" applyAlignment="1">
      <alignment horizontal="center" vertical="center"/>
    </xf>
    <xf numFmtId="0" fontId="0" fillId="6" borderId="10" xfId="0" applyFill="1" applyBorder="1" applyAlignment="1">
      <alignment horizontal="left"/>
    </xf>
    <xf numFmtId="0" fontId="0" fillId="6" borderId="4" xfId="0" applyFill="1" applyBorder="1" applyAlignment="1">
      <alignment horizontal="left"/>
    </xf>
    <xf numFmtId="0" fontId="2" fillId="0" borderId="5" xfId="0" applyFont="1" applyBorder="1" applyAlignment="1">
      <alignment horizontal="center"/>
    </xf>
    <xf numFmtId="0" fontId="2" fillId="0" borderId="35" xfId="0" applyFont="1" applyBorder="1"/>
    <xf numFmtId="0" fontId="0" fillId="0" borderId="19" xfId="0" applyBorder="1"/>
    <xf numFmtId="164" fontId="0" fillId="18" borderId="11" xfId="0" applyNumberFormat="1" applyFill="1" applyBorder="1" applyAlignment="1">
      <alignment horizontal="center"/>
    </xf>
    <xf numFmtId="0" fontId="0" fillId="0" borderId="20" xfId="0" applyBorder="1"/>
    <xf numFmtId="164" fontId="0" fillId="18" borderId="5" xfId="0" applyNumberFormat="1" applyFill="1" applyBorder="1" applyAlignment="1">
      <alignment horizontal="center"/>
    </xf>
    <xf numFmtId="0" fontId="0" fillId="8" borderId="6" xfId="0" applyFill="1" applyBorder="1"/>
    <xf numFmtId="0" fontId="0" fillId="8" borderId="36" xfId="0" applyFill="1" applyBorder="1"/>
    <xf numFmtId="0" fontId="0" fillId="8" borderId="37" xfId="0" applyFill="1" applyBorder="1"/>
    <xf numFmtId="0" fontId="1" fillId="8" borderId="36" xfId="0" applyFont="1" applyFill="1" applyBorder="1"/>
    <xf numFmtId="0" fontId="2" fillId="8" borderId="10" xfId="0" applyFont="1" applyFill="1" applyBorder="1" applyAlignment="1">
      <alignment horizontal="left"/>
    </xf>
    <xf numFmtId="0" fontId="2" fillId="9" borderId="10" xfId="0" applyFont="1" applyFill="1" applyBorder="1"/>
    <xf numFmtId="0" fontId="0" fillId="9" borderId="11" xfId="0" applyFill="1" applyBorder="1"/>
    <xf numFmtId="0" fontId="2" fillId="10" borderId="10" xfId="0" applyFont="1" applyFill="1" applyBorder="1"/>
    <xf numFmtId="0" fontId="2" fillId="11" borderId="10" xfId="0" applyFont="1" applyFill="1" applyBorder="1"/>
    <xf numFmtId="0" fontId="0" fillId="8" borderId="36" xfId="0" applyFill="1" applyBorder="1" applyAlignment="1">
      <alignment wrapText="1"/>
    </xf>
    <xf numFmtId="0" fontId="0" fillId="13" borderId="36" xfId="0" applyFill="1" applyBorder="1" applyAlignment="1">
      <alignment wrapText="1"/>
    </xf>
    <xf numFmtId="0" fontId="0" fillId="8" borderId="37" xfId="0" applyFill="1" applyBorder="1" applyAlignment="1">
      <alignment wrapText="1"/>
    </xf>
    <xf numFmtId="0" fontId="0" fillId="8" borderId="36" xfId="0" applyFill="1" applyBorder="1" applyAlignment="1">
      <alignment horizontal="left" wrapText="1"/>
    </xf>
    <xf numFmtId="0" fontId="0" fillId="8" borderId="36" xfId="0" applyFill="1" applyBorder="1" applyAlignment="1">
      <alignment horizontal="left"/>
    </xf>
    <xf numFmtId="0" fontId="0" fillId="13" borderId="37" xfId="0" applyFill="1" applyBorder="1" applyAlignment="1">
      <alignment wrapText="1"/>
    </xf>
    <xf numFmtId="0" fontId="0" fillId="8" borderId="37" xfId="0" applyFill="1" applyBorder="1" applyAlignment="1">
      <alignment horizontal="right"/>
    </xf>
    <xf numFmtId="0" fontId="2" fillId="5" borderId="4" xfId="0" applyFont="1" applyFill="1" applyBorder="1" applyAlignment="1">
      <alignment wrapText="1"/>
    </xf>
    <xf numFmtId="0" fontId="0" fillId="0" borderId="39" xfId="0" applyBorder="1"/>
    <xf numFmtId="0" fontId="0" fillId="0" borderId="21" xfId="0" applyBorder="1"/>
    <xf numFmtId="0" fontId="0" fillId="0" borderId="40" xfId="0" applyBorder="1"/>
    <xf numFmtId="0" fontId="0" fillId="19" borderId="37" xfId="0" applyFill="1" applyBorder="1"/>
    <xf numFmtId="0" fontId="0" fillId="10" borderId="6" xfId="0" applyFill="1" applyBorder="1"/>
    <xf numFmtId="0" fontId="1" fillId="11" borderId="6" xfId="0" applyFont="1" applyFill="1" applyBorder="1"/>
    <xf numFmtId="0" fontId="1" fillId="5" borderId="32" xfId="0" applyFont="1" applyFill="1" applyBorder="1"/>
    <xf numFmtId="0" fontId="21" fillId="14" borderId="41" xfId="0" applyFont="1" applyFill="1" applyBorder="1" applyAlignment="1">
      <alignment wrapText="1"/>
    </xf>
    <xf numFmtId="0" fontId="0" fillId="2" borderId="42" xfId="0" applyFill="1" applyBorder="1"/>
    <xf numFmtId="0" fontId="1" fillId="13" borderId="35" xfId="0" applyFont="1" applyFill="1" applyBorder="1"/>
    <xf numFmtId="0" fontId="0" fillId="13" borderId="42" xfId="0" applyFill="1" applyBorder="1" applyAlignment="1">
      <alignment wrapText="1"/>
    </xf>
    <xf numFmtId="0" fontId="0" fillId="2" borderId="41" xfId="0" applyFill="1" applyBorder="1" applyAlignment="1">
      <alignment wrapText="1"/>
    </xf>
    <xf numFmtId="0" fontId="0" fillId="2" borderId="42" xfId="0" applyFill="1" applyBorder="1" applyAlignment="1">
      <alignment wrapText="1"/>
    </xf>
    <xf numFmtId="0" fontId="0" fillId="10" borderId="36" xfId="0" applyFill="1" applyBorder="1" applyAlignment="1">
      <alignment wrapText="1"/>
    </xf>
    <xf numFmtId="0" fontId="0" fillId="10" borderId="37" xfId="0" applyFill="1" applyBorder="1" applyAlignment="1">
      <alignment wrapText="1"/>
    </xf>
    <xf numFmtId="0" fontId="0" fillId="10" borderId="37" xfId="0" applyFill="1" applyBorder="1"/>
    <xf numFmtId="0" fontId="0" fillId="10" borderId="36" xfId="0" applyFill="1" applyBorder="1"/>
    <xf numFmtId="0" fontId="1" fillId="13" borderId="36" xfId="0" applyFont="1" applyFill="1" applyBorder="1" applyAlignment="1">
      <alignment wrapText="1"/>
    </xf>
    <xf numFmtId="0" fontId="1" fillId="13" borderId="37" xfId="0" applyFont="1" applyFill="1" applyBorder="1" applyAlignment="1">
      <alignment wrapText="1"/>
    </xf>
    <xf numFmtId="0" fontId="1" fillId="19" borderId="36" xfId="0" applyFont="1" applyFill="1" applyBorder="1" applyAlignment="1">
      <alignment wrapText="1"/>
    </xf>
    <xf numFmtId="0" fontId="1" fillId="19" borderId="37" xfId="0" applyFont="1" applyFill="1" applyBorder="1" applyAlignment="1">
      <alignment wrapText="1"/>
    </xf>
    <xf numFmtId="0" fontId="1" fillId="19" borderId="37" xfId="0" applyFont="1" applyFill="1" applyBorder="1"/>
    <xf numFmtId="0" fontId="1" fillId="5" borderId="36" xfId="0" applyFont="1" applyFill="1" applyBorder="1" applyAlignment="1">
      <alignment wrapText="1"/>
    </xf>
    <xf numFmtId="0" fontId="1" fillId="5" borderId="37" xfId="0" applyFont="1" applyFill="1" applyBorder="1"/>
    <xf numFmtId="0" fontId="1" fillId="5" borderId="37" xfId="0" applyFont="1" applyFill="1" applyBorder="1" applyAlignment="1">
      <alignment wrapText="1"/>
    </xf>
    <xf numFmtId="0" fontId="1" fillId="5" borderId="36" xfId="0" applyFont="1" applyFill="1" applyBorder="1"/>
    <xf numFmtId="0" fontId="0" fillId="5" borderId="37" xfId="0" applyFill="1" applyBorder="1"/>
    <xf numFmtId="0" fontId="1" fillId="20" borderId="36" xfId="0" applyFont="1" applyFill="1" applyBorder="1"/>
    <xf numFmtId="0" fontId="1" fillId="20" borderId="37" xfId="0" applyFont="1" applyFill="1" applyBorder="1"/>
    <xf numFmtId="0" fontId="22" fillId="6" borderId="2" xfId="0" applyFont="1" applyFill="1" applyBorder="1" applyAlignment="1">
      <alignment horizontal="center" vertical="center" wrapText="1"/>
    </xf>
    <xf numFmtId="0" fontId="22" fillId="6" borderId="3" xfId="0" applyFont="1" applyFill="1" applyBorder="1" applyAlignment="1">
      <alignment horizontal="center" vertical="center" wrapText="1"/>
    </xf>
    <xf numFmtId="0" fontId="3" fillId="0" borderId="20" xfId="0" applyFont="1" applyBorder="1" applyAlignment="1">
      <alignment horizontal="center"/>
    </xf>
    <xf numFmtId="0" fontId="3" fillId="0" borderId="0" xfId="0" applyFont="1" applyAlignment="1">
      <alignment horizontal="center"/>
    </xf>
    <xf numFmtId="0" fontId="5" fillId="0" borderId="2" xfId="0" applyFont="1" applyBorder="1" applyAlignment="1">
      <alignment horizontal="center" wrapText="1"/>
    </xf>
    <xf numFmtId="0" fontId="5" fillId="0" borderId="3" xfId="0" applyFont="1" applyBorder="1" applyAlignment="1">
      <alignment horizontal="center" wrapText="1"/>
    </xf>
    <xf numFmtId="0" fontId="22" fillId="6" borderId="36" xfId="0" applyFont="1" applyFill="1" applyBorder="1" applyAlignment="1">
      <alignment horizontal="center" vertical="center" wrapText="1"/>
    </xf>
    <xf numFmtId="0" fontId="22" fillId="6" borderId="38" xfId="0" applyFont="1" applyFill="1" applyBorder="1" applyAlignment="1">
      <alignment horizontal="center" vertical="center" wrapText="1"/>
    </xf>
    <xf numFmtId="0" fontId="22" fillId="6" borderId="37" xfId="0" applyFont="1" applyFill="1" applyBorder="1" applyAlignment="1">
      <alignment horizontal="center" vertical="center" wrapText="1"/>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0" borderId="5" xfId="0" applyFont="1" applyBorder="1" applyAlignment="1">
      <alignment horizontal="center" vertical="center"/>
    </xf>
    <xf numFmtId="0" fontId="2" fillId="0" borderId="34" xfId="0" applyFont="1" applyBorder="1" applyAlignment="1">
      <alignment horizontal="center" vertical="center"/>
    </xf>
    <xf numFmtId="164" fontId="0" fillId="0" borderId="33" xfId="0" applyNumberFormat="1" applyBorder="1" applyAlignment="1">
      <alignment horizontal="center" vertical="center"/>
    </xf>
    <xf numFmtId="164" fontId="0" fillId="0" borderId="6" xfId="0" applyNumberFormat="1" applyBorder="1" applyAlignment="1">
      <alignment horizontal="center" vertical="center"/>
    </xf>
    <xf numFmtId="164" fontId="0" fillId="0" borderId="5" xfId="0" applyNumberFormat="1" applyBorder="1" applyAlignment="1">
      <alignment horizontal="center" vertical="center"/>
    </xf>
    <xf numFmtId="0" fontId="5" fillId="0" borderId="33" xfId="0" applyFont="1" applyBorder="1" applyAlignment="1">
      <alignment horizontal="center" wrapText="1"/>
    </xf>
    <xf numFmtId="0" fontId="5" fillId="0" borderId="25" xfId="0" applyFont="1" applyBorder="1" applyAlignment="1">
      <alignment horizontal="center"/>
    </xf>
    <xf numFmtId="0" fontId="5" fillId="0" borderId="26" xfId="0" applyFont="1" applyBorder="1" applyAlignment="1">
      <alignment horizontal="center"/>
    </xf>
  </cellXfs>
  <cellStyles count="4">
    <cellStyle name="Hyperlink" xfId="1" builtinId="8"/>
    <cellStyle name="Hyperlink 2" xfId="3" xr:uid="{473EAFDF-2D2F-49FC-B574-EF3E79B97B8B}"/>
    <cellStyle name="Normal" xfId="0" builtinId="0"/>
    <cellStyle name="Normal 2" xfId="2" xr:uid="{01D459A2-93D4-4844-96A1-390CD594F16E}"/>
  </cellStyles>
  <dxfs count="0"/>
  <tableStyles count="0" defaultTableStyle="TableStyleMedium2" defaultPivotStyle="PivotStyleLight16"/>
  <colors>
    <mruColors>
      <color rgb="FFBBD3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comune.palermo.it/palermo-informa-dettaglio.php?id=37494&amp;tp=1" TargetMode="External"/><Relationship Id="rId21" Type="http://schemas.openxmlformats.org/officeDocument/2006/relationships/hyperlink" Target="https://esg.nexteconomia.org/utente/cersrinnovaanguillara/" TargetMode="External"/><Relationship Id="rId42" Type="http://schemas.openxmlformats.org/officeDocument/2006/relationships/hyperlink" Target="https://www.cer-anpci.it/wp-content/uploads/2024/01/Arcore_2023_CER-Studio-di-Fattibilita_Comune-di-Arcore_-.pdf" TargetMode="External"/><Relationship Id="rId47" Type="http://schemas.openxmlformats.org/officeDocument/2006/relationships/hyperlink" Target="https://www.cer-anpci.it/wp-content/uploads/2024/01/Aicurzio_2023_CER-Studio-di-Fattibilita.pdf" TargetMode="External"/><Relationship Id="rId63" Type="http://schemas.openxmlformats.org/officeDocument/2006/relationships/hyperlink" Target="https://www.cer-anpci.it/wp-content/uploads/2024/02/Palazzolo-SullOglio_2023_CER-Studio-di-Fattibilita.pdf?" TargetMode="External"/><Relationship Id="rId68" Type="http://schemas.openxmlformats.org/officeDocument/2006/relationships/hyperlink" Target="https://cremonasera.it/cronaca/nasce-a-gussola-la-prima-comunit-energetica-rinnovabile-fondazione-cer-top-energie-ets-coinvolti-6-comuni-5-parrocchie-e-3-enti-del-terzo-settore-gi-pronti-altri-5-progetti" TargetMode="External"/><Relationship Id="rId84" Type="http://schemas.openxmlformats.org/officeDocument/2006/relationships/hyperlink" Target="https://esg.nexteconomia.org/utente/cer-i-care-reggio-emilia/" TargetMode="External"/><Relationship Id="rId16" Type="http://schemas.openxmlformats.org/officeDocument/2006/relationships/hyperlink" Target="https://reteperilclimadelverbano.it/wp-content/uploads/2024/10/CER-29ott24-rev-tp.pdf" TargetMode="External"/><Relationship Id="rId11" Type="http://schemas.openxmlformats.org/officeDocument/2006/relationships/hyperlink" Target="https://esg.nexteconomia.org/" TargetMode="External"/><Relationship Id="rId32" Type="http://schemas.openxmlformats.org/officeDocument/2006/relationships/hyperlink" Target="https://www.verbanonews.it/aree-geografiche/lago-maggiore/2024/10/01/nasce-la-comunita-energetica-rinnovabile-di-sesto-calende/989973/?utm_source=chatgpt.com" TargetMode="External"/><Relationship Id="rId37" Type="http://schemas.openxmlformats.org/officeDocument/2006/relationships/hyperlink" Target="https://www.energialombardia.eu/cer/monitoraggio" TargetMode="External"/><Relationship Id="rId53" Type="http://schemas.openxmlformats.org/officeDocument/2006/relationships/hyperlink" Target="https://www.cremaonline.it/politica/28-11-2024_Costituite+le+prime+due+Cer+del+territorio%3A+Fulcheria+e+Adda+Serio" TargetMode="External"/><Relationship Id="rId58" Type="http://schemas.openxmlformats.org/officeDocument/2006/relationships/hyperlink" Target="https://www.cremaonline.it/politica/06-12-2024_Consorzio.%2BCostitute%2Ble%2BCer%2BOglio%2BSerio%2Be%2BPalate%2BFontanili/?" TargetMode="External"/><Relationship Id="rId74" Type="http://schemas.openxmlformats.org/officeDocument/2006/relationships/hyperlink" Target="https://sinergiecondivise.it/comunita-energetiche-rinnovabili/" TargetMode="External"/><Relationship Id="rId79" Type="http://schemas.openxmlformats.org/officeDocument/2006/relationships/hyperlink" Target="https://www.bryo-spa.it/2024/10/22/nasce-la-prima-comunita-energetica-del-territorio-imolese-sotto-forma-di-cooperativa/" TargetMode="External"/><Relationship Id="rId5" Type="http://schemas.openxmlformats.org/officeDocument/2006/relationships/hyperlink" Target="https://www.ener2crowd.com/it/progetti/dettaglio/185-comunitagrave-energetica-4?_gl=1*1ws13mq*_up*MQ..&amp;gclid=CjwKCAjw-O6zBhASEiwAOHeGxbbww6yrUwosi5Q1mrnLA4PSrmOLG9F0a0I-4rs0Y3uo81NKhrIorhoCumMQAvD_BwE;%20personal%20communication%20with%20Ener2Crowd" TargetMode="External"/><Relationship Id="rId19" Type="http://schemas.openxmlformats.org/officeDocument/2006/relationships/hyperlink" Target="https://reteperilclimadelverbano.it/wp-content/uploads/2024/10/CER-29ott24-rev-tp.pdf" TargetMode="External"/><Relationship Id="rId14" Type="http://schemas.openxmlformats.org/officeDocument/2006/relationships/hyperlink" Target="https://esg.nexteconomia.org/utente/ezio-chiaramello/" TargetMode="External"/><Relationship Id="rId22" Type="http://schemas.openxmlformats.org/officeDocument/2006/relationships/hyperlink" Target="https://esg.nexteconomia.org/utente/sun-fai-cers/;%20GSE%20portal" TargetMode="External"/><Relationship Id="rId27" Type="http://schemas.openxmlformats.org/officeDocument/2006/relationships/hyperlink" Target="https://www.gse.it/servizi-per-te/autoconsumo/mappa-interattiva-delle-cabine-primarie" TargetMode="External"/><Relationship Id="rId30" Type="http://schemas.openxmlformats.org/officeDocument/2006/relationships/hyperlink" Target="https://cercami.info/" TargetMode="External"/><Relationship Id="rId35" Type="http://schemas.openxmlformats.org/officeDocument/2006/relationships/hyperlink" Target="https://www.unioncamere.gov.it/sistema-camerale/news-dal-sistema-camerale/varese-costituita-la-comunita-energetica-rinnovabile-di-malpensafiere?" TargetMode="External"/><Relationship Id="rId43" Type="http://schemas.openxmlformats.org/officeDocument/2006/relationships/hyperlink" Target="https://www.cer-anpci.it/wp-content/uploads/2024/01/ModificatoVigano_2023_CER-Studio-di-Fattibilita_Comune-di-Vigano_-.pdf" TargetMode="External"/><Relationship Id="rId48" Type="http://schemas.openxmlformats.org/officeDocument/2006/relationships/hyperlink" Target="https://www.cer-anpci.it/wp-content/uploads/2024/02/OkMiradolo-Terme_2023_CER-Studio-di-Fattibilita_Comune-di-Miradolo-Terme_-.pdf" TargetMode="External"/><Relationship Id="rId56" Type="http://schemas.openxmlformats.org/officeDocument/2006/relationships/hyperlink" Target="https://www.cremaonline.it/politica/12-12-2024_Consorzio.+Costituite+le+Comunit%C3%A0+energetiche+Gerundo+e+Crema+" TargetMode="External"/><Relationship Id="rId64" Type="http://schemas.openxmlformats.org/officeDocument/2006/relationships/hyperlink" Target="https://primabrescia.it/cronaca/energia-pulita-e-rinnovabile-a-chilometro-zero-a-cologne-nasce-la-cer/?" TargetMode="External"/><Relationship Id="rId69" Type="http://schemas.openxmlformats.org/officeDocument/2006/relationships/hyperlink" Target="http://bimcascia.pg.it/cnsrzbimnv/po/mostra_news.php?id=25&amp;area=H" TargetMode="External"/><Relationship Id="rId77" Type="http://schemas.openxmlformats.org/officeDocument/2006/relationships/hyperlink" Target="https://esg.nexteconomia.org/utente/cer-la-pianticella/" TargetMode="External"/><Relationship Id="rId8" Type="http://schemas.openxmlformats.org/officeDocument/2006/relationships/hyperlink" Target="https://www.enostra.it/nasce-la-comunita-energetica-di-santeramo-in-colle-ba/" TargetMode="External"/><Relationship Id="rId51" Type="http://schemas.openxmlformats.org/officeDocument/2006/relationships/hyperlink" Target="https://www.cer-anpci.it/wp-content/uploads/2024/01/Capizzone_2023_CER-Studio-di-Fattibilita.pdf" TargetMode="External"/><Relationship Id="rId72" Type="http://schemas.openxmlformats.org/officeDocument/2006/relationships/hyperlink" Target="https://energy4com.eu/progetti/" TargetMode="External"/><Relationship Id="rId80" Type="http://schemas.openxmlformats.org/officeDocument/2006/relationships/hyperlink" Target="https://sinergiecondivise.it/comunita-energetiche-rinnovabili/" TargetMode="External"/><Relationship Id="rId85" Type="http://schemas.openxmlformats.org/officeDocument/2006/relationships/hyperlink" Target="https://esg.nexteconomia.org/utente/cer-la-quercia-viterbo-sud/" TargetMode="External"/><Relationship Id="rId3" Type="http://schemas.openxmlformats.org/officeDocument/2006/relationships/hyperlink" Target="https://www.ener2crowd.com/it/progetti/dettaglio/236-comunitagrave-energetica-7?_gl=1*1ui9y0n*_up*MQ..&amp;gclid=CjwKCAjw-O6zBhASEiwAOHeGxbbww6yrUwosi5Q1mrnLA4PSrmOLG9F0a0I-4rs0Y3uo81NKhrIorhoCumMQAvD_BwE;;%20personal%20communication%20with%20Ener2Crowd" TargetMode="External"/><Relationship Id="rId12" Type="http://schemas.openxmlformats.org/officeDocument/2006/relationships/hyperlink" Target="https://esg.nexteconomia.org/" TargetMode="External"/><Relationship Id="rId17" Type="http://schemas.openxmlformats.org/officeDocument/2006/relationships/hyperlink" Target="https://rete-ries.it/soci/notizie-soci/co-energia-un-anno-di-incontri-sulle-cers/" TargetMode="External"/><Relationship Id="rId25" Type="http://schemas.openxmlformats.org/officeDocument/2006/relationships/hyperlink" Target="https://www.cerpalermoest.com/" TargetMode="External"/><Relationship Id="rId33" Type="http://schemas.openxmlformats.org/officeDocument/2006/relationships/hyperlink" Target="https://www.cer-anpci.it/wp-content/uploads/2024/02/OkValle-Lomellina_2023_CER-Studio-di-Fattibilita_Comune-di-Valle-Lomellina_-.pdf?" TargetMode="External"/><Relationship Id="rId38" Type="http://schemas.openxmlformats.org/officeDocument/2006/relationships/hyperlink" Target="https://www.ciaocomo.it/2024/12/06/nasce-la-cers-del-lario-ets-la-comunita-energetica-di-11-comuni-e-4-imprese/291876/?utm_source=chatgpt.com" TargetMode="External"/><Relationship Id="rId46" Type="http://schemas.openxmlformats.org/officeDocument/2006/relationships/hyperlink" Target="https://www.lombardia.confcooperative.it/Dettaglio/ArtMID/523/ArticleID/4932/Parte-la-CER-di-Ronco-Briantino?utm_source=chatgpt.com" TargetMode="External"/><Relationship Id="rId59" Type="http://schemas.openxmlformats.org/officeDocument/2006/relationships/hyperlink" Target="https://www.consorzioit.net/CER-realta?" TargetMode="External"/><Relationship Id="rId67" Type="http://schemas.openxmlformats.org/officeDocument/2006/relationships/hyperlink" Target="https://www.cer-anpci.it/wp-content/uploads/2024/01/Calvisano_2023_CER-Studio-di-Fattibilita.pdf?" TargetMode="External"/><Relationship Id="rId20" Type="http://schemas.openxmlformats.org/officeDocument/2006/relationships/hyperlink" Target="https://www.rse-web.it/wp-content/uploads/2024/09/Elaborazione-del-Modello-di-Piano-dazione-locale-per-le-CER-del-Modello-di-Piano-organizzativo-di-comunita-e-integrazione-della-risorsa-geotermica.pdf" TargetMode="External"/><Relationship Id="rId41" Type="http://schemas.openxmlformats.org/officeDocument/2006/relationships/hyperlink" Target="https://www.cer-anpci.it/wp-content/uploads/2024/01/Albiate_2023_CER-Studio-di-Fattibilita.pdf" TargetMode="External"/><Relationship Id="rId54" Type="http://schemas.openxmlformats.org/officeDocument/2006/relationships/hyperlink" Target="https://www.qualenergia.it/articoli/crescono-cer-promosse-terzo-settore-enti-locali-quando-ci-sono-risorse/?" TargetMode="External"/><Relationship Id="rId62" Type="http://schemas.openxmlformats.org/officeDocument/2006/relationships/hyperlink" Target="https://www.energialombardia.eu/cer/monitoraggio" TargetMode="External"/><Relationship Id="rId70" Type="http://schemas.openxmlformats.org/officeDocument/2006/relationships/hyperlink" Target="https://picchionews.it/varie/sisma-2016-comunita-energetiche-rinnovabili-oltre-50-milioni-nelle-marche-matelica-e-camerino-capofila" TargetMode="External"/><Relationship Id="rId75" Type="http://schemas.openxmlformats.org/officeDocument/2006/relationships/hyperlink" Target="https://www.corrieredirieti.it/rieti-provincia/otto-milioni-per-tre-comunita-energetiche-del-cratere/" TargetMode="External"/><Relationship Id="rId83" Type="http://schemas.openxmlformats.org/officeDocument/2006/relationships/hyperlink" Target="https://esg.nexteconomia.org/utente/cer-energie-future/" TargetMode="External"/><Relationship Id="rId88" Type="http://schemas.openxmlformats.org/officeDocument/2006/relationships/printerSettings" Target="../printerSettings/printerSettings1.bin"/><Relationship Id="rId1" Type="http://schemas.openxmlformats.org/officeDocument/2006/relationships/hyperlink" Target="https://energia.incooperazione.it/cer-in-trentino" TargetMode="External"/><Relationship Id="rId6" Type="http://schemas.openxmlformats.org/officeDocument/2006/relationships/hyperlink" Target="https://esg.nexteconomia.org/utente/cer-di-sassofeltrio/" TargetMode="External"/><Relationship Id="rId15" Type="http://schemas.openxmlformats.org/officeDocument/2006/relationships/hyperlink" Target="https://esg.nexteconomia.org/utente/cerbermf/" TargetMode="External"/><Relationship Id="rId23" Type="http://schemas.openxmlformats.org/officeDocument/2006/relationships/hyperlink" Target="https://sinergiecondivise.it/comunita-energetiche-rinnovabili/" TargetMode="External"/><Relationship Id="rId28" Type="http://schemas.openxmlformats.org/officeDocument/2006/relationships/hyperlink" Target="https://cer-amica.webnode.it/" TargetMode="External"/><Relationship Id="rId36" Type="http://schemas.openxmlformats.org/officeDocument/2006/relationships/hyperlink" Target="https://www.luinonotizie.it/2024/09/24/valceresio-nasce-la-comunita-energetica-delle-5-vette/492620?utm_source=chatgpt.com" TargetMode="External"/><Relationship Id="rId49" Type="http://schemas.openxmlformats.org/officeDocument/2006/relationships/hyperlink" Target="https://www.legambientelodi.it/aderire-alla-cers-comunita-solare-lodi-e-piacenza/?utm_source=chatgpt.com" TargetMode="External"/><Relationship Id="rId57" Type="http://schemas.openxmlformats.org/officeDocument/2006/relationships/hyperlink" Target="https://www.cremaonline.it/politica/06-12-2024_Consorzio.+Costitute+le+Cer+Oglio+Serio+e+Palate+Fontanili" TargetMode="External"/><Relationship Id="rId10" Type="http://schemas.openxmlformats.org/officeDocument/2006/relationships/hyperlink" Target="https://esg.nexteconomia.org/utente/cer-stella-aragona/" TargetMode="External"/><Relationship Id="rId31" Type="http://schemas.openxmlformats.org/officeDocument/2006/relationships/hyperlink" Target="https://sondrio.comunitaenergeticarinnovabile.it/" TargetMode="External"/><Relationship Id="rId44" Type="http://schemas.openxmlformats.org/officeDocument/2006/relationships/hyperlink" Target="https://www.cer-anpci.it/wp-content/uploads/2024/02/Santa-Maria-Hoe_2023_CER-Studio-di-Fattibilita.pdf" TargetMode="External"/><Relationship Id="rId52" Type="http://schemas.openxmlformats.org/officeDocument/2006/relationships/hyperlink" Target="https://www.consorzioit.net/CER-11dic?" TargetMode="External"/><Relationship Id="rId60" Type="http://schemas.openxmlformats.org/officeDocument/2006/relationships/hyperlink" Target="https://www.consorzioit.net/valle_dadda?" TargetMode="External"/><Relationship Id="rId65" Type="http://schemas.openxmlformats.org/officeDocument/2006/relationships/hyperlink" Target="https://www.cer-anpci.it/wp-content/uploads/2024/02/Orzivecchi_2023_CER-Studio-di-Fattibilita_Comune-di-Orzivecchi_-.pdf" TargetMode="External"/><Relationship Id="rId73" Type="http://schemas.openxmlformats.org/officeDocument/2006/relationships/hyperlink" Target="https://www.cerpiugreen.it/" TargetMode="External"/><Relationship Id="rId78" Type="http://schemas.openxmlformats.org/officeDocument/2006/relationships/hyperlink" Target="https://esg.nexteconomia.org/utente/cers-anzio-nettuno/" TargetMode="External"/><Relationship Id="rId81" Type="http://schemas.openxmlformats.org/officeDocument/2006/relationships/hyperlink" Target="https://esg.nexteconomia.org/utente/cers-polo-civico-esquilino/" TargetMode="External"/><Relationship Id="rId86" Type="http://schemas.openxmlformats.org/officeDocument/2006/relationships/hyperlink" Target="https://esg.nexteconomia.org/utente/cerlomellina/" TargetMode="External"/><Relationship Id="rId4" Type="http://schemas.openxmlformats.org/officeDocument/2006/relationships/hyperlink" Target="https://www.ener2crowd.com/it/progetti/dettaglio/235-comunitagrave-energetica-2?_gl=1*1ui9y0n*_up*MQ..&amp;gclid=CjwKCAjw-O6zBhASEiwAOHeGxbbww6yrUwosi5Q1mrnLA4PSrmOLG9F0a0I-4rs0Y3uo81NKhrIorhoCumMQAvD_BwE;%20personal%20communication%20with%20Ener2Crowd" TargetMode="External"/><Relationship Id="rId9" Type="http://schemas.openxmlformats.org/officeDocument/2006/relationships/hyperlink" Target="https://www.enostra.it/nasce-la-cer-bolenergia-un-esempio-di-solidarieta-tra-cittadini/" TargetMode="External"/><Relationship Id="rId13" Type="http://schemas.openxmlformats.org/officeDocument/2006/relationships/hyperlink" Target="https://esg.nexteconomia.org/utente/cer-nosenergia/" TargetMode="External"/><Relationship Id="rId18" Type="http://schemas.openxmlformats.org/officeDocument/2006/relationships/hyperlink" Target="https://reteperilclimadelverbano.it/wp-content/uploads/2024/10/CER-29ott24-rev-tp.pdf" TargetMode="External"/><Relationship Id="rId39" Type="http://schemas.openxmlformats.org/officeDocument/2006/relationships/hyperlink" Target="https://www.cer-anpci.it/wp-content/uploads/2024/01/Cogliate_2023_CER-Studio-di-Fattibilita.pdf" TargetMode="External"/><Relationship Id="rId34" Type="http://schemas.openxmlformats.org/officeDocument/2006/relationships/hyperlink" Target="https://www.cer-anpci.it/cer-ternate/?" TargetMode="External"/><Relationship Id="rId50" Type="http://schemas.openxmlformats.org/officeDocument/2006/relationships/hyperlink" Target="https://www.cer-anpci.it/wp-content/uploads/2024/01/Fara-Gera-DAdda_2023_CER-Studio-di-Fattibilita.pdf?" TargetMode="External"/><Relationship Id="rId55" Type="http://schemas.openxmlformats.org/officeDocument/2006/relationships/hyperlink" Target="https://www.sorgenia.it/content/approvato-il-progetto-la-comunita-energetica-di-casalpusterlengo?" TargetMode="External"/><Relationship Id="rId76" Type="http://schemas.openxmlformats.org/officeDocument/2006/relationships/hyperlink" Target="https://www.chiesadimilano.it/news/chiesa-diocesi/energie-rinnovabili-cosi-a-greco-si-fa-soledarieta-2797667.html" TargetMode="External"/><Relationship Id="rId7" Type="http://schemas.openxmlformats.org/officeDocument/2006/relationships/hyperlink" Target="http://95.110.227.90/rosetocomunitaenergetica/Contenuto.asp?pg=1&amp;ipg=5&amp;lg=1" TargetMode="External"/><Relationship Id="rId71" Type="http://schemas.openxmlformats.org/officeDocument/2006/relationships/hyperlink" Target="https://www.unite.it/UniTE/Bandi_di_gara_e_contratti/COMUNITA_ENERGETICA_DELL_UNIVERSITA_DI_TERAMO" TargetMode="External"/><Relationship Id="rId2" Type="http://schemas.openxmlformats.org/officeDocument/2006/relationships/hyperlink" Target="https://www.ener2crowd.com/it/progetti/dettaglio/185-comunitagrave-energetica-4?_gl=1*1ws13mq*_up*MQ..&amp;gclid=CjwKCAjw-O6zBhASEiwAOHeGxbbww6yrUwosi5Q1mrnLA4PSrmOLG9F0a0I-4rs0Y3uo81NKhrIorhoCumMQAvD_BwE;%20personal%20communication%20with%20Ener2Crowd" TargetMode="External"/><Relationship Id="rId29" Type="http://schemas.openxmlformats.org/officeDocument/2006/relationships/hyperlink" Target="https://lozza.comunitaenergeticarinnovabile.it/;" TargetMode="External"/><Relationship Id="rId24" Type="http://schemas.openxmlformats.org/officeDocument/2006/relationships/hyperlink" Target="https://www.gse.it/servizi-per-te/autoconsumo/mappa-interattiva-delle-cabine-primarie;%20v" TargetMode="External"/><Relationship Id="rId40" Type="http://schemas.openxmlformats.org/officeDocument/2006/relationships/hyperlink" Target="https://www.greenflex.com/it/progetti/referenze/impianto-fotovoltaico-chiavi-in-mano-edificio16/" TargetMode="External"/><Relationship Id="rId45" Type="http://schemas.openxmlformats.org/officeDocument/2006/relationships/hyperlink" Target="https://www.cer-anpci.it/wp-content/uploads/2024/02/Inverno-E-Monteleone_2023_CER-Studio-di-Fattibilita.pdf" TargetMode="External"/><Relationship Id="rId66" Type="http://schemas.openxmlformats.org/officeDocument/2006/relationships/hyperlink" Target="https://www.cer-anpci.it/wp-content/uploads/2024/01/Corzano_2023_CER-Studio-di-Fattibilita_Comune-di-Corzano_-.pdf" TargetMode="External"/><Relationship Id="rId87" Type="http://schemas.openxmlformats.org/officeDocument/2006/relationships/hyperlink" Target="https://esg.nexteconomia.org/utente/comunita-energetica-via-dei-partigiani/" TargetMode="External"/><Relationship Id="rId61" Type="http://schemas.openxmlformats.org/officeDocument/2006/relationships/hyperlink" Target="https://www.cer-anpci.it/wp-content/uploads/2024/01/Cappella-Cantone_2023_CER-Studio-di-Fattibilita.pdf?" TargetMode="External"/><Relationship Id="rId82" Type="http://schemas.openxmlformats.org/officeDocument/2006/relationships/hyperlink" Target="https://esg.nexteconomia.org/utente/cer-di-borgo-val-di-taro/"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barzio.comunitaenergeticarinnovabile.it/" TargetMode="External"/><Relationship Id="rId3" Type="http://schemas.openxmlformats.org/officeDocument/2006/relationships/hyperlink" Target="https://lozza.comunitaenergeticarinnovabile.it/" TargetMode="External"/><Relationship Id="rId7" Type="http://schemas.openxmlformats.org/officeDocument/2006/relationships/hyperlink" Target="https://bancodellenergia.it/sol_solari_e_solidali/" TargetMode="External"/><Relationship Id="rId2" Type="http://schemas.openxmlformats.org/officeDocument/2006/relationships/hyperlink" Target="https://cerlaghi.pythonanywhere.com/" TargetMode="External"/><Relationship Id="rId1" Type="http://schemas.openxmlformats.org/officeDocument/2006/relationships/hyperlink" Target="https://cer-amica.webnode.it/" TargetMode="External"/><Relationship Id="rId6" Type="http://schemas.openxmlformats.org/officeDocument/2006/relationships/hyperlink" Target="https://sondrio.comunitaenergeticarinnovabile.it/" TargetMode="External"/><Relationship Id="rId5" Type="http://schemas.openxmlformats.org/officeDocument/2006/relationships/hyperlink" Target="https://fondazionesinergia.it/" TargetMode="External"/><Relationship Id="rId4" Type="http://schemas.openxmlformats.org/officeDocument/2006/relationships/hyperlink" Target="https://cercami.info/" TargetMode="External"/><Relationship Id="rId9" Type="http://schemas.openxmlformats.org/officeDocument/2006/relationships/hyperlink" Target="https://sun-fai.or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72D37-39B3-4B67-B146-F109096885C4}">
  <sheetPr codeName="Sheet1"/>
  <dimension ref="A1:AK422"/>
  <sheetViews>
    <sheetView tabSelected="1" zoomScale="80" zoomScaleNormal="80" workbookViewId="0">
      <pane xSplit="1" ySplit="1" topLeftCell="B371" activePane="bottomRight" state="frozen"/>
      <selection pane="topRight" activeCell="B1" sqref="B1"/>
      <selection pane="bottomLeft" activeCell="A2" sqref="A2"/>
      <selection pane="bottomRight" activeCell="L374" sqref="L374"/>
    </sheetView>
  </sheetViews>
  <sheetFormatPr defaultRowHeight="15" x14ac:dyDescent="0.25"/>
  <cols>
    <col min="1" max="1" width="16" style="26" customWidth="1"/>
    <col min="2" max="2" width="16.85546875" style="26" customWidth="1"/>
    <col min="3" max="3" width="9.28515625" style="26" customWidth="1"/>
    <col min="4" max="4" width="8" style="26" customWidth="1"/>
    <col min="5" max="5" width="7.85546875" style="26" customWidth="1"/>
    <col min="6" max="6" width="9.140625" customWidth="1"/>
    <col min="7" max="7" width="10.42578125" style="26" customWidth="1"/>
    <col min="8" max="8" width="8.42578125" style="26" customWidth="1"/>
    <col min="9" max="9" width="5.28515625" style="26" customWidth="1"/>
    <col min="10" max="10" width="8.140625" style="26" customWidth="1"/>
    <col min="11" max="11" width="29.42578125" style="2" customWidth="1"/>
    <col min="12" max="12" width="9.7109375" style="26" customWidth="1"/>
    <col min="13" max="13" width="9.5703125" style="26" customWidth="1"/>
    <col min="14" max="14" width="10.5703125" style="26" customWidth="1"/>
    <col min="15" max="15" width="8" style="26" customWidth="1"/>
    <col min="17" max="17" width="9.5703125" style="26" customWidth="1"/>
    <col min="18" max="18" width="11" style="26" customWidth="1"/>
    <col min="19" max="19" width="8.140625" style="26" customWidth="1"/>
    <col min="20" max="20" width="8.5703125" style="26" customWidth="1"/>
    <col min="21" max="21" width="15.5703125" customWidth="1"/>
    <col min="24" max="24" width="12.85546875" customWidth="1"/>
    <col min="25" max="25" width="13.28515625" customWidth="1"/>
    <col min="33" max="33" width="11.42578125" bestFit="1" customWidth="1"/>
  </cols>
  <sheetData>
    <row r="1" spans="1:37" s="26" customFormat="1" ht="51" customHeight="1" x14ac:dyDescent="0.2">
      <c r="A1" s="27" t="s">
        <v>44</v>
      </c>
      <c r="B1" s="27" t="s">
        <v>45</v>
      </c>
      <c r="C1" s="29" t="s">
        <v>355</v>
      </c>
      <c r="D1" s="28" t="s">
        <v>5090</v>
      </c>
      <c r="E1" s="28" t="s">
        <v>5208</v>
      </c>
      <c r="F1" s="28" t="s">
        <v>5207</v>
      </c>
      <c r="G1" s="29" t="s">
        <v>5216</v>
      </c>
      <c r="H1" s="28" t="s">
        <v>68</v>
      </c>
      <c r="I1" s="27" t="s">
        <v>172</v>
      </c>
      <c r="J1" s="28" t="s">
        <v>3535</v>
      </c>
      <c r="K1" s="30" t="s">
        <v>3534</v>
      </c>
      <c r="L1" s="30" t="s">
        <v>420</v>
      </c>
      <c r="M1" s="30" t="s">
        <v>421</v>
      </c>
      <c r="N1" s="30" t="s">
        <v>556</v>
      </c>
      <c r="O1" s="30" t="s">
        <v>557</v>
      </c>
      <c r="P1" s="32" t="s">
        <v>5193</v>
      </c>
      <c r="Q1" s="41" t="s">
        <v>604</v>
      </c>
      <c r="R1" s="41" t="s">
        <v>605</v>
      </c>
      <c r="S1" s="41" t="s">
        <v>606</v>
      </c>
      <c r="T1" s="41" t="s">
        <v>607</v>
      </c>
      <c r="U1" s="76" t="s">
        <v>5320</v>
      </c>
      <c r="V1" s="28" t="s">
        <v>48</v>
      </c>
      <c r="W1" s="28" t="s">
        <v>293</v>
      </c>
      <c r="X1" s="28" t="s">
        <v>296</v>
      </c>
      <c r="Y1" s="28" t="s">
        <v>46</v>
      </c>
      <c r="Z1" s="28" t="s">
        <v>47</v>
      </c>
      <c r="AA1" s="28" t="s">
        <v>50</v>
      </c>
      <c r="AB1" s="27" t="s">
        <v>82</v>
      </c>
      <c r="AC1" s="27" t="s">
        <v>49</v>
      </c>
      <c r="AD1" s="28" t="s">
        <v>794</v>
      </c>
      <c r="AE1" s="28" t="s">
        <v>797</v>
      </c>
      <c r="AF1" s="53" t="s">
        <v>5323</v>
      </c>
      <c r="AG1" s="53" t="s">
        <v>5322</v>
      </c>
      <c r="AH1" s="53" t="s">
        <v>4784</v>
      </c>
      <c r="AI1" s="2" t="s">
        <v>3676</v>
      </c>
      <c r="AJ1" s="2" t="s">
        <v>3678</v>
      </c>
      <c r="AK1" s="2" t="s">
        <v>3677</v>
      </c>
    </row>
    <row r="2" spans="1:37" s="2" customFormat="1" ht="47.25" customHeight="1" x14ac:dyDescent="0.25">
      <c r="A2" s="1" t="s">
        <v>489</v>
      </c>
      <c r="B2" s="1" t="s">
        <v>490</v>
      </c>
      <c r="C2" s="1" t="s">
        <v>350</v>
      </c>
      <c r="D2" s="1">
        <v>1</v>
      </c>
      <c r="E2" s="1">
        <v>188</v>
      </c>
      <c r="F2" s="1">
        <v>188</v>
      </c>
      <c r="G2" s="1">
        <v>188</v>
      </c>
      <c r="H2" s="1"/>
      <c r="I2" s="1"/>
      <c r="J2" s="1"/>
      <c r="K2" s="1" t="s">
        <v>491</v>
      </c>
      <c r="L2" s="1">
        <v>100</v>
      </c>
      <c r="M2" s="1">
        <v>0</v>
      </c>
      <c r="N2" s="1">
        <v>0</v>
      </c>
      <c r="O2" s="1">
        <v>0</v>
      </c>
      <c r="P2" s="1">
        <v>0</v>
      </c>
      <c r="V2" s="1" t="s">
        <v>493</v>
      </c>
      <c r="W2" s="1" t="s">
        <v>488</v>
      </c>
      <c r="X2" s="1" t="s">
        <v>492</v>
      </c>
      <c r="Y2" s="26" t="s">
        <v>56</v>
      </c>
      <c r="Z2" s="1"/>
      <c r="AA2" s="1" t="s">
        <v>60</v>
      </c>
      <c r="AB2" s="1"/>
      <c r="AC2" s="70" t="s">
        <v>497</v>
      </c>
      <c r="AD2" s="1"/>
    </row>
    <row r="3" spans="1:37" s="2" customFormat="1" ht="45.75" customHeight="1" x14ac:dyDescent="0.25">
      <c r="A3" s="2" t="s">
        <v>300</v>
      </c>
      <c r="B3" s="2" t="s">
        <v>226</v>
      </c>
      <c r="C3" s="1" t="s">
        <v>350</v>
      </c>
      <c r="D3" s="2">
        <v>1</v>
      </c>
      <c r="E3" s="2">
        <v>1300</v>
      </c>
      <c r="F3" s="2">
        <v>1300</v>
      </c>
      <c r="G3" s="2">
        <f t="shared" ref="G3:G10" si="0">E3/D3</f>
        <v>1300</v>
      </c>
      <c r="J3" s="2">
        <v>400</v>
      </c>
      <c r="K3" s="2" t="s">
        <v>440</v>
      </c>
      <c r="L3" s="1">
        <v>0</v>
      </c>
      <c r="M3" s="1">
        <v>0</v>
      </c>
      <c r="N3" s="1">
        <v>23</v>
      </c>
      <c r="O3" s="1">
        <v>0</v>
      </c>
      <c r="P3" s="1">
        <v>77</v>
      </c>
      <c r="S3" s="2">
        <v>1</v>
      </c>
      <c r="U3" s="2">
        <v>1</v>
      </c>
      <c r="V3" s="2" t="s">
        <v>72</v>
      </c>
      <c r="W3" s="2" t="s">
        <v>248</v>
      </c>
      <c r="X3" s="2" t="s">
        <v>249</v>
      </c>
      <c r="Y3" s="2" t="s">
        <v>56</v>
      </c>
      <c r="Z3" s="2" t="s">
        <v>250</v>
      </c>
      <c r="AA3" s="2" t="s">
        <v>61</v>
      </c>
      <c r="AB3" s="2" t="s">
        <v>251</v>
      </c>
      <c r="AC3" s="26" t="s">
        <v>291</v>
      </c>
    </row>
    <row r="4" spans="1:37" s="2" customFormat="1" ht="33" customHeight="1" x14ac:dyDescent="0.25">
      <c r="A4" s="2" t="s">
        <v>245</v>
      </c>
      <c r="B4" s="2" t="s">
        <v>189</v>
      </c>
      <c r="C4" s="1" t="s">
        <v>350</v>
      </c>
      <c r="D4" s="2">
        <v>1</v>
      </c>
      <c r="E4" s="2">
        <v>20</v>
      </c>
      <c r="F4" s="2">
        <v>20</v>
      </c>
      <c r="G4" s="2">
        <f t="shared" si="0"/>
        <v>20</v>
      </c>
      <c r="J4" s="2">
        <v>9</v>
      </c>
      <c r="K4" s="2" t="s">
        <v>247</v>
      </c>
      <c r="L4" s="1">
        <v>0</v>
      </c>
      <c r="M4" s="1">
        <v>0</v>
      </c>
      <c r="N4" s="1">
        <v>0</v>
      </c>
      <c r="O4" s="1">
        <v>100</v>
      </c>
      <c r="P4" s="1">
        <v>0</v>
      </c>
      <c r="T4" s="2">
        <v>1</v>
      </c>
      <c r="V4" s="2" t="s">
        <v>246</v>
      </c>
      <c r="W4" s="2" t="s">
        <v>3513</v>
      </c>
      <c r="X4" s="2" t="s">
        <v>3512</v>
      </c>
      <c r="Y4" s="2" t="s">
        <v>56</v>
      </c>
      <c r="Z4" s="2" t="s">
        <v>89</v>
      </c>
      <c r="AA4" s="2" t="s">
        <v>60</v>
      </c>
      <c r="AB4" s="2" t="s">
        <v>71</v>
      </c>
      <c r="AC4" s="26" t="s">
        <v>1180</v>
      </c>
      <c r="AE4" s="2" t="s">
        <v>5321</v>
      </c>
    </row>
    <row r="5" spans="1:37" s="2" customFormat="1" ht="39.75" customHeight="1" x14ac:dyDescent="0.2">
      <c r="A5" s="2" t="s">
        <v>1119</v>
      </c>
      <c r="B5" s="26" t="s">
        <v>1125</v>
      </c>
      <c r="C5" s="26" t="s">
        <v>350</v>
      </c>
      <c r="D5" s="26">
        <v>1</v>
      </c>
      <c r="E5" s="26">
        <v>87</v>
      </c>
      <c r="F5" s="26">
        <v>87</v>
      </c>
      <c r="G5" s="2">
        <f t="shared" si="0"/>
        <v>87</v>
      </c>
      <c r="H5" s="26">
        <v>24.3</v>
      </c>
      <c r="I5" s="26"/>
      <c r="J5" s="26">
        <v>40</v>
      </c>
      <c r="K5" s="2" t="s">
        <v>1120</v>
      </c>
      <c r="L5" s="26">
        <v>0</v>
      </c>
      <c r="M5" s="26">
        <v>0</v>
      </c>
      <c r="N5" s="26">
        <v>0</v>
      </c>
      <c r="O5" s="26">
        <v>100</v>
      </c>
      <c r="P5" s="26">
        <v>0</v>
      </c>
      <c r="T5" s="2">
        <v>1</v>
      </c>
      <c r="V5" s="2" t="s">
        <v>1122</v>
      </c>
      <c r="W5" s="2" t="s">
        <v>343</v>
      </c>
      <c r="X5" s="2" t="s">
        <v>1121</v>
      </c>
      <c r="Y5" s="26" t="s">
        <v>56</v>
      </c>
      <c r="Z5" s="2" t="s">
        <v>81</v>
      </c>
      <c r="AA5" s="26" t="s">
        <v>60</v>
      </c>
      <c r="AB5" s="2" t="s">
        <v>977</v>
      </c>
      <c r="AC5" s="26" t="s">
        <v>1123</v>
      </c>
      <c r="AD5" s="26">
        <v>180000</v>
      </c>
      <c r="AE5" s="2" t="s">
        <v>1124</v>
      </c>
      <c r="AF5" s="2">
        <v>3000</v>
      </c>
      <c r="AG5" s="2">
        <v>12000</v>
      </c>
    </row>
    <row r="6" spans="1:37" s="2" customFormat="1" ht="35.25" customHeight="1" x14ac:dyDescent="0.2">
      <c r="A6" s="26" t="s">
        <v>360</v>
      </c>
      <c r="B6" s="2" t="s">
        <v>410</v>
      </c>
      <c r="C6" s="2" t="s">
        <v>352</v>
      </c>
      <c r="D6" s="26">
        <v>1</v>
      </c>
      <c r="E6" s="26">
        <v>53</v>
      </c>
      <c r="F6" s="26">
        <v>53</v>
      </c>
      <c r="G6" s="2">
        <f t="shared" si="0"/>
        <v>53</v>
      </c>
      <c r="H6" s="26"/>
      <c r="I6" s="26"/>
      <c r="J6" s="26">
        <v>40</v>
      </c>
      <c r="K6" s="2" t="s">
        <v>576</v>
      </c>
      <c r="L6" s="26">
        <v>0</v>
      </c>
      <c r="M6" s="26">
        <v>0</v>
      </c>
      <c r="N6" s="26">
        <v>0</v>
      </c>
      <c r="O6" s="26">
        <v>100</v>
      </c>
      <c r="P6" s="26">
        <v>0</v>
      </c>
      <c r="T6" s="2">
        <v>1</v>
      </c>
      <c r="V6" s="26"/>
      <c r="W6" s="2" t="s">
        <v>361</v>
      </c>
      <c r="X6" s="2" t="s">
        <v>362</v>
      </c>
      <c r="Y6" s="26" t="s">
        <v>56</v>
      </c>
      <c r="Z6" s="26"/>
      <c r="AA6" s="26" t="s">
        <v>60</v>
      </c>
      <c r="AB6" s="26" t="s">
        <v>387</v>
      </c>
      <c r="AC6" s="26" t="s">
        <v>396</v>
      </c>
      <c r="AD6" s="26"/>
    </row>
    <row r="7" spans="1:37" s="2" customFormat="1" ht="75" customHeight="1" x14ac:dyDescent="0.2">
      <c r="A7" s="2" t="s">
        <v>65</v>
      </c>
      <c r="B7" s="2" t="s">
        <v>67</v>
      </c>
      <c r="C7" s="2" t="s">
        <v>350</v>
      </c>
      <c r="D7" s="2">
        <v>1</v>
      </c>
      <c r="E7" s="2">
        <v>47</v>
      </c>
      <c r="F7" s="2">
        <v>47</v>
      </c>
      <c r="G7" s="2">
        <f t="shared" si="0"/>
        <v>47</v>
      </c>
      <c r="H7" s="2">
        <v>40</v>
      </c>
      <c r="J7" s="2">
        <v>22</v>
      </c>
      <c r="K7" s="2" t="s">
        <v>427</v>
      </c>
      <c r="L7" s="2">
        <v>100</v>
      </c>
      <c r="M7" s="2">
        <v>0</v>
      </c>
      <c r="N7" s="2">
        <v>0</v>
      </c>
      <c r="O7" s="2">
        <v>0</v>
      </c>
      <c r="P7" s="2">
        <v>0</v>
      </c>
      <c r="Q7" s="2">
        <v>6</v>
      </c>
      <c r="V7" s="2" t="s">
        <v>72</v>
      </c>
      <c r="W7" s="2" t="s">
        <v>69</v>
      </c>
      <c r="X7" s="2" t="s">
        <v>70</v>
      </c>
      <c r="Y7" s="2" t="s">
        <v>77</v>
      </c>
      <c r="AA7" s="2" t="s">
        <v>60</v>
      </c>
      <c r="AB7" s="2" t="s">
        <v>76</v>
      </c>
      <c r="AC7" s="26" t="s">
        <v>208</v>
      </c>
      <c r="AE7" s="2" t="s">
        <v>815</v>
      </c>
      <c r="AF7" s="2" t="s">
        <v>816</v>
      </c>
    </row>
    <row r="8" spans="1:37" s="2" customFormat="1" ht="49.5" customHeight="1" x14ac:dyDescent="0.2">
      <c r="A8" s="2" t="s">
        <v>119</v>
      </c>
      <c r="B8" s="2" t="s">
        <v>120</v>
      </c>
      <c r="C8" s="2" t="s">
        <v>352</v>
      </c>
      <c r="D8" s="2">
        <v>2</v>
      </c>
      <c r="E8" s="2">
        <v>1438.5</v>
      </c>
      <c r="F8" s="2">
        <f>E8-499</f>
        <v>939.5</v>
      </c>
      <c r="G8" s="2">
        <f t="shared" si="0"/>
        <v>719.25</v>
      </c>
      <c r="H8" s="2">
        <v>100</v>
      </c>
      <c r="I8" s="2" t="s">
        <v>122</v>
      </c>
      <c r="K8" s="2" t="s">
        <v>5209</v>
      </c>
      <c r="L8" s="2">
        <v>0</v>
      </c>
      <c r="M8" s="2">
        <v>0</v>
      </c>
      <c r="N8" s="2">
        <v>0</v>
      </c>
      <c r="O8" s="2">
        <v>0</v>
      </c>
      <c r="P8" s="2">
        <v>100</v>
      </c>
      <c r="U8" s="2">
        <v>1</v>
      </c>
      <c r="W8" s="2" t="s">
        <v>121</v>
      </c>
      <c r="X8" s="2" t="s">
        <v>543</v>
      </c>
      <c r="Y8" s="2" t="s">
        <v>545</v>
      </c>
      <c r="AA8" s="2" t="s">
        <v>61</v>
      </c>
      <c r="AC8" s="26" t="s">
        <v>544</v>
      </c>
    </row>
    <row r="9" spans="1:37" s="2" customFormat="1" ht="73.5" customHeight="1" x14ac:dyDescent="0.2">
      <c r="A9" s="2" t="s">
        <v>105</v>
      </c>
      <c r="B9" s="2" t="s">
        <v>106</v>
      </c>
      <c r="C9" s="2" t="s">
        <v>352</v>
      </c>
      <c r="D9" s="2">
        <v>1</v>
      </c>
      <c r="E9" s="2">
        <v>97</v>
      </c>
      <c r="F9" s="2">
        <v>97</v>
      </c>
      <c r="G9" s="2">
        <f t="shared" si="0"/>
        <v>97</v>
      </c>
      <c r="H9" s="2">
        <v>50</v>
      </c>
      <c r="I9" s="2" t="s">
        <v>107</v>
      </c>
      <c r="J9" s="2">
        <v>45</v>
      </c>
      <c r="K9" s="2" t="s">
        <v>907</v>
      </c>
      <c r="L9" s="2">
        <v>7</v>
      </c>
      <c r="M9" s="2">
        <v>73</v>
      </c>
      <c r="N9" s="2">
        <v>20</v>
      </c>
      <c r="O9" s="2">
        <v>0</v>
      </c>
      <c r="P9" s="2">
        <v>0</v>
      </c>
      <c r="Q9" s="2">
        <v>1</v>
      </c>
      <c r="R9" s="2">
        <v>11</v>
      </c>
      <c r="S9" s="2">
        <v>3</v>
      </c>
      <c r="V9" s="2" t="s">
        <v>905</v>
      </c>
      <c r="W9" s="2" t="s">
        <v>106</v>
      </c>
      <c r="X9" s="2" t="s">
        <v>108</v>
      </c>
      <c r="Y9" s="2" t="s">
        <v>197</v>
      </c>
      <c r="Z9" s="2" t="s">
        <v>644</v>
      </c>
      <c r="AA9" s="2" t="s">
        <v>61</v>
      </c>
      <c r="AB9" s="2" t="s">
        <v>904</v>
      </c>
      <c r="AC9" s="26" t="s">
        <v>906</v>
      </c>
      <c r="AE9" s="2" t="s">
        <v>3571</v>
      </c>
      <c r="AF9" s="2">
        <v>5700</v>
      </c>
      <c r="AG9" s="2">
        <v>8300</v>
      </c>
    </row>
    <row r="10" spans="1:37" s="2" customFormat="1" ht="57.75" customHeight="1" x14ac:dyDescent="0.2">
      <c r="A10" s="2" t="s">
        <v>142</v>
      </c>
      <c r="B10" s="2" t="s">
        <v>143</v>
      </c>
      <c r="C10" s="2" t="s">
        <v>356</v>
      </c>
      <c r="D10" s="2">
        <v>1</v>
      </c>
      <c r="E10" s="2">
        <v>20.6</v>
      </c>
      <c r="F10" s="2">
        <v>20.6</v>
      </c>
      <c r="G10" s="2">
        <f t="shared" si="0"/>
        <v>20.6</v>
      </c>
      <c r="J10" s="2">
        <v>5</v>
      </c>
      <c r="K10" s="2" t="s">
        <v>144</v>
      </c>
      <c r="L10" s="2">
        <v>100</v>
      </c>
      <c r="M10" s="2">
        <v>0</v>
      </c>
      <c r="N10" s="2">
        <v>0</v>
      </c>
      <c r="O10" s="2">
        <v>0</v>
      </c>
      <c r="P10" s="2">
        <v>0</v>
      </c>
      <c r="Q10" s="2">
        <v>1</v>
      </c>
      <c r="W10" s="2" t="s">
        <v>143</v>
      </c>
      <c r="X10" s="2" t="s">
        <v>145</v>
      </c>
      <c r="Y10" s="2" t="s">
        <v>56</v>
      </c>
      <c r="Z10" s="2" t="s">
        <v>81</v>
      </c>
      <c r="AA10" s="2" t="s">
        <v>60</v>
      </c>
      <c r="AB10" s="2" t="s">
        <v>3569</v>
      </c>
      <c r="AC10" s="26" t="s">
        <v>800</v>
      </c>
      <c r="AD10" s="2">
        <v>80000</v>
      </c>
      <c r="AE10" s="2" t="s">
        <v>801</v>
      </c>
      <c r="AF10" s="2" t="s">
        <v>3570</v>
      </c>
      <c r="AG10" s="2">
        <v>1350</v>
      </c>
    </row>
    <row r="11" spans="1:37" s="2" customFormat="1" ht="36.75" customHeight="1" x14ac:dyDescent="0.25">
      <c r="A11" s="2" t="s">
        <v>158</v>
      </c>
      <c r="B11" s="2" t="s">
        <v>159</v>
      </c>
      <c r="C11" s="1" t="s">
        <v>354</v>
      </c>
      <c r="J11" s="2">
        <v>5</v>
      </c>
      <c r="K11" s="2" t="s">
        <v>157</v>
      </c>
      <c r="L11" s="1">
        <v>100</v>
      </c>
      <c r="M11" s="1">
        <v>0</v>
      </c>
      <c r="N11" s="1">
        <v>0</v>
      </c>
      <c r="O11" s="1">
        <v>0</v>
      </c>
      <c r="P11" s="1">
        <v>0</v>
      </c>
      <c r="Q11" s="2">
        <v>1</v>
      </c>
      <c r="W11" s="2" t="s">
        <v>159</v>
      </c>
      <c r="Y11" s="2" t="s">
        <v>56</v>
      </c>
      <c r="AA11" s="2" t="s">
        <v>60</v>
      </c>
      <c r="AC11" s="26" t="s">
        <v>208</v>
      </c>
    </row>
    <row r="12" spans="1:37" s="2" customFormat="1" ht="57" customHeight="1" x14ac:dyDescent="0.2">
      <c r="A12" s="2" t="s">
        <v>404</v>
      </c>
      <c r="B12" s="2" t="s">
        <v>367</v>
      </c>
      <c r="C12" s="26" t="s">
        <v>350</v>
      </c>
      <c r="D12" s="26">
        <v>1</v>
      </c>
      <c r="E12" s="26">
        <v>47</v>
      </c>
      <c r="F12" s="26">
        <v>47</v>
      </c>
      <c r="G12" s="2">
        <f>E12/D12</f>
        <v>47</v>
      </c>
      <c r="H12" s="26">
        <v>23</v>
      </c>
      <c r="I12" s="26"/>
      <c r="J12" s="26">
        <v>20</v>
      </c>
      <c r="K12" s="2" t="s">
        <v>409</v>
      </c>
      <c r="L12" s="26">
        <v>100</v>
      </c>
      <c r="M12" s="26">
        <v>0</v>
      </c>
      <c r="N12" s="26">
        <v>0</v>
      </c>
      <c r="O12" s="26">
        <v>0</v>
      </c>
      <c r="P12" s="26">
        <v>0</v>
      </c>
      <c r="Q12" s="2">
        <v>9</v>
      </c>
      <c r="V12" s="2" t="s">
        <v>149</v>
      </c>
      <c r="W12" s="2" t="s">
        <v>405</v>
      </c>
      <c r="X12" s="26" t="s">
        <v>406</v>
      </c>
      <c r="Y12" s="26" t="s">
        <v>77</v>
      </c>
      <c r="Z12" s="2" t="s">
        <v>89</v>
      </c>
      <c r="AA12" s="26" t="s">
        <v>60</v>
      </c>
      <c r="AB12" s="2" t="s">
        <v>407</v>
      </c>
      <c r="AC12" s="26" t="s">
        <v>408</v>
      </c>
      <c r="AD12" s="26"/>
    </row>
    <row r="13" spans="1:37" s="2" customFormat="1" ht="54.75" customHeight="1" x14ac:dyDescent="0.2">
      <c r="A13" s="2" t="s">
        <v>110</v>
      </c>
      <c r="B13" s="2" t="s">
        <v>111</v>
      </c>
      <c r="C13" s="2" t="s">
        <v>353</v>
      </c>
      <c r="D13" s="2">
        <v>1</v>
      </c>
      <c r="E13" s="2">
        <v>15</v>
      </c>
      <c r="F13" s="2">
        <v>15</v>
      </c>
      <c r="G13" s="2">
        <f>E13/D13</f>
        <v>15</v>
      </c>
      <c r="J13" s="2">
        <v>10</v>
      </c>
      <c r="K13" s="2" t="s">
        <v>113</v>
      </c>
      <c r="L13" s="2">
        <v>100</v>
      </c>
      <c r="M13" s="2">
        <v>0</v>
      </c>
      <c r="N13" s="2">
        <v>0</v>
      </c>
      <c r="O13" s="2">
        <v>0</v>
      </c>
      <c r="P13" s="2">
        <v>0</v>
      </c>
      <c r="Q13" s="2">
        <v>1</v>
      </c>
      <c r="V13" s="2" t="s">
        <v>112</v>
      </c>
      <c r="W13" s="2" t="s">
        <v>111</v>
      </c>
      <c r="Y13" s="2" t="s">
        <v>56</v>
      </c>
      <c r="AA13" s="2" t="s">
        <v>60</v>
      </c>
      <c r="AB13" s="2" t="s">
        <v>114</v>
      </c>
      <c r="AC13" s="26" t="s">
        <v>208</v>
      </c>
    </row>
    <row r="14" spans="1:37" s="2" customFormat="1" ht="27.75" customHeight="1" x14ac:dyDescent="0.25">
      <c r="A14" s="2" t="s">
        <v>252</v>
      </c>
      <c r="B14" s="2" t="s">
        <v>253</v>
      </c>
      <c r="C14" s="1" t="s">
        <v>350</v>
      </c>
      <c r="D14" s="2">
        <v>1</v>
      </c>
      <c r="E14" s="2">
        <v>20</v>
      </c>
      <c r="F14" s="2">
        <v>20</v>
      </c>
      <c r="G14" s="2">
        <f>E14/D14</f>
        <v>20</v>
      </c>
      <c r="K14" s="2" t="s">
        <v>260</v>
      </c>
      <c r="L14" s="1">
        <v>100</v>
      </c>
      <c r="M14" s="1">
        <v>0</v>
      </c>
      <c r="N14" s="1">
        <v>0</v>
      </c>
      <c r="O14" s="1">
        <v>0</v>
      </c>
      <c r="P14" s="1">
        <v>0</v>
      </c>
      <c r="Q14" s="2">
        <v>1</v>
      </c>
      <c r="V14" s="2" t="s">
        <v>258</v>
      </c>
      <c r="W14" s="2" t="s">
        <v>261</v>
      </c>
      <c r="X14" s="2" t="s">
        <v>255</v>
      </c>
      <c r="Y14" s="2" t="s">
        <v>56</v>
      </c>
      <c r="AA14" s="2" t="s">
        <v>60</v>
      </c>
      <c r="AB14" s="2" t="s">
        <v>254</v>
      </c>
      <c r="AC14" s="26" t="s">
        <v>291</v>
      </c>
    </row>
    <row r="15" spans="1:37" s="2" customFormat="1" ht="31.5" customHeight="1" x14ac:dyDescent="0.25">
      <c r="A15" s="2" t="s">
        <v>262</v>
      </c>
      <c r="B15" s="2" t="s">
        <v>263</v>
      </c>
      <c r="C15" s="1" t="s">
        <v>357</v>
      </c>
      <c r="K15" s="2" t="s">
        <v>260</v>
      </c>
      <c r="L15" s="1">
        <v>100</v>
      </c>
      <c r="M15" s="1">
        <v>0</v>
      </c>
      <c r="N15" s="1">
        <v>0</v>
      </c>
      <c r="O15" s="1">
        <v>0</v>
      </c>
      <c r="P15" s="1">
        <v>0</v>
      </c>
      <c r="Q15" s="2">
        <v>1</v>
      </c>
      <c r="V15" s="2" t="s">
        <v>112</v>
      </c>
      <c r="W15" s="2" t="s">
        <v>263</v>
      </c>
      <c r="Z15" s="2" t="s">
        <v>81</v>
      </c>
      <c r="AA15" s="2" t="s">
        <v>61</v>
      </c>
      <c r="AC15" s="26" t="s">
        <v>291</v>
      </c>
    </row>
    <row r="16" spans="1:37" s="2" customFormat="1" ht="59.25" customHeight="1" x14ac:dyDescent="0.2">
      <c r="A16" s="2" t="s">
        <v>137</v>
      </c>
      <c r="B16" s="2" t="s">
        <v>138</v>
      </c>
      <c r="C16" s="2" t="s">
        <v>356</v>
      </c>
      <c r="D16" s="2">
        <v>1</v>
      </c>
      <c r="E16" s="2">
        <v>42</v>
      </c>
      <c r="F16" s="2">
        <v>42</v>
      </c>
      <c r="G16" s="2">
        <f t="shared" ref="G16:G22" si="1">E16/D16</f>
        <v>42</v>
      </c>
      <c r="H16" s="2">
        <v>5.0999999999999996</v>
      </c>
      <c r="K16" s="2" t="s">
        <v>433</v>
      </c>
      <c r="L16" s="2">
        <v>100</v>
      </c>
      <c r="M16" s="2">
        <v>0</v>
      </c>
      <c r="N16" s="2">
        <v>0</v>
      </c>
      <c r="O16" s="2">
        <v>0</v>
      </c>
      <c r="P16" s="2">
        <v>0</v>
      </c>
      <c r="Q16" s="2">
        <v>1</v>
      </c>
      <c r="V16" s="2" t="s">
        <v>112</v>
      </c>
      <c r="W16" s="2" t="s">
        <v>139</v>
      </c>
      <c r="X16" s="2" t="s">
        <v>134</v>
      </c>
      <c r="Y16" s="2" t="s">
        <v>56</v>
      </c>
      <c r="AA16" s="2" t="s">
        <v>60</v>
      </c>
      <c r="AB16" s="2" t="s">
        <v>124</v>
      </c>
      <c r="AC16" s="26" t="s">
        <v>208</v>
      </c>
    </row>
    <row r="17" spans="1:33" s="2" customFormat="1" ht="69" customHeight="1" x14ac:dyDescent="0.2">
      <c r="A17" s="2" t="s">
        <v>132</v>
      </c>
      <c r="B17" s="2" t="s">
        <v>133</v>
      </c>
      <c r="C17" s="2" t="s">
        <v>356</v>
      </c>
      <c r="D17" s="2">
        <v>4</v>
      </c>
      <c r="E17" s="2">
        <f>20+25+70+78</f>
        <v>193</v>
      </c>
      <c r="F17" s="2">
        <f>20+25+70+78</f>
        <v>193</v>
      </c>
      <c r="G17" s="2">
        <f t="shared" si="1"/>
        <v>48.25</v>
      </c>
      <c r="H17" s="2">
        <v>12</v>
      </c>
      <c r="J17" s="2">
        <f>11+25+3+4</f>
        <v>43</v>
      </c>
      <c r="K17" s="2" t="s">
        <v>136</v>
      </c>
      <c r="L17" s="2">
        <v>100</v>
      </c>
      <c r="M17" s="2">
        <v>0</v>
      </c>
      <c r="N17" s="2">
        <v>0</v>
      </c>
      <c r="O17" s="2">
        <v>0</v>
      </c>
      <c r="P17" s="2">
        <v>0</v>
      </c>
      <c r="Q17" s="2">
        <v>5</v>
      </c>
      <c r="V17" s="2" t="s">
        <v>135</v>
      </c>
      <c r="W17" s="2" t="s">
        <v>133</v>
      </c>
      <c r="X17" s="2" t="s">
        <v>134</v>
      </c>
      <c r="Y17" s="2" t="s">
        <v>56</v>
      </c>
      <c r="AA17" s="2" t="s">
        <v>61</v>
      </c>
      <c r="AC17" s="26" t="s">
        <v>208</v>
      </c>
    </row>
    <row r="18" spans="1:33" s="2" customFormat="1" ht="80.25" customHeight="1" x14ac:dyDescent="0.2">
      <c r="A18" s="2" t="s">
        <v>51</v>
      </c>
      <c r="B18" s="2" t="s">
        <v>52</v>
      </c>
      <c r="C18" s="2" t="s">
        <v>350</v>
      </c>
      <c r="D18" s="2">
        <v>1</v>
      </c>
      <c r="E18" s="2">
        <v>40</v>
      </c>
      <c r="F18" s="2">
        <v>40</v>
      </c>
      <c r="G18" s="2">
        <f t="shared" si="1"/>
        <v>40</v>
      </c>
      <c r="I18" s="2" t="s">
        <v>55</v>
      </c>
      <c r="J18" s="2">
        <v>6</v>
      </c>
      <c r="K18" s="2" t="s">
        <v>425</v>
      </c>
      <c r="L18" s="2">
        <v>75</v>
      </c>
      <c r="M18" s="2">
        <v>0</v>
      </c>
      <c r="N18" s="2">
        <v>25</v>
      </c>
      <c r="O18" s="2">
        <v>0</v>
      </c>
      <c r="P18" s="2">
        <v>0</v>
      </c>
      <c r="Q18" s="2">
        <v>2</v>
      </c>
      <c r="S18" s="2">
        <v>1</v>
      </c>
      <c r="V18" s="2" t="s">
        <v>74</v>
      </c>
      <c r="W18" s="2" t="s">
        <v>53</v>
      </c>
      <c r="X18" s="2" t="s">
        <v>54</v>
      </c>
      <c r="Y18" s="2" t="s">
        <v>197</v>
      </c>
      <c r="AA18" s="2" t="s">
        <v>60</v>
      </c>
      <c r="AB18" s="2" t="s">
        <v>424</v>
      </c>
      <c r="AC18" s="26" t="s">
        <v>208</v>
      </c>
    </row>
    <row r="19" spans="1:33" s="2" customFormat="1" ht="46.5" customHeight="1" x14ac:dyDescent="0.25">
      <c r="A19" s="2" t="s">
        <v>553</v>
      </c>
      <c r="B19" s="2" t="s">
        <v>268</v>
      </c>
      <c r="C19" s="1" t="s">
        <v>350</v>
      </c>
      <c r="D19" s="2">
        <v>12</v>
      </c>
      <c r="E19" s="2">
        <v>6200</v>
      </c>
      <c r="F19" s="2">
        <v>6200</v>
      </c>
      <c r="G19" s="2">
        <f t="shared" si="1"/>
        <v>516.66666666666663</v>
      </c>
      <c r="J19" s="2">
        <v>200</v>
      </c>
      <c r="K19" s="2" t="s">
        <v>555</v>
      </c>
      <c r="L19" s="1">
        <v>100</v>
      </c>
      <c r="M19" s="1">
        <v>0</v>
      </c>
      <c r="N19" s="1">
        <v>0</v>
      </c>
      <c r="O19" s="1">
        <v>0</v>
      </c>
      <c r="P19" s="1">
        <v>0</v>
      </c>
      <c r="V19" s="2" t="s">
        <v>201</v>
      </c>
      <c r="W19" s="2" t="s">
        <v>269</v>
      </c>
      <c r="X19" s="2" t="s">
        <v>270</v>
      </c>
      <c r="Y19" s="2" t="s">
        <v>56</v>
      </c>
      <c r="AA19" s="2" t="s">
        <v>61</v>
      </c>
      <c r="AC19" s="26" t="s">
        <v>554</v>
      </c>
    </row>
    <row r="20" spans="1:33" s="2" customFormat="1" ht="68.25" customHeight="1" x14ac:dyDescent="0.25">
      <c r="A20" s="2" t="s">
        <v>276</v>
      </c>
      <c r="B20" s="2" t="s">
        <v>277</v>
      </c>
      <c r="C20" s="1" t="s">
        <v>350</v>
      </c>
      <c r="D20" s="2">
        <v>1</v>
      </c>
      <c r="E20" s="2">
        <v>45</v>
      </c>
      <c r="F20" s="2">
        <v>45</v>
      </c>
      <c r="G20" s="2">
        <f t="shared" si="1"/>
        <v>45</v>
      </c>
      <c r="J20" s="2">
        <v>11</v>
      </c>
      <c r="K20" s="2" t="s">
        <v>3515</v>
      </c>
      <c r="L20" s="26">
        <v>0</v>
      </c>
      <c r="M20" s="26">
        <v>11.1</v>
      </c>
      <c r="N20" s="26">
        <v>88.9</v>
      </c>
      <c r="O20" s="26">
        <v>0</v>
      </c>
      <c r="P20" s="26">
        <v>0</v>
      </c>
      <c r="Q20" s="26"/>
      <c r="R20" s="26">
        <v>1</v>
      </c>
      <c r="S20" s="26">
        <v>2</v>
      </c>
      <c r="V20" s="2" t="s">
        <v>274</v>
      </c>
      <c r="W20" s="2" t="s">
        <v>278</v>
      </c>
      <c r="X20" s="2" t="s">
        <v>279</v>
      </c>
      <c r="Y20" s="2" t="s">
        <v>56</v>
      </c>
      <c r="Z20" s="2" t="s">
        <v>1053</v>
      </c>
      <c r="AA20" s="2" t="s">
        <v>61</v>
      </c>
      <c r="AB20" s="2" t="s">
        <v>3566</v>
      </c>
      <c r="AC20" s="26" t="s">
        <v>3550</v>
      </c>
      <c r="AD20" s="2">
        <v>27000</v>
      </c>
      <c r="AE20" s="2" t="s">
        <v>3568</v>
      </c>
      <c r="AF20" s="2" t="s">
        <v>3567</v>
      </c>
      <c r="AG20" s="2">
        <v>4320</v>
      </c>
    </row>
    <row r="21" spans="1:33" s="2" customFormat="1" ht="69.75" customHeight="1" x14ac:dyDescent="0.2">
      <c r="A21" s="2" t="s">
        <v>128</v>
      </c>
      <c r="B21" s="2" t="s">
        <v>129</v>
      </c>
      <c r="C21" s="2" t="s">
        <v>356</v>
      </c>
      <c r="D21" s="2">
        <v>1</v>
      </c>
      <c r="E21" s="2">
        <v>55</v>
      </c>
      <c r="F21" s="2">
        <v>55</v>
      </c>
      <c r="G21" s="2">
        <f t="shared" si="1"/>
        <v>55</v>
      </c>
      <c r="H21" s="2">
        <v>15</v>
      </c>
      <c r="J21" s="2">
        <v>20</v>
      </c>
      <c r="K21" s="2" t="s">
        <v>578</v>
      </c>
      <c r="L21" s="2">
        <v>0</v>
      </c>
      <c r="M21" s="2">
        <v>0</v>
      </c>
      <c r="N21" s="2">
        <v>0</v>
      </c>
      <c r="O21" s="2">
        <v>100</v>
      </c>
      <c r="P21" s="2">
        <v>0</v>
      </c>
      <c r="T21" s="2">
        <v>1</v>
      </c>
      <c r="V21" s="2" t="s">
        <v>130</v>
      </c>
      <c r="W21" s="2" t="s">
        <v>431</v>
      </c>
      <c r="X21" s="2" t="s">
        <v>432</v>
      </c>
      <c r="Y21" s="2" t="s">
        <v>56</v>
      </c>
      <c r="AA21" s="2" t="s">
        <v>60</v>
      </c>
      <c r="AC21" s="26" t="s">
        <v>208</v>
      </c>
    </row>
    <row r="22" spans="1:33" s="1" customFormat="1" ht="84.75" customHeight="1" x14ac:dyDescent="0.25">
      <c r="A22" s="26" t="s">
        <v>315</v>
      </c>
      <c r="B22" s="26" t="s">
        <v>316</v>
      </c>
      <c r="C22" s="26" t="s">
        <v>350</v>
      </c>
      <c r="D22" s="26">
        <v>1</v>
      </c>
      <c r="E22" s="26">
        <v>150</v>
      </c>
      <c r="F22" s="26">
        <v>150</v>
      </c>
      <c r="G22" s="2">
        <f t="shared" si="1"/>
        <v>150</v>
      </c>
      <c r="H22" s="26"/>
      <c r="I22" s="26"/>
      <c r="J22" s="26">
        <v>120</v>
      </c>
      <c r="K22" s="2" t="s">
        <v>5270</v>
      </c>
      <c r="L22" s="26">
        <v>0</v>
      </c>
      <c r="M22" s="26">
        <v>0</v>
      </c>
      <c r="N22" s="26">
        <v>100</v>
      </c>
      <c r="O22" s="26">
        <v>0</v>
      </c>
      <c r="P22" s="26">
        <v>0</v>
      </c>
      <c r="S22" s="1">
        <v>2</v>
      </c>
      <c r="V22" s="26" t="s">
        <v>318</v>
      </c>
      <c r="W22" s="26" t="s">
        <v>317</v>
      </c>
      <c r="X22" s="2" t="s">
        <v>319</v>
      </c>
      <c r="Y22" s="26" t="s">
        <v>77</v>
      </c>
      <c r="Z22" s="2" t="s">
        <v>772</v>
      </c>
      <c r="AA22" s="26" t="s">
        <v>60</v>
      </c>
      <c r="AB22" s="2" t="s">
        <v>891</v>
      </c>
      <c r="AC22" s="51" t="s">
        <v>5269</v>
      </c>
      <c r="AD22" s="26">
        <v>150000</v>
      </c>
      <c r="AE22" t="s">
        <v>890</v>
      </c>
      <c r="AF22" s="1">
        <v>10500</v>
      </c>
      <c r="AG22" s="1">
        <v>14500</v>
      </c>
    </row>
    <row r="23" spans="1:33" s="1" customFormat="1" ht="75" customHeight="1" x14ac:dyDescent="0.25">
      <c r="A23" s="26" t="s">
        <v>460</v>
      </c>
      <c r="B23" s="26" t="s">
        <v>459</v>
      </c>
      <c r="C23" s="26" t="s">
        <v>350</v>
      </c>
      <c r="D23" s="26">
        <v>1</v>
      </c>
      <c r="E23" s="26">
        <f>15+86</f>
        <v>101</v>
      </c>
      <c r="F23" s="26">
        <f>15+86</f>
        <v>101</v>
      </c>
      <c r="G23" s="26">
        <v>101</v>
      </c>
      <c r="H23" s="26">
        <v>100</v>
      </c>
      <c r="I23" s="26"/>
      <c r="J23" s="26">
        <v>3</v>
      </c>
      <c r="K23" s="2" t="s">
        <v>5271</v>
      </c>
      <c r="L23" s="26">
        <v>0</v>
      </c>
      <c r="M23" s="26">
        <v>0</v>
      </c>
      <c r="N23" s="26">
        <v>0</v>
      </c>
      <c r="O23" s="26">
        <v>100</v>
      </c>
      <c r="P23" s="26">
        <v>0</v>
      </c>
      <c r="T23" s="1">
        <v>3</v>
      </c>
      <c r="V23" s="2" t="s">
        <v>246</v>
      </c>
      <c r="W23" s="2" t="s">
        <v>461</v>
      </c>
      <c r="X23" s="2" t="s">
        <v>462</v>
      </c>
      <c r="Y23" s="26" t="s">
        <v>56</v>
      </c>
      <c r="Z23" s="26"/>
      <c r="AA23" s="26" t="s">
        <v>61</v>
      </c>
      <c r="AB23" s="2" t="s">
        <v>463</v>
      </c>
      <c r="AC23" s="73" t="s">
        <v>458</v>
      </c>
      <c r="AD23" s="26">
        <v>27000</v>
      </c>
      <c r="AE23" s="1" t="s">
        <v>1001</v>
      </c>
      <c r="AF23" s="1">
        <v>9725</v>
      </c>
      <c r="AG23" s="1">
        <v>6914</v>
      </c>
    </row>
    <row r="24" spans="1:33" s="1" customFormat="1" ht="71.25" customHeight="1" x14ac:dyDescent="0.25">
      <c r="A24" s="2" t="s">
        <v>510</v>
      </c>
      <c r="B24" s="2" t="s">
        <v>501</v>
      </c>
      <c r="C24" s="2" t="s">
        <v>352</v>
      </c>
      <c r="D24" s="26">
        <v>1</v>
      </c>
      <c r="E24" s="26">
        <v>950</v>
      </c>
      <c r="F24" s="26">
        <v>950</v>
      </c>
      <c r="G24" s="26">
        <v>950</v>
      </c>
      <c r="H24" s="26"/>
      <c r="I24" s="26"/>
      <c r="J24" s="26">
        <v>52</v>
      </c>
      <c r="K24" s="2" t="s">
        <v>513</v>
      </c>
      <c r="L24" s="26">
        <v>0</v>
      </c>
      <c r="M24" s="26">
        <v>0</v>
      </c>
      <c r="N24" s="26">
        <v>100</v>
      </c>
      <c r="O24" s="26">
        <v>0</v>
      </c>
      <c r="P24" s="26">
        <v>0</v>
      </c>
      <c r="S24" s="1">
        <v>2</v>
      </c>
      <c r="V24" s="2" t="s">
        <v>514</v>
      </c>
      <c r="W24" s="2" t="s">
        <v>503</v>
      </c>
      <c r="X24" s="26"/>
      <c r="Y24" s="26" t="s">
        <v>56</v>
      </c>
      <c r="Z24"/>
      <c r="AA24" s="26" t="s">
        <v>61</v>
      </c>
      <c r="AB24" s="1" t="s">
        <v>512</v>
      </c>
      <c r="AC24"/>
      <c r="AD24"/>
    </row>
    <row r="25" spans="1:33" s="1" customFormat="1" ht="48" customHeight="1" x14ac:dyDescent="0.25">
      <c r="A25" s="2" t="s">
        <v>506</v>
      </c>
      <c r="B25" s="2" t="s">
        <v>501</v>
      </c>
      <c r="C25" s="2" t="s">
        <v>352</v>
      </c>
      <c r="D25" s="26">
        <v>1</v>
      </c>
      <c r="E25" s="26">
        <f>350+450</f>
        <v>800</v>
      </c>
      <c r="F25" s="26">
        <f>350+450</f>
        <v>800</v>
      </c>
      <c r="G25" s="26">
        <f t="shared" ref="G25:G32" si="2">E25/D25</f>
        <v>800</v>
      </c>
      <c r="H25" s="26"/>
      <c r="I25" s="26"/>
      <c r="J25" s="26">
        <v>107</v>
      </c>
      <c r="K25" s="2" t="s">
        <v>507</v>
      </c>
      <c r="L25" s="26">
        <v>100</v>
      </c>
      <c r="M25" s="26">
        <v>0</v>
      </c>
      <c r="N25" s="26">
        <v>0</v>
      </c>
      <c r="O25" s="26">
        <v>0</v>
      </c>
      <c r="P25" s="26">
        <v>0</v>
      </c>
      <c r="Q25" s="1">
        <v>2</v>
      </c>
      <c r="V25" s="2" t="s">
        <v>514</v>
      </c>
      <c r="W25" s="2" t="s">
        <v>503</v>
      </c>
      <c r="X25" s="26"/>
      <c r="Y25" s="26" t="s">
        <v>56</v>
      </c>
      <c r="Z25"/>
      <c r="AA25" s="26" t="s">
        <v>61</v>
      </c>
      <c r="AB25"/>
      <c r="AC25"/>
      <c r="AD25"/>
    </row>
    <row r="26" spans="1:33" s="1" customFormat="1" ht="39" x14ac:dyDescent="0.25">
      <c r="A26" s="26" t="s">
        <v>374</v>
      </c>
      <c r="B26" s="26" t="s">
        <v>375</v>
      </c>
      <c r="C26" s="26" t="s">
        <v>354</v>
      </c>
      <c r="D26" s="26">
        <v>1</v>
      </c>
      <c r="E26" s="26">
        <v>65</v>
      </c>
      <c r="F26" s="26">
        <v>65</v>
      </c>
      <c r="G26" s="2">
        <f t="shared" si="2"/>
        <v>65</v>
      </c>
      <c r="H26" s="26">
        <v>21</v>
      </c>
      <c r="I26" s="26"/>
      <c r="J26" s="26">
        <v>34</v>
      </c>
      <c r="K26" s="2" t="s">
        <v>445</v>
      </c>
      <c r="L26" s="26">
        <v>100</v>
      </c>
      <c r="M26" s="26">
        <v>0</v>
      </c>
      <c r="N26" s="26">
        <v>0</v>
      </c>
      <c r="O26" s="26">
        <v>0</v>
      </c>
      <c r="P26" s="26">
        <v>0</v>
      </c>
      <c r="Q26" s="1">
        <v>2</v>
      </c>
      <c r="V26" s="26">
        <v>0</v>
      </c>
      <c r="W26" s="2" t="s">
        <v>376</v>
      </c>
      <c r="X26" s="2" t="s">
        <v>377</v>
      </c>
      <c r="Y26" s="26" t="s">
        <v>56</v>
      </c>
      <c r="Z26" s="26"/>
      <c r="AA26" s="2" t="s">
        <v>60</v>
      </c>
      <c r="AB26" s="26" t="s">
        <v>387</v>
      </c>
      <c r="AC26" s="26" t="s">
        <v>444</v>
      </c>
      <c r="AD26" s="26"/>
    </row>
    <row r="27" spans="1:33" ht="43.5" customHeight="1" x14ac:dyDescent="0.25">
      <c r="A27" s="2" t="s">
        <v>99</v>
      </c>
      <c r="B27" s="2" t="s">
        <v>100</v>
      </c>
      <c r="C27" s="2" t="s">
        <v>352</v>
      </c>
      <c r="D27" s="2">
        <v>1</v>
      </c>
      <c r="E27" s="2">
        <v>20</v>
      </c>
      <c r="F27" s="2">
        <v>20</v>
      </c>
      <c r="G27" s="2">
        <f t="shared" si="2"/>
        <v>20</v>
      </c>
      <c r="H27" s="2">
        <v>80</v>
      </c>
      <c r="I27" s="2"/>
      <c r="J27" s="2">
        <v>3</v>
      </c>
      <c r="K27" s="2" t="s">
        <v>102</v>
      </c>
      <c r="L27" s="2">
        <v>0</v>
      </c>
      <c r="M27" s="2">
        <v>100</v>
      </c>
      <c r="N27" s="2">
        <v>0</v>
      </c>
      <c r="O27" s="2">
        <v>0</v>
      </c>
      <c r="P27" s="2">
        <v>0</v>
      </c>
      <c r="R27" s="26">
        <v>1</v>
      </c>
      <c r="V27" s="2" t="s">
        <v>123</v>
      </c>
      <c r="W27" s="2" t="s">
        <v>101</v>
      </c>
      <c r="X27" s="2" t="s">
        <v>104</v>
      </c>
      <c r="Y27" s="2" t="s">
        <v>56</v>
      </c>
      <c r="Z27" s="2" t="s">
        <v>81</v>
      </c>
      <c r="AA27" s="2" t="s">
        <v>61</v>
      </c>
      <c r="AB27" s="2"/>
      <c r="AC27" s="26" t="s">
        <v>208</v>
      </c>
      <c r="AD27" s="2" t="s">
        <v>103</v>
      </c>
    </row>
    <row r="28" spans="1:33" s="1" customFormat="1" ht="120" customHeight="1" x14ac:dyDescent="0.25">
      <c r="A28" s="2" t="s">
        <v>140</v>
      </c>
      <c r="B28" s="2" t="s">
        <v>5215</v>
      </c>
      <c r="C28" s="2" t="s">
        <v>350</v>
      </c>
      <c r="D28" s="2">
        <v>2</v>
      </c>
      <c r="E28" s="2">
        <f>4000+200+50+200+200+200+100</f>
        <v>4950</v>
      </c>
      <c r="F28" s="1">
        <f>E28-50</f>
        <v>4900</v>
      </c>
      <c r="G28" s="2">
        <f>E28/D28</f>
        <v>2475</v>
      </c>
      <c r="H28" s="2"/>
      <c r="I28" s="2" t="s">
        <v>107</v>
      </c>
      <c r="J28" s="2"/>
      <c r="K28" s="2" t="s">
        <v>5211</v>
      </c>
      <c r="L28" s="2">
        <v>0</v>
      </c>
      <c r="M28" s="2">
        <v>2</v>
      </c>
      <c r="N28" s="2">
        <v>16.399999999999999</v>
      </c>
      <c r="O28" s="2">
        <v>0</v>
      </c>
      <c r="P28" s="2">
        <v>81.599999999999994</v>
      </c>
      <c r="R28" s="1">
        <v>3</v>
      </c>
      <c r="S28" s="1">
        <v>4</v>
      </c>
      <c r="U28" s="1">
        <v>1</v>
      </c>
      <c r="V28" s="2" t="s">
        <v>417</v>
      </c>
      <c r="W28" s="2" t="s">
        <v>416</v>
      </c>
      <c r="X28" s="2" t="s">
        <v>141</v>
      </c>
      <c r="Y28" s="2" t="s">
        <v>4758</v>
      </c>
      <c r="Z28" s="2"/>
      <c r="AA28" s="2" t="s">
        <v>61</v>
      </c>
      <c r="AB28" s="2"/>
      <c r="AC28" s="26" t="s">
        <v>551</v>
      </c>
      <c r="AD28" s="2"/>
    </row>
    <row r="29" spans="1:33" s="1" customFormat="1" ht="153" customHeight="1" x14ac:dyDescent="0.25">
      <c r="A29" s="2" t="s">
        <v>536</v>
      </c>
      <c r="B29" s="2" t="s">
        <v>5176</v>
      </c>
      <c r="C29" s="2" t="s">
        <v>352</v>
      </c>
      <c r="D29" s="26">
        <v>12</v>
      </c>
      <c r="E29" s="26">
        <f>19582-SUM(E17:E22)</f>
        <v>12899</v>
      </c>
      <c r="F29" s="26">
        <v>12899</v>
      </c>
      <c r="G29" s="2">
        <f>F29/D29</f>
        <v>1074.9166666666667</v>
      </c>
      <c r="H29" s="26"/>
      <c r="I29" s="26"/>
      <c r="J29" s="26">
        <f>2660-SUM(J17:J21)</f>
        <v>2380</v>
      </c>
      <c r="K29" s="2" t="s">
        <v>535</v>
      </c>
      <c r="L29" s="26"/>
      <c r="M29" s="26"/>
      <c r="N29" s="26"/>
      <c r="O29" s="26"/>
      <c r="P29" s="26"/>
      <c r="V29" s="2" t="s">
        <v>320</v>
      </c>
      <c r="W29" s="26"/>
      <c r="X29" s="26"/>
      <c r="Y29" s="2" t="s">
        <v>324</v>
      </c>
      <c r="Z29" s="26"/>
      <c r="AA29" s="26" t="s">
        <v>61</v>
      </c>
      <c r="AB29" s="26" t="s">
        <v>322</v>
      </c>
      <c r="AC29" s="26" t="s">
        <v>325</v>
      </c>
      <c r="AD29" s="26"/>
    </row>
    <row r="30" spans="1:33" s="1" customFormat="1" ht="54.75" customHeight="1" x14ac:dyDescent="0.25">
      <c r="A30" s="26" t="s">
        <v>210</v>
      </c>
      <c r="B30" s="26" t="s">
        <v>211</v>
      </c>
      <c r="C30" s="26" t="s">
        <v>352</v>
      </c>
      <c r="D30" s="26">
        <v>1</v>
      </c>
      <c r="E30" s="26">
        <v>90</v>
      </c>
      <c r="F30" s="26">
        <v>90</v>
      </c>
      <c r="G30" s="2">
        <f t="shared" si="2"/>
        <v>90</v>
      </c>
      <c r="H30" s="26"/>
      <c r="I30" s="26"/>
      <c r="J30" s="26">
        <v>4</v>
      </c>
      <c r="K30" s="2" t="s">
        <v>577</v>
      </c>
      <c r="L30" s="26">
        <v>70</v>
      </c>
      <c r="M30" s="26">
        <v>0</v>
      </c>
      <c r="N30" s="26">
        <v>0</v>
      </c>
      <c r="O30" s="26">
        <v>30</v>
      </c>
      <c r="P30" s="26">
        <v>0</v>
      </c>
      <c r="Q30" s="1">
        <v>1</v>
      </c>
      <c r="T30" s="1">
        <v>1</v>
      </c>
      <c r="V30" s="2" t="s">
        <v>213</v>
      </c>
      <c r="W30" s="26" t="s">
        <v>212</v>
      </c>
      <c r="X30" s="2" t="s">
        <v>214</v>
      </c>
      <c r="Y30" s="26" t="s">
        <v>56</v>
      </c>
      <c r="Z30" s="26"/>
      <c r="AA30" s="2" t="s">
        <v>60</v>
      </c>
      <c r="AB30" s="26" t="s">
        <v>71</v>
      </c>
      <c r="AC30" s="26" t="s">
        <v>291</v>
      </c>
      <c r="AD30" s="26"/>
    </row>
    <row r="31" spans="1:33" s="1" customFormat="1" ht="55.5" customHeight="1" x14ac:dyDescent="0.25">
      <c r="A31" s="2" t="s">
        <v>289</v>
      </c>
      <c r="B31" s="2" t="s">
        <v>290</v>
      </c>
      <c r="C31" s="1" t="s">
        <v>350</v>
      </c>
      <c r="D31" s="2">
        <v>1</v>
      </c>
      <c r="E31" s="2">
        <v>40</v>
      </c>
      <c r="F31" s="2">
        <v>40</v>
      </c>
      <c r="G31" s="2">
        <f t="shared" si="2"/>
        <v>40</v>
      </c>
      <c r="H31" s="2"/>
      <c r="I31" s="2"/>
      <c r="J31" s="2">
        <v>7</v>
      </c>
      <c r="K31" s="2" t="s">
        <v>298</v>
      </c>
      <c r="L31" s="1">
        <v>90</v>
      </c>
      <c r="M31" s="1">
        <v>10</v>
      </c>
      <c r="N31" s="1">
        <v>0</v>
      </c>
      <c r="O31" s="1">
        <v>0</v>
      </c>
      <c r="P31" s="1">
        <v>0</v>
      </c>
      <c r="Q31" s="1">
        <v>1</v>
      </c>
      <c r="R31" s="1">
        <v>1</v>
      </c>
      <c r="V31" s="2" t="s">
        <v>294</v>
      </c>
      <c r="W31" s="2" t="s">
        <v>290</v>
      </c>
      <c r="X31" s="2" t="s">
        <v>292</v>
      </c>
      <c r="Y31" s="2" t="s">
        <v>56</v>
      </c>
      <c r="Z31" s="2"/>
      <c r="AA31" s="2" t="s">
        <v>60</v>
      </c>
      <c r="AB31" s="2"/>
      <c r="AC31" s="26" t="s">
        <v>366</v>
      </c>
      <c r="AD31" s="2"/>
    </row>
    <row r="32" spans="1:33" s="1" customFormat="1" ht="81.75" customHeight="1" x14ac:dyDescent="0.25">
      <c r="A32" s="2" t="s">
        <v>504</v>
      </c>
      <c r="B32" s="2" t="s">
        <v>5214</v>
      </c>
      <c r="C32" s="2" t="s">
        <v>352</v>
      </c>
      <c r="D32" s="26">
        <v>1</v>
      </c>
      <c r="E32" s="26">
        <v>1998</v>
      </c>
      <c r="F32" s="26">
        <v>1998</v>
      </c>
      <c r="G32" s="26">
        <f t="shared" si="2"/>
        <v>1998</v>
      </c>
      <c r="H32" s="26">
        <v>11</v>
      </c>
      <c r="I32" s="26"/>
      <c r="J32" s="26">
        <f>261/4</f>
        <v>65.25</v>
      </c>
      <c r="K32" s="2" t="s">
        <v>5178</v>
      </c>
      <c r="L32" s="26">
        <v>50</v>
      </c>
      <c r="M32" s="26">
        <v>0</v>
      </c>
      <c r="N32" s="26">
        <v>0</v>
      </c>
      <c r="O32" s="26">
        <v>0</v>
      </c>
      <c r="P32">
        <v>50</v>
      </c>
      <c r="V32" s="2" t="s">
        <v>514</v>
      </c>
      <c r="W32" s="2" t="s">
        <v>503</v>
      </c>
      <c r="X32" s="26"/>
      <c r="Y32" s="26" t="s">
        <v>56</v>
      </c>
      <c r="Z32"/>
      <c r="AA32" s="26" t="s">
        <v>61</v>
      </c>
      <c r="AB32" s="74" t="s">
        <v>5182</v>
      </c>
      <c r="AC32" t="s">
        <v>5179</v>
      </c>
      <c r="AD32"/>
    </row>
    <row r="33" spans="1:33" s="1" customFormat="1" ht="78" customHeight="1" x14ac:dyDescent="0.25">
      <c r="A33" s="2" t="s">
        <v>506</v>
      </c>
      <c r="B33" s="2" t="s">
        <v>501</v>
      </c>
      <c r="C33" s="2" t="s">
        <v>352</v>
      </c>
      <c r="D33" s="1">
        <v>1</v>
      </c>
      <c r="E33" s="1">
        <v>800</v>
      </c>
      <c r="F33" s="1">
        <v>800</v>
      </c>
      <c r="G33" s="1">
        <v>800</v>
      </c>
      <c r="J33" s="26">
        <f t="shared" ref="J33:J35" si="3">261/4</f>
        <v>65.25</v>
      </c>
      <c r="K33" s="1" t="s">
        <v>5180</v>
      </c>
      <c r="L33" s="1">
        <v>100</v>
      </c>
      <c r="M33" s="1">
        <v>0</v>
      </c>
      <c r="N33" s="1">
        <v>0</v>
      </c>
      <c r="O33" s="1">
        <v>0</v>
      </c>
      <c r="P33" s="1">
        <v>0</v>
      </c>
      <c r="Q33" s="1">
        <v>2</v>
      </c>
      <c r="V33" s="2" t="s">
        <v>514</v>
      </c>
      <c r="W33" s="2" t="s">
        <v>503</v>
      </c>
      <c r="Y33" s="1" t="s">
        <v>56</v>
      </c>
      <c r="AA33" s="26" t="s">
        <v>61</v>
      </c>
      <c r="AB33" s="74" t="s">
        <v>5182</v>
      </c>
      <c r="AC33" t="s">
        <v>5179</v>
      </c>
    </row>
    <row r="34" spans="1:33" s="1" customFormat="1" ht="70.5" customHeight="1" x14ac:dyDescent="0.25">
      <c r="A34" s="2" t="s">
        <v>508</v>
      </c>
      <c r="B34" t="s">
        <v>5177</v>
      </c>
      <c r="C34" s="2" t="s">
        <v>352</v>
      </c>
      <c r="D34" s="26">
        <v>1</v>
      </c>
      <c r="E34" s="26">
        <v>999</v>
      </c>
      <c r="F34" s="26">
        <v>999</v>
      </c>
      <c r="G34" s="26">
        <f>E34/D34</f>
        <v>999</v>
      </c>
      <c r="H34" s="26"/>
      <c r="I34" s="26"/>
      <c r="J34" s="26">
        <f t="shared" si="3"/>
        <v>65.25</v>
      </c>
      <c r="K34" s="2" t="s">
        <v>5181</v>
      </c>
      <c r="L34" s="2">
        <v>0</v>
      </c>
      <c r="M34" s="26">
        <v>0</v>
      </c>
      <c r="N34" s="26">
        <v>0</v>
      </c>
      <c r="O34" s="26">
        <v>0</v>
      </c>
      <c r="P34">
        <v>100</v>
      </c>
      <c r="U34" s="1">
        <v>1</v>
      </c>
      <c r="V34" s="2" t="s">
        <v>514</v>
      </c>
      <c r="W34" s="2" t="s">
        <v>503</v>
      </c>
      <c r="X34" s="26"/>
      <c r="Y34" s="2" t="s">
        <v>509</v>
      </c>
      <c r="Z34"/>
      <c r="AA34" s="26" t="s">
        <v>61</v>
      </c>
      <c r="AB34" s="74" t="s">
        <v>5182</v>
      </c>
      <c r="AC34" t="s">
        <v>5179</v>
      </c>
      <c r="AD34"/>
    </row>
    <row r="35" spans="1:33" s="1" customFormat="1" ht="81" customHeight="1" x14ac:dyDescent="0.25">
      <c r="A35" s="2" t="s">
        <v>510</v>
      </c>
      <c r="B35" s="2" t="s">
        <v>501</v>
      </c>
      <c r="C35" s="2" t="s">
        <v>352</v>
      </c>
      <c r="D35" s="1">
        <v>1</v>
      </c>
      <c r="E35" s="1">
        <v>950</v>
      </c>
      <c r="F35" s="1">
        <v>950</v>
      </c>
      <c r="G35" s="1">
        <v>950</v>
      </c>
      <c r="J35" s="26">
        <f t="shared" si="3"/>
        <v>65.25</v>
      </c>
      <c r="K35" s="1" t="s">
        <v>5183</v>
      </c>
      <c r="L35" s="1">
        <v>100</v>
      </c>
      <c r="M35" s="1">
        <v>0</v>
      </c>
      <c r="N35" s="1">
        <v>0</v>
      </c>
      <c r="O35" s="1">
        <v>0</v>
      </c>
      <c r="P35" s="1">
        <v>0</v>
      </c>
      <c r="V35" s="2" t="s">
        <v>514</v>
      </c>
      <c r="W35" s="2" t="s">
        <v>503</v>
      </c>
      <c r="Y35" s="1" t="s">
        <v>56</v>
      </c>
      <c r="AA35" s="26" t="s">
        <v>61</v>
      </c>
      <c r="AB35" s="74" t="s">
        <v>5182</v>
      </c>
      <c r="AC35" t="s">
        <v>5179</v>
      </c>
    </row>
    <row r="36" spans="1:33" s="1" customFormat="1" ht="77.25" customHeight="1" x14ac:dyDescent="0.25">
      <c r="A36" s="2" t="s">
        <v>66</v>
      </c>
      <c r="B36" s="2" t="s">
        <v>351</v>
      </c>
      <c r="C36" s="2" t="s">
        <v>350</v>
      </c>
      <c r="D36" s="2">
        <v>1</v>
      </c>
      <c r="E36" s="2">
        <v>31</v>
      </c>
      <c r="F36" s="1">
        <v>31</v>
      </c>
      <c r="G36" s="2">
        <f>E36/D36</f>
        <v>31</v>
      </c>
      <c r="H36" s="2"/>
      <c r="I36" s="2"/>
      <c r="J36" s="2">
        <v>20</v>
      </c>
      <c r="K36" s="2" t="s">
        <v>426</v>
      </c>
      <c r="L36" s="2">
        <v>50</v>
      </c>
      <c r="M36" s="2">
        <v>0</v>
      </c>
      <c r="N36" s="2">
        <v>50</v>
      </c>
      <c r="O36" s="2">
        <v>0</v>
      </c>
      <c r="P36" s="2">
        <v>0</v>
      </c>
      <c r="Q36" s="1">
        <v>3</v>
      </c>
      <c r="S36" s="1">
        <v>1</v>
      </c>
      <c r="V36" s="2" t="s">
        <v>75</v>
      </c>
      <c r="W36" s="2" t="s">
        <v>58</v>
      </c>
      <c r="X36" s="2" t="s">
        <v>57</v>
      </c>
      <c r="Y36" s="2" t="s">
        <v>59</v>
      </c>
      <c r="Z36" s="2"/>
      <c r="AA36" s="2" t="s">
        <v>61</v>
      </c>
      <c r="AB36" s="2" t="s">
        <v>209</v>
      </c>
      <c r="AC36" s="26" t="s">
        <v>208</v>
      </c>
      <c r="AD36" s="2"/>
    </row>
    <row r="37" spans="1:33" s="1" customFormat="1" ht="45.75" customHeight="1" x14ac:dyDescent="0.25">
      <c r="A37" s="2" t="s">
        <v>90</v>
      </c>
      <c r="B37" s="2" t="s">
        <v>91</v>
      </c>
      <c r="C37" s="2" t="s">
        <v>350</v>
      </c>
      <c r="D37" s="2">
        <v>1</v>
      </c>
      <c r="E37" s="2">
        <v>70</v>
      </c>
      <c r="F37" s="2">
        <v>70</v>
      </c>
      <c r="G37" s="2">
        <f>E37/D37</f>
        <v>70</v>
      </c>
      <c r="H37" s="2">
        <v>67</v>
      </c>
      <c r="I37" s="2"/>
      <c r="J37" s="2">
        <v>3</v>
      </c>
      <c r="K37" s="2" t="s">
        <v>92</v>
      </c>
      <c r="L37" s="2">
        <v>0</v>
      </c>
      <c r="M37" s="2">
        <v>0</v>
      </c>
      <c r="N37" s="2">
        <v>100</v>
      </c>
      <c r="O37" s="2">
        <v>0</v>
      </c>
      <c r="P37" s="2">
        <v>0</v>
      </c>
      <c r="S37" s="1">
        <v>2</v>
      </c>
      <c r="V37" s="2" t="s">
        <v>94</v>
      </c>
      <c r="W37" s="2" t="s">
        <v>93</v>
      </c>
      <c r="X37" s="2"/>
      <c r="Y37" s="2" t="s">
        <v>56</v>
      </c>
      <c r="Z37" s="2"/>
      <c r="AA37" s="2" t="s">
        <v>60</v>
      </c>
      <c r="AB37" s="2"/>
      <c r="AC37" s="26" t="s">
        <v>208</v>
      </c>
      <c r="AD37" s="2"/>
    </row>
    <row r="38" spans="1:33" s="1" customFormat="1" ht="103.5" customHeight="1" x14ac:dyDescent="0.25">
      <c r="A38" s="2" t="s">
        <v>563</v>
      </c>
      <c r="B38" s="26" t="s">
        <v>564</v>
      </c>
      <c r="C38" s="26" t="s">
        <v>350</v>
      </c>
      <c r="D38" s="26">
        <v>1</v>
      </c>
      <c r="E38" s="26">
        <v>113</v>
      </c>
      <c r="F38" s="26">
        <v>113</v>
      </c>
      <c r="G38" s="26">
        <v>113</v>
      </c>
      <c r="H38" s="26"/>
      <c r="I38" s="26"/>
      <c r="J38" s="26">
        <v>16</v>
      </c>
      <c r="K38" s="2" t="s">
        <v>5275</v>
      </c>
      <c r="L38" s="26">
        <v>0</v>
      </c>
      <c r="M38" s="26">
        <v>0</v>
      </c>
      <c r="N38" s="26">
        <v>25</v>
      </c>
      <c r="O38" s="26">
        <v>75</v>
      </c>
      <c r="P38" s="26">
        <v>0</v>
      </c>
      <c r="S38" s="1">
        <v>1</v>
      </c>
      <c r="T38" s="1">
        <v>4</v>
      </c>
      <c r="V38" s="2" t="s">
        <v>560</v>
      </c>
      <c r="W38" s="2" t="s">
        <v>558</v>
      </c>
      <c r="X38" s="2" t="s">
        <v>561</v>
      </c>
      <c r="Y38" s="26" t="s">
        <v>56</v>
      </c>
      <c r="Z38" s="2" t="s">
        <v>562</v>
      </c>
      <c r="AA38" s="1" t="s">
        <v>60</v>
      </c>
      <c r="AB38" s="1" t="s">
        <v>559</v>
      </c>
      <c r="AC38" t="s">
        <v>5276</v>
      </c>
      <c r="AD38"/>
    </row>
    <row r="39" spans="1:33" s="1" customFormat="1" ht="66" customHeight="1" x14ac:dyDescent="0.25">
      <c r="A39" s="2" t="s">
        <v>215</v>
      </c>
      <c r="B39" s="2" t="s">
        <v>211</v>
      </c>
      <c r="C39" s="26" t="s">
        <v>352</v>
      </c>
      <c r="D39" s="2">
        <v>1</v>
      </c>
      <c r="E39" s="2">
        <v>39</v>
      </c>
      <c r="F39" s="2">
        <v>39</v>
      </c>
      <c r="G39" s="2">
        <v>39</v>
      </c>
      <c r="H39" s="2"/>
      <c r="I39" s="2"/>
      <c r="J39" s="2">
        <v>46</v>
      </c>
      <c r="K39" s="2" t="s">
        <v>217</v>
      </c>
      <c r="V39" s="2" t="s">
        <v>876</v>
      </c>
      <c r="W39" s="2" t="s">
        <v>1005</v>
      </c>
      <c r="X39" s="2" t="s">
        <v>216</v>
      </c>
      <c r="Y39" s="2" t="s">
        <v>56</v>
      </c>
      <c r="Z39" s="2" t="s">
        <v>947</v>
      </c>
      <c r="AA39" s="1" t="s">
        <v>60</v>
      </c>
      <c r="AB39" s="2"/>
      <c r="AC39" s="26" t="s">
        <v>1006</v>
      </c>
      <c r="AD39" s="2">
        <v>79000</v>
      </c>
      <c r="AE39" s="1" t="s">
        <v>1004</v>
      </c>
      <c r="AF39" s="1">
        <v>4220</v>
      </c>
      <c r="AG39" s="1">
        <v>6695</v>
      </c>
    </row>
    <row r="40" spans="1:33" s="1" customFormat="1" ht="96" customHeight="1" x14ac:dyDescent="0.25">
      <c r="A40" s="2" t="s">
        <v>264</v>
      </c>
      <c r="B40" s="2" t="s">
        <v>266</v>
      </c>
      <c r="C40" s="1" t="s">
        <v>350</v>
      </c>
      <c r="D40" s="1">
        <v>41</v>
      </c>
      <c r="E40" s="2">
        <v>19575</v>
      </c>
      <c r="F40" s="1">
        <f>E40*0.8</f>
        <v>15660</v>
      </c>
      <c r="G40" s="2">
        <f>E40/D40</f>
        <v>477.4390243902439</v>
      </c>
      <c r="H40" s="2">
        <v>52</v>
      </c>
      <c r="I40" s="2"/>
      <c r="J40" s="2"/>
      <c r="K40" s="2" t="s">
        <v>548</v>
      </c>
      <c r="V40" s="2"/>
      <c r="W40" s="2" t="s">
        <v>265</v>
      </c>
      <c r="X40" s="2" t="s">
        <v>547</v>
      </c>
      <c r="Y40" s="2" t="s">
        <v>323</v>
      </c>
      <c r="Z40" s="2"/>
      <c r="AA40" s="2" t="s">
        <v>61</v>
      </c>
      <c r="AB40" s="2" t="s">
        <v>267</v>
      </c>
      <c r="AC40" s="26" t="s">
        <v>546</v>
      </c>
      <c r="AD40" s="2"/>
    </row>
    <row r="41" spans="1:33" s="1" customFormat="1" ht="42" customHeight="1" x14ac:dyDescent="0.25">
      <c r="A41" s="26" t="s">
        <v>529</v>
      </c>
      <c r="B41" s="2" t="s">
        <v>530</v>
      </c>
      <c r="C41" s="2" t="s">
        <v>352</v>
      </c>
      <c r="D41" s="26">
        <v>1</v>
      </c>
      <c r="E41" s="26">
        <v>120</v>
      </c>
      <c r="F41" s="26">
        <v>120</v>
      </c>
      <c r="G41" s="26">
        <f>E41/D41</f>
        <v>120</v>
      </c>
      <c r="H41" s="26"/>
      <c r="I41" s="26" t="s">
        <v>107</v>
      </c>
      <c r="J41" s="26">
        <v>58</v>
      </c>
      <c r="K41" s="2" t="s">
        <v>531</v>
      </c>
      <c r="L41" s="26">
        <v>0</v>
      </c>
      <c r="M41" s="26">
        <v>100</v>
      </c>
      <c r="N41" s="26">
        <v>0</v>
      </c>
      <c r="O41" s="26">
        <v>0</v>
      </c>
      <c r="P41" s="26">
        <v>0</v>
      </c>
      <c r="R41" s="1">
        <v>57</v>
      </c>
      <c r="V41" s="2" t="s">
        <v>525</v>
      </c>
      <c r="W41" s="26"/>
      <c r="X41" s="26"/>
      <c r="Y41" s="26" t="s">
        <v>197</v>
      </c>
      <c r="Z41"/>
      <c r="AA41" s="26" t="s">
        <v>61</v>
      </c>
      <c r="AB41"/>
      <c r="AC41" t="s">
        <v>532</v>
      </c>
      <c r="AD41"/>
    </row>
    <row r="42" spans="1:33" s="1" customFormat="1" ht="27.75" customHeight="1" x14ac:dyDescent="0.25">
      <c r="A42" s="2" t="s">
        <v>153</v>
      </c>
      <c r="B42" s="2" t="s">
        <v>154</v>
      </c>
      <c r="C42" s="1" t="s">
        <v>354</v>
      </c>
      <c r="E42" s="2"/>
      <c r="G42" s="2"/>
      <c r="H42" s="2"/>
      <c r="I42" s="2"/>
      <c r="J42" s="2"/>
      <c r="K42" s="2" t="s">
        <v>438</v>
      </c>
      <c r="L42" s="1">
        <v>50</v>
      </c>
      <c r="M42" s="1">
        <v>0</v>
      </c>
      <c r="N42" s="1">
        <v>50</v>
      </c>
      <c r="O42" s="1">
        <v>0</v>
      </c>
      <c r="P42" s="1">
        <v>0</v>
      </c>
      <c r="V42" s="2" t="s">
        <v>437</v>
      </c>
      <c r="W42" s="2" t="s">
        <v>156</v>
      </c>
      <c r="X42" s="2" t="s">
        <v>155</v>
      </c>
      <c r="Y42" s="2" t="s">
        <v>56</v>
      </c>
      <c r="Z42" s="2"/>
      <c r="AA42" s="2" t="s">
        <v>61</v>
      </c>
      <c r="AB42" s="2"/>
      <c r="AC42" s="26" t="s">
        <v>439</v>
      </c>
      <c r="AD42" s="2"/>
    </row>
    <row r="43" spans="1:33" s="1" customFormat="1" ht="68.25" customHeight="1" x14ac:dyDescent="0.25">
      <c r="A43" s="26" t="s">
        <v>533</v>
      </c>
      <c r="B43" s="2" t="s">
        <v>5212</v>
      </c>
      <c r="C43" s="2" t="s">
        <v>352</v>
      </c>
      <c r="D43" s="26">
        <v>1</v>
      </c>
      <c r="E43" s="26">
        <v>761</v>
      </c>
      <c r="G43" s="26">
        <f>E43/D43</f>
        <v>761</v>
      </c>
      <c r="H43" s="26"/>
      <c r="I43" s="26"/>
      <c r="J43" s="26">
        <v>9</v>
      </c>
      <c r="K43" s="2" t="s">
        <v>534</v>
      </c>
      <c r="L43" s="26"/>
      <c r="M43" s="26"/>
      <c r="N43" s="26"/>
      <c r="O43" s="26"/>
      <c r="P43" s="26"/>
      <c r="V43" s="2" t="s">
        <v>525</v>
      </c>
      <c r="W43" s="26"/>
      <c r="X43" s="26"/>
      <c r="Y43" s="2" t="s">
        <v>321</v>
      </c>
      <c r="Z43"/>
      <c r="AA43" s="26" t="s">
        <v>61</v>
      </c>
      <c r="AB43"/>
      <c r="AC43" s="77" t="s">
        <v>532</v>
      </c>
      <c r="AD43">
        <v>3000000</v>
      </c>
    </row>
    <row r="44" spans="1:33" s="1" customFormat="1" ht="51" customHeight="1" x14ac:dyDescent="0.25">
      <c r="A44" s="2" t="s">
        <v>218</v>
      </c>
      <c r="B44" s="2" t="s">
        <v>219</v>
      </c>
      <c r="C44" s="1" t="s">
        <v>353</v>
      </c>
      <c r="D44" s="2"/>
      <c r="E44" s="2"/>
      <c r="G44" s="2"/>
      <c r="H44" s="2"/>
      <c r="I44" s="2"/>
      <c r="J44" s="2">
        <v>81</v>
      </c>
      <c r="K44" s="2" t="s">
        <v>222</v>
      </c>
      <c r="V44" s="2" t="s">
        <v>221</v>
      </c>
      <c r="W44" s="2" t="s">
        <v>220</v>
      </c>
      <c r="X44" s="2"/>
      <c r="Y44" s="2"/>
      <c r="Z44" s="2"/>
      <c r="AA44" s="2"/>
      <c r="AB44" s="2"/>
      <c r="AC44" s="26" t="s">
        <v>291</v>
      </c>
      <c r="AD44" s="2"/>
    </row>
    <row r="45" spans="1:33" s="1" customFormat="1" ht="52.5" customHeight="1" x14ac:dyDescent="0.25">
      <c r="A45" s="2" t="s">
        <v>280</v>
      </c>
      <c r="B45" s="2" t="s">
        <v>281</v>
      </c>
      <c r="C45" s="1" t="s">
        <v>350</v>
      </c>
      <c r="D45" s="2">
        <v>19</v>
      </c>
      <c r="E45" s="2">
        <v>8600</v>
      </c>
      <c r="F45" s="2">
        <v>8600</v>
      </c>
      <c r="G45" s="2">
        <f t="shared" ref="G45:G54" si="4">E45/D45</f>
        <v>452.63157894736844</v>
      </c>
      <c r="H45" s="2"/>
      <c r="I45" s="2"/>
      <c r="J45" s="2"/>
      <c r="K45" s="2" t="s">
        <v>456</v>
      </c>
      <c r="L45" s="1">
        <v>100</v>
      </c>
      <c r="M45" s="1">
        <v>0</v>
      </c>
      <c r="N45" s="1">
        <v>0</v>
      </c>
      <c r="O45" s="1">
        <v>0</v>
      </c>
      <c r="P45" s="1">
        <v>0</v>
      </c>
      <c r="V45" s="2" t="s">
        <v>109</v>
      </c>
      <c r="W45" s="2" t="s">
        <v>282</v>
      </c>
      <c r="X45" s="2" t="s">
        <v>273</v>
      </c>
      <c r="Y45" s="2" t="s">
        <v>56</v>
      </c>
      <c r="Z45" s="2"/>
      <c r="AA45" s="2" t="s">
        <v>61</v>
      </c>
      <c r="AB45" s="2"/>
      <c r="AC45" s="26" t="s">
        <v>455</v>
      </c>
      <c r="AD45" s="2"/>
    </row>
    <row r="46" spans="1:33" s="1" customFormat="1" ht="62.25" customHeight="1" x14ac:dyDescent="0.25">
      <c r="A46" s="2" t="s">
        <v>242</v>
      </c>
      <c r="B46" s="2" t="s">
        <v>235</v>
      </c>
      <c r="C46" s="1" t="s">
        <v>353</v>
      </c>
      <c r="D46" s="2">
        <v>1</v>
      </c>
      <c r="E46" s="2">
        <v>1000</v>
      </c>
      <c r="G46" s="2">
        <f t="shared" si="4"/>
        <v>1000</v>
      </c>
      <c r="H46" s="2">
        <v>0</v>
      </c>
      <c r="I46" s="2">
        <v>0</v>
      </c>
      <c r="J46" s="2">
        <v>900</v>
      </c>
      <c r="K46" s="2" t="s">
        <v>240</v>
      </c>
      <c r="V46" s="2" t="s">
        <v>257</v>
      </c>
      <c r="W46" s="2" t="s">
        <v>232</v>
      </c>
      <c r="X46" s="2"/>
      <c r="Y46" s="2" t="s">
        <v>234</v>
      </c>
      <c r="Z46" s="2" t="s">
        <v>81</v>
      </c>
      <c r="AA46" s="2" t="s">
        <v>60</v>
      </c>
      <c r="AB46" s="2" t="s">
        <v>233</v>
      </c>
      <c r="AC46" s="26" t="s">
        <v>291</v>
      </c>
      <c r="AD46" s="2"/>
    </row>
    <row r="47" spans="1:33" s="1" customFormat="1" ht="118.5" customHeight="1" x14ac:dyDescent="0.25">
      <c r="A47" s="26" t="s">
        <v>538</v>
      </c>
      <c r="B47" s="2" t="s">
        <v>5186</v>
      </c>
      <c r="C47" s="2" t="s">
        <v>352</v>
      </c>
      <c r="D47" s="26">
        <v>3</v>
      </c>
      <c r="E47" s="26">
        <v>8549</v>
      </c>
      <c r="G47" s="2">
        <f t="shared" si="4"/>
        <v>2849.6666666666665</v>
      </c>
      <c r="H47" s="26"/>
      <c r="I47" s="26"/>
      <c r="J47" s="26">
        <v>947</v>
      </c>
      <c r="K47" s="2" t="s">
        <v>541</v>
      </c>
      <c r="L47" s="26"/>
      <c r="M47" s="26"/>
      <c r="N47" s="26"/>
      <c r="O47" s="26"/>
      <c r="P47"/>
      <c r="V47" s="2" t="s">
        <v>539</v>
      </c>
      <c r="W47" s="2" t="s">
        <v>537</v>
      </c>
      <c r="X47" s="26"/>
      <c r="Y47" s="2" t="s">
        <v>323</v>
      </c>
      <c r="Z47"/>
      <c r="AA47" s="2" t="s">
        <v>61</v>
      </c>
      <c r="AB47" s="1" t="s">
        <v>5184</v>
      </c>
      <c r="AC47" s="73" t="s">
        <v>540</v>
      </c>
      <c r="AD47" t="s">
        <v>5185</v>
      </c>
    </row>
    <row r="48" spans="1:33" s="1" customFormat="1" ht="65.25" customHeight="1" x14ac:dyDescent="0.25">
      <c r="A48" s="2" t="s">
        <v>64</v>
      </c>
      <c r="B48" s="2" t="s">
        <v>62</v>
      </c>
      <c r="C48" s="2" t="s">
        <v>350</v>
      </c>
      <c r="D48" s="2">
        <v>1</v>
      </c>
      <c r="E48" s="2">
        <v>250</v>
      </c>
      <c r="F48" s="2">
        <v>250</v>
      </c>
      <c r="G48" s="2">
        <f t="shared" si="4"/>
        <v>250</v>
      </c>
      <c r="H48" s="2"/>
      <c r="I48" s="2"/>
      <c r="J48" s="2"/>
      <c r="K48" s="2" t="s">
        <v>5304</v>
      </c>
      <c r="L48" s="2">
        <v>100</v>
      </c>
      <c r="M48" s="2">
        <v>0</v>
      </c>
      <c r="N48" s="2">
        <v>0</v>
      </c>
      <c r="O48" s="2">
        <v>0</v>
      </c>
      <c r="P48" s="2">
        <v>0</v>
      </c>
      <c r="Q48" s="1">
        <v>4</v>
      </c>
      <c r="V48" s="2" t="s">
        <v>73</v>
      </c>
      <c r="W48" s="2" t="s">
        <v>62</v>
      </c>
      <c r="X48" s="2"/>
      <c r="Y48" s="2" t="s">
        <v>56</v>
      </c>
      <c r="Z48" s="2"/>
      <c r="AA48" s="2" t="s">
        <v>63</v>
      </c>
      <c r="AB48" s="2" t="s">
        <v>71</v>
      </c>
      <c r="AC48" s="26" t="s">
        <v>208</v>
      </c>
      <c r="AD48" s="2"/>
    </row>
    <row r="49" spans="1:37" s="1" customFormat="1" ht="55.5" customHeight="1" x14ac:dyDescent="0.25">
      <c r="A49" s="26" t="s">
        <v>466</v>
      </c>
      <c r="B49" s="26" t="s">
        <v>467</v>
      </c>
      <c r="C49" s="2" t="s">
        <v>352</v>
      </c>
      <c r="D49" s="26">
        <v>1</v>
      </c>
      <c r="E49" s="26">
        <v>160</v>
      </c>
      <c r="F49" s="26">
        <f>160-10</f>
        <v>150</v>
      </c>
      <c r="G49" s="1">
        <f t="shared" si="4"/>
        <v>160</v>
      </c>
      <c r="H49" s="26"/>
      <c r="I49" s="26"/>
      <c r="J49" s="26"/>
      <c r="K49" s="2" t="s">
        <v>542</v>
      </c>
      <c r="L49" s="26">
        <v>30</v>
      </c>
      <c r="M49" s="26">
        <v>0</v>
      </c>
      <c r="N49" s="26">
        <v>65</v>
      </c>
      <c r="O49" s="26">
        <v>0</v>
      </c>
      <c r="P49" s="26">
        <v>5</v>
      </c>
      <c r="S49" s="1">
        <v>1</v>
      </c>
      <c r="U49" s="1">
        <v>1</v>
      </c>
      <c r="V49" s="26"/>
      <c r="W49" s="2" t="s">
        <v>469</v>
      </c>
      <c r="X49" s="2" t="s">
        <v>468</v>
      </c>
      <c r="Y49" s="2" t="s">
        <v>470</v>
      </c>
      <c r="Z49"/>
      <c r="AA49" s="26" t="s">
        <v>61</v>
      </c>
      <c r="AB49" s="2" t="s">
        <v>471</v>
      </c>
      <c r="AC49" t="s">
        <v>472</v>
      </c>
      <c r="AD49"/>
    </row>
    <row r="50" spans="1:37" ht="189.75" customHeight="1" x14ac:dyDescent="0.25">
      <c r="A50" s="2" t="s">
        <v>519</v>
      </c>
      <c r="B50" s="2" t="s">
        <v>5187</v>
      </c>
      <c r="C50" s="2" t="s">
        <v>353</v>
      </c>
      <c r="D50" s="26">
        <v>3</v>
      </c>
      <c r="E50" s="26">
        <v>2568</v>
      </c>
      <c r="F50" s="26">
        <v>2568</v>
      </c>
      <c r="G50" s="26">
        <f t="shared" si="4"/>
        <v>856</v>
      </c>
      <c r="J50" s="26">
        <f>130+12</f>
        <v>142</v>
      </c>
      <c r="K50" s="2" t="s">
        <v>5188</v>
      </c>
      <c r="L50" s="26">
        <v>50</v>
      </c>
      <c r="M50" s="26">
        <v>50</v>
      </c>
      <c r="N50" s="26">
        <v>0</v>
      </c>
      <c r="O50" s="26">
        <v>0</v>
      </c>
      <c r="P50" s="26">
        <v>0</v>
      </c>
      <c r="Q50" s="42">
        <f>88/3</f>
        <v>29.333333333333332</v>
      </c>
      <c r="R50" s="1">
        <f>90/3</f>
        <v>30</v>
      </c>
      <c r="S50" s="1"/>
      <c r="T50" s="1"/>
      <c r="V50" s="2" t="s">
        <v>525</v>
      </c>
      <c r="W50" s="2" t="s">
        <v>522</v>
      </c>
      <c r="X50" s="2" t="s">
        <v>155</v>
      </c>
      <c r="Y50" s="26" t="s">
        <v>56</v>
      </c>
      <c r="AA50" s="26" t="s">
        <v>61</v>
      </c>
      <c r="AC50" s="73" t="s">
        <v>526</v>
      </c>
      <c r="AD50">
        <v>13400000</v>
      </c>
      <c r="AE50" s="1"/>
      <c r="AF50" s="1"/>
      <c r="AG50" s="1"/>
      <c r="AH50" s="1"/>
      <c r="AI50" s="1"/>
      <c r="AJ50" s="1"/>
      <c r="AK50" s="1"/>
    </row>
    <row r="51" spans="1:37" ht="119.25" customHeight="1" x14ac:dyDescent="0.25">
      <c r="A51" s="26" t="s">
        <v>516</v>
      </c>
      <c r="B51" s="2" t="s">
        <v>5190</v>
      </c>
      <c r="C51" s="2" t="s">
        <v>353</v>
      </c>
      <c r="D51" s="26">
        <v>7</v>
      </c>
      <c r="E51" s="26">
        <v>3510</v>
      </c>
      <c r="F51" s="26">
        <v>3510</v>
      </c>
      <c r="G51" s="26">
        <f t="shared" si="4"/>
        <v>501.42857142857144</v>
      </c>
      <c r="J51" s="26">
        <f>614+9</f>
        <v>623</v>
      </c>
      <c r="K51" s="2" t="s">
        <v>5189</v>
      </c>
      <c r="L51" s="26">
        <v>49</v>
      </c>
      <c r="M51" s="26">
        <v>51</v>
      </c>
      <c r="N51" s="26">
        <v>0</v>
      </c>
      <c r="O51" s="26">
        <v>0</v>
      </c>
      <c r="P51" s="26">
        <v>0</v>
      </c>
      <c r="Q51" s="42">
        <f>288/7</f>
        <v>41.142857142857146</v>
      </c>
      <c r="R51" s="42">
        <f>302/7</f>
        <v>43.142857142857146</v>
      </c>
      <c r="S51" s="42"/>
      <c r="T51" s="1"/>
      <c r="V51" s="2" t="s">
        <v>518</v>
      </c>
      <c r="W51" s="26" t="s">
        <v>517</v>
      </c>
      <c r="X51" s="26"/>
      <c r="Y51" s="26" t="s">
        <v>56</v>
      </c>
      <c r="AA51" s="26" t="s">
        <v>61</v>
      </c>
      <c r="AC51" t="s">
        <v>526</v>
      </c>
      <c r="AD51">
        <v>18900000</v>
      </c>
      <c r="AE51" s="1"/>
      <c r="AF51" s="1"/>
      <c r="AG51" s="1"/>
      <c r="AH51" s="1"/>
      <c r="AI51" s="1"/>
      <c r="AJ51" s="1"/>
      <c r="AK51" s="1"/>
    </row>
    <row r="52" spans="1:37" ht="101.25" customHeight="1" x14ac:dyDescent="0.25">
      <c r="A52" s="26" t="s">
        <v>520</v>
      </c>
      <c r="B52" s="2" t="s">
        <v>5191</v>
      </c>
      <c r="C52" s="2" t="s">
        <v>353</v>
      </c>
      <c r="D52" s="26">
        <v>2</v>
      </c>
      <c r="E52" s="26">
        <v>5799</v>
      </c>
      <c r="F52">
        <f>E52-360</f>
        <v>5439</v>
      </c>
      <c r="G52" s="26">
        <f t="shared" si="4"/>
        <v>2899.5</v>
      </c>
      <c r="J52" s="26">
        <f>300+6</f>
        <v>306</v>
      </c>
      <c r="K52" s="2" t="s">
        <v>5192</v>
      </c>
      <c r="L52" s="26">
        <v>90</v>
      </c>
      <c r="M52" s="26">
        <v>10</v>
      </c>
      <c r="N52" s="26">
        <v>0</v>
      </c>
      <c r="O52" s="26">
        <v>0</v>
      </c>
      <c r="P52" s="26">
        <v>0</v>
      </c>
      <c r="Q52" s="43">
        <f>29/2</f>
        <v>14.5</v>
      </c>
      <c r="R52" s="43">
        <f>124/2</f>
        <v>62</v>
      </c>
      <c r="S52" s="43"/>
      <c r="V52" s="2" t="s">
        <v>524</v>
      </c>
      <c r="W52" s="2" t="s">
        <v>521</v>
      </c>
      <c r="X52" s="2" t="s">
        <v>523</v>
      </c>
      <c r="Y52" s="2" t="s">
        <v>527</v>
      </c>
      <c r="AA52" s="26" t="s">
        <v>61</v>
      </c>
      <c r="AC52" t="s">
        <v>526</v>
      </c>
      <c r="AD52">
        <v>19000000</v>
      </c>
    </row>
    <row r="53" spans="1:37" ht="106.5" customHeight="1" x14ac:dyDescent="0.25">
      <c r="A53" s="2" t="s">
        <v>528</v>
      </c>
      <c r="B53" s="2" t="s">
        <v>5213</v>
      </c>
      <c r="C53" s="2" t="s">
        <v>352</v>
      </c>
      <c r="D53" s="26">
        <v>1</v>
      </c>
      <c r="E53" s="26">
        <v>650</v>
      </c>
      <c r="F53" s="26">
        <v>650</v>
      </c>
      <c r="G53" s="26">
        <f t="shared" si="4"/>
        <v>650</v>
      </c>
      <c r="I53" s="26" t="s">
        <v>107</v>
      </c>
      <c r="J53" s="26">
        <f>244+1</f>
        <v>245</v>
      </c>
      <c r="K53" s="2" t="s">
        <v>5206</v>
      </c>
      <c r="L53" s="26">
        <v>40</v>
      </c>
      <c r="M53" s="26">
        <v>40</v>
      </c>
      <c r="N53" s="26">
        <v>0</v>
      </c>
      <c r="O53" s="26">
        <v>0</v>
      </c>
      <c r="P53" s="26">
        <v>20</v>
      </c>
      <c r="Q53" s="26">
        <v>5</v>
      </c>
      <c r="R53" s="26">
        <v>186</v>
      </c>
      <c r="U53" s="26">
        <v>1</v>
      </c>
      <c r="V53" s="2" t="s">
        <v>525</v>
      </c>
      <c r="W53" s="26"/>
      <c r="X53" s="26"/>
      <c r="Y53" s="2" t="s">
        <v>4757</v>
      </c>
      <c r="AA53" s="26" t="s">
        <v>61</v>
      </c>
      <c r="AC53" t="s">
        <v>532</v>
      </c>
    </row>
    <row r="54" spans="1:37" ht="39" x14ac:dyDescent="0.25">
      <c r="A54" s="2" t="s">
        <v>271</v>
      </c>
      <c r="B54" s="2" t="s">
        <v>272</v>
      </c>
      <c r="C54" s="1" t="s">
        <v>350</v>
      </c>
      <c r="D54" s="2">
        <v>1</v>
      </c>
      <c r="E54" s="2">
        <v>174.65</v>
      </c>
      <c r="F54" s="2">
        <v>174.65</v>
      </c>
      <c r="G54" s="2">
        <f t="shared" si="4"/>
        <v>174.65</v>
      </c>
      <c r="H54" s="2"/>
      <c r="I54" s="2"/>
      <c r="J54" s="2"/>
      <c r="K54" s="2" t="s">
        <v>5305</v>
      </c>
      <c r="L54" s="1">
        <v>100</v>
      </c>
      <c r="M54" s="1">
        <v>0</v>
      </c>
      <c r="N54" s="1">
        <v>0</v>
      </c>
      <c r="O54" s="1">
        <v>0</v>
      </c>
      <c r="P54" s="1">
        <v>0</v>
      </c>
      <c r="Q54" s="26">
        <v>1</v>
      </c>
      <c r="V54" s="2" t="s">
        <v>275</v>
      </c>
      <c r="W54" s="2" t="s">
        <v>272</v>
      </c>
      <c r="X54" s="2" t="s">
        <v>273</v>
      </c>
      <c r="Y54" s="2" t="s">
        <v>323</v>
      </c>
      <c r="Z54" s="2"/>
      <c r="AA54" s="2" t="s">
        <v>60</v>
      </c>
      <c r="AB54" s="2"/>
      <c r="AC54" s="26" t="s">
        <v>291</v>
      </c>
      <c r="AD54" s="2"/>
    </row>
    <row r="55" spans="1:37" ht="72.75" customHeight="1" x14ac:dyDescent="0.25">
      <c r="A55" s="26" t="s">
        <v>337</v>
      </c>
      <c r="B55" s="2" t="s">
        <v>339</v>
      </c>
      <c r="C55" s="26" t="s">
        <v>350</v>
      </c>
      <c r="G55" s="2"/>
      <c r="J55" s="26">
        <v>95</v>
      </c>
      <c r="K55" s="2" t="s">
        <v>721</v>
      </c>
      <c r="V55" s="26"/>
      <c r="W55" s="26" t="s">
        <v>338</v>
      </c>
      <c r="X55" s="26"/>
      <c r="Y55" s="26"/>
      <c r="Z55" s="26" t="s">
        <v>327</v>
      </c>
      <c r="AA55" s="26" t="s">
        <v>61</v>
      </c>
      <c r="AB55" s="2" t="s">
        <v>342</v>
      </c>
      <c r="AC55" s="26" t="s">
        <v>722</v>
      </c>
      <c r="AD55" s="26"/>
    </row>
    <row r="56" spans="1:37" ht="48" customHeight="1" x14ac:dyDescent="0.25">
      <c r="A56" s="26" t="s">
        <v>385</v>
      </c>
      <c r="B56" s="26" t="s">
        <v>388</v>
      </c>
      <c r="C56" s="26" t="s">
        <v>354</v>
      </c>
      <c r="D56" s="26">
        <v>1</v>
      </c>
      <c r="E56" s="26">
        <v>90</v>
      </c>
      <c r="F56" s="26">
        <v>90</v>
      </c>
      <c r="G56" s="2">
        <f>E56/D56</f>
        <v>90</v>
      </c>
      <c r="J56" s="26">
        <v>50</v>
      </c>
      <c r="K56" s="2" t="s">
        <v>596</v>
      </c>
      <c r="L56" s="26">
        <v>33</v>
      </c>
      <c r="M56" s="26">
        <v>67</v>
      </c>
      <c r="N56" s="26">
        <v>0</v>
      </c>
      <c r="O56" s="26">
        <v>0</v>
      </c>
      <c r="P56" s="26">
        <v>0</v>
      </c>
      <c r="Q56" s="26">
        <v>1</v>
      </c>
      <c r="R56" s="26">
        <v>50</v>
      </c>
      <c r="V56" s="26" t="s">
        <v>109</v>
      </c>
      <c r="W56" s="2" t="s">
        <v>232</v>
      </c>
      <c r="X56" s="2" t="s">
        <v>386</v>
      </c>
      <c r="Y56" s="26" t="s">
        <v>56</v>
      </c>
      <c r="Z56" s="26" t="s">
        <v>327</v>
      </c>
      <c r="AA56" s="2" t="s">
        <v>60</v>
      </c>
      <c r="AB56" s="26" t="s">
        <v>387</v>
      </c>
      <c r="AC56" s="26" t="s">
        <v>401</v>
      </c>
      <c r="AD56" s="26"/>
    </row>
    <row r="57" spans="1:37" ht="52.5" customHeight="1" x14ac:dyDescent="0.25">
      <c r="A57" s="2" t="s">
        <v>295</v>
      </c>
      <c r="B57" s="2" t="s">
        <v>290</v>
      </c>
      <c r="C57" s="1" t="s">
        <v>350</v>
      </c>
      <c r="D57" s="2">
        <v>1</v>
      </c>
      <c r="E57" s="2">
        <v>20</v>
      </c>
      <c r="F57" s="2">
        <v>20</v>
      </c>
      <c r="G57" s="2">
        <f>E57/D57</f>
        <v>20</v>
      </c>
      <c r="H57" s="2"/>
      <c r="I57" s="2"/>
      <c r="J57" s="2"/>
      <c r="K57" s="2" t="s">
        <v>423</v>
      </c>
      <c r="L57" s="1">
        <v>100</v>
      </c>
      <c r="M57" s="1">
        <v>0</v>
      </c>
      <c r="N57" s="1">
        <v>0</v>
      </c>
      <c r="O57" s="1">
        <v>0</v>
      </c>
      <c r="P57" s="1">
        <v>0</v>
      </c>
      <c r="Q57" s="26">
        <v>1</v>
      </c>
      <c r="V57" s="2" t="s">
        <v>246</v>
      </c>
      <c r="W57" s="2" t="s">
        <v>290</v>
      </c>
      <c r="X57" s="2" t="s">
        <v>297</v>
      </c>
      <c r="Y57" s="2" t="s">
        <v>56</v>
      </c>
      <c r="Z57" s="2"/>
      <c r="AA57" s="2" t="s">
        <v>60</v>
      </c>
      <c r="AB57" s="2"/>
      <c r="AC57" s="26"/>
      <c r="AD57" s="2"/>
    </row>
    <row r="58" spans="1:37" ht="53.25" customHeight="1" x14ac:dyDescent="0.25">
      <c r="A58" s="2" t="s">
        <v>397</v>
      </c>
      <c r="B58" s="26" t="s">
        <v>378</v>
      </c>
      <c r="C58" s="26" t="s">
        <v>3684</v>
      </c>
      <c r="D58" s="26">
        <v>1</v>
      </c>
      <c r="E58" s="26">
        <v>1000</v>
      </c>
      <c r="F58" s="26">
        <v>1000</v>
      </c>
      <c r="G58" s="2">
        <f>E58/D58</f>
        <v>1000</v>
      </c>
      <c r="H58" s="26">
        <v>50</v>
      </c>
      <c r="K58" s="2" t="s">
        <v>5210</v>
      </c>
      <c r="L58" s="26">
        <v>20</v>
      </c>
      <c r="M58" s="26">
        <v>0</v>
      </c>
      <c r="N58" s="26">
        <v>0</v>
      </c>
      <c r="O58" s="26">
        <v>0</v>
      </c>
      <c r="P58" s="26">
        <v>80</v>
      </c>
      <c r="U58">
        <v>5</v>
      </c>
      <c r="V58" s="26"/>
      <c r="W58" s="2" t="s">
        <v>379</v>
      </c>
      <c r="X58" s="26"/>
      <c r="Y58" s="2" t="s">
        <v>77</v>
      </c>
      <c r="Z58" s="26"/>
      <c r="AA58" s="26" t="s">
        <v>61</v>
      </c>
      <c r="AB58" s="26"/>
      <c r="AC58" s="26" t="s">
        <v>398</v>
      </c>
      <c r="AD58" s="26"/>
    </row>
    <row r="59" spans="1:37" ht="83.25" customHeight="1" x14ac:dyDescent="0.25">
      <c r="A59" s="2" t="s">
        <v>125</v>
      </c>
      <c r="B59" s="2" t="s">
        <v>126</v>
      </c>
      <c r="C59" s="2" t="s">
        <v>356</v>
      </c>
      <c r="D59" s="2">
        <v>1</v>
      </c>
      <c r="E59" s="2">
        <v>65</v>
      </c>
      <c r="F59" s="2">
        <v>65</v>
      </c>
      <c r="G59" s="2">
        <v>65</v>
      </c>
      <c r="H59" s="2">
        <v>15</v>
      </c>
      <c r="I59" s="2"/>
      <c r="J59" s="2">
        <v>20</v>
      </c>
      <c r="K59" s="2" t="s">
        <v>430</v>
      </c>
      <c r="L59" s="2">
        <v>100</v>
      </c>
      <c r="M59" s="2">
        <v>0</v>
      </c>
      <c r="N59" s="2">
        <v>0</v>
      </c>
      <c r="O59" s="2">
        <v>0</v>
      </c>
      <c r="P59" s="2">
        <v>0</v>
      </c>
      <c r="Q59" s="26">
        <v>3</v>
      </c>
      <c r="V59" s="2" t="s">
        <v>131</v>
      </c>
      <c r="W59" s="2" t="s">
        <v>126</v>
      </c>
      <c r="X59" s="2" t="s">
        <v>720</v>
      </c>
      <c r="Y59" s="2" t="s">
        <v>56</v>
      </c>
      <c r="Z59" s="2" t="s">
        <v>89</v>
      </c>
      <c r="AA59" s="2" t="s">
        <v>60</v>
      </c>
      <c r="AB59" s="2" t="s">
        <v>718</v>
      </c>
      <c r="AC59" s="26" t="s">
        <v>719</v>
      </c>
      <c r="AD59" s="2"/>
    </row>
    <row r="60" spans="1:37" ht="59.25" customHeight="1" x14ac:dyDescent="0.25">
      <c r="A60" s="2" t="s">
        <v>498</v>
      </c>
      <c r="B60" s="26" t="s">
        <v>5194</v>
      </c>
      <c r="C60" s="2" t="s">
        <v>352</v>
      </c>
      <c r="D60" s="26">
        <v>2</v>
      </c>
      <c r="E60" s="26">
        <v>1560</v>
      </c>
      <c r="F60" s="26">
        <v>1560</v>
      </c>
      <c r="G60" s="26">
        <f>E60/D60</f>
        <v>780</v>
      </c>
      <c r="K60" s="2" t="s">
        <v>430</v>
      </c>
      <c r="L60" s="26">
        <v>100</v>
      </c>
      <c r="M60" s="26">
        <v>0</v>
      </c>
      <c r="N60" s="26">
        <v>0</v>
      </c>
      <c r="O60" s="26">
        <v>0</v>
      </c>
      <c r="P60" s="26">
        <v>0</v>
      </c>
      <c r="V60" s="2" t="s">
        <v>505</v>
      </c>
      <c r="W60" s="26" t="s">
        <v>499</v>
      </c>
      <c r="X60" s="26"/>
      <c r="Y60" s="26" t="s">
        <v>56</v>
      </c>
      <c r="AA60" s="2" t="s">
        <v>61</v>
      </c>
      <c r="AC60" t="s">
        <v>500</v>
      </c>
    </row>
    <row r="61" spans="1:37" ht="87" customHeight="1" x14ac:dyDescent="0.25">
      <c r="A61" s="2" t="s">
        <v>413</v>
      </c>
      <c r="B61" s="2" t="s">
        <v>412</v>
      </c>
      <c r="C61" s="26" t="s">
        <v>350</v>
      </c>
      <c r="D61" s="26">
        <v>1</v>
      </c>
      <c r="E61" s="26">
        <v>18</v>
      </c>
      <c r="F61" s="26">
        <v>18</v>
      </c>
      <c r="G61" s="2">
        <f>E61/D61</f>
        <v>18</v>
      </c>
      <c r="H61" s="26">
        <v>89</v>
      </c>
      <c r="I61" s="26">
        <v>13.5</v>
      </c>
      <c r="J61" s="26">
        <v>26</v>
      </c>
      <c r="K61" s="2" t="s">
        <v>441</v>
      </c>
      <c r="L61">
        <v>100</v>
      </c>
      <c r="M61" s="26">
        <v>0</v>
      </c>
      <c r="N61" s="26">
        <v>0</v>
      </c>
      <c r="O61" s="26">
        <v>0</v>
      </c>
      <c r="P61" s="26">
        <v>0</v>
      </c>
      <c r="Q61" s="26">
        <v>1</v>
      </c>
      <c r="V61" s="2" t="s">
        <v>443</v>
      </c>
      <c r="W61" s="2" t="s">
        <v>359</v>
      </c>
      <c r="X61" s="2" t="s">
        <v>414</v>
      </c>
      <c r="Y61" s="2" t="s">
        <v>4756</v>
      </c>
      <c r="Z61" s="26"/>
      <c r="AA61" s="26" t="s">
        <v>60</v>
      </c>
      <c r="AB61" s="2" t="s">
        <v>411</v>
      </c>
      <c r="AC61" s="26" t="s">
        <v>442</v>
      </c>
      <c r="AD61" s="26"/>
    </row>
    <row r="62" spans="1:37" ht="99" customHeight="1" x14ac:dyDescent="0.25">
      <c r="A62" s="2" t="s">
        <v>146</v>
      </c>
      <c r="B62" s="2" t="s">
        <v>147</v>
      </c>
      <c r="C62" s="2" t="s">
        <v>357</v>
      </c>
      <c r="D62" s="2">
        <v>1</v>
      </c>
      <c r="E62" s="2">
        <v>44</v>
      </c>
      <c r="F62" s="2">
        <v>44</v>
      </c>
      <c r="G62" s="2">
        <f>E62/D62</f>
        <v>44</v>
      </c>
      <c r="H62" s="2"/>
      <c r="I62" s="2"/>
      <c r="J62" s="2">
        <v>34</v>
      </c>
      <c r="K62" s="2" t="s">
        <v>435</v>
      </c>
      <c r="L62" s="2">
        <v>100</v>
      </c>
      <c r="M62" s="2">
        <v>0</v>
      </c>
      <c r="N62" s="2">
        <v>0</v>
      </c>
      <c r="O62" s="2">
        <v>0</v>
      </c>
      <c r="P62" s="2">
        <v>0</v>
      </c>
      <c r="Q62" s="26">
        <v>1</v>
      </c>
      <c r="V62" s="2" t="s">
        <v>149</v>
      </c>
      <c r="W62" s="2" t="s">
        <v>148</v>
      </c>
      <c r="X62" s="2" t="s">
        <v>434</v>
      </c>
      <c r="Y62" s="2" t="s">
        <v>56</v>
      </c>
      <c r="Z62" s="2" t="s">
        <v>89</v>
      </c>
      <c r="AA62" s="2" t="s">
        <v>60</v>
      </c>
      <c r="AB62" s="2" t="s">
        <v>71</v>
      </c>
      <c r="AC62" s="26" t="s">
        <v>208</v>
      </c>
      <c r="AD62" s="2"/>
    </row>
    <row r="63" spans="1:37" ht="77.25" x14ac:dyDescent="0.25">
      <c r="A63" s="26" t="s">
        <v>569</v>
      </c>
      <c r="B63" s="2" t="s">
        <v>575</v>
      </c>
      <c r="C63" s="26" t="s">
        <v>350</v>
      </c>
      <c r="K63" s="2" t="s">
        <v>574</v>
      </c>
      <c r="L63" s="26">
        <v>50</v>
      </c>
      <c r="M63" s="26">
        <v>0</v>
      </c>
      <c r="N63" s="26">
        <v>50</v>
      </c>
      <c r="O63" s="26">
        <v>0</v>
      </c>
      <c r="P63" s="26">
        <v>0</v>
      </c>
      <c r="Q63" s="26">
        <v>1</v>
      </c>
      <c r="S63" s="26">
        <v>1</v>
      </c>
      <c r="V63" s="2" t="s">
        <v>573</v>
      </c>
      <c r="W63" s="2" t="s">
        <v>571</v>
      </c>
      <c r="X63" s="26" t="s">
        <v>381</v>
      </c>
      <c r="Y63" s="26" t="s">
        <v>56</v>
      </c>
      <c r="AA63" s="1" t="s">
        <v>61</v>
      </c>
      <c r="AB63" s="1" t="s">
        <v>570</v>
      </c>
      <c r="AC63" t="s">
        <v>572</v>
      </c>
    </row>
    <row r="64" spans="1:37" ht="63" customHeight="1" x14ac:dyDescent="0.25">
      <c r="A64" s="2" t="s">
        <v>86</v>
      </c>
      <c r="B64" s="2" t="s">
        <v>87</v>
      </c>
      <c r="C64" s="2" t="s">
        <v>350</v>
      </c>
      <c r="D64" s="2">
        <v>1</v>
      </c>
      <c r="E64" s="2">
        <v>54</v>
      </c>
      <c r="F64" s="2">
        <v>54</v>
      </c>
      <c r="G64" s="2">
        <f>E64/D64</f>
        <v>54</v>
      </c>
      <c r="H64" s="2">
        <v>70</v>
      </c>
      <c r="I64" s="2"/>
      <c r="J64" s="2"/>
      <c r="K64" s="2" t="s">
        <v>428</v>
      </c>
      <c r="L64" s="2">
        <v>100</v>
      </c>
      <c r="M64" s="2">
        <v>0</v>
      </c>
      <c r="N64" s="2">
        <v>0</v>
      </c>
      <c r="O64" s="2">
        <v>0</v>
      </c>
      <c r="P64" s="2">
        <v>0</v>
      </c>
      <c r="Q64" s="26">
        <v>1</v>
      </c>
      <c r="V64" s="2" t="s">
        <v>256</v>
      </c>
      <c r="W64" s="2" t="s">
        <v>88</v>
      </c>
      <c r="X64" s="2"/>
      <c r="Y64" s="2" t="s">
        <v>56</v>
      </c>
      <c r="Z64" s="2" t="s">
        <v>89</v>
      </c>
      <c r="AA64" s="2" t="s">
        <v>60</v>
      </c>
      <c r="AB64" s="2" t="s">
        <v>84</v>
      </c>
      <c r="AC64" s="26" t="s">
        <v>208</v>
      </c>
      <c r="AD64" s="2"/>
    </row>
    <row r="65" spans="1:37" ht="102.75" x14ac:dyDescent="0.25">
      <c r="A65" s="2" t="s">
        <v>150</v>
      </c>
      <c r="B65" s="2" t="s">
        <v>151</v>
      </c>
      <c r="C65" s="2" t="s">
        <v>357</v>
      </c>
      <c r="D65" s="2">
        <v>1</v>
      </c>
      <c r="E65" s="2">
        <v>71</v>
      </c>
      <c r="F65" s="2">
        <v>71</v>
      </c>
      <c r="G65" s="2">
        <f>E65/D65</f>
        <v>71</v>
      </c>
      <c r="H65" s="2"/>
      <c r="I65" s="2"/>
      <c r="J65" s="2">
        <v>61</v>
      </c>
      <c r="K65" s="2" t="s">
        <v>436</v>
      </c>
      <c r="L65" s="1">
        <v>100</v>
      </c>
      <c r="M65" s="1">
        <v>0</v>
      </c>
      <c r="N65" s="1">
        <v>0</v>
      </c>
      <c r="O65" s="1">
        <v>0</v>
      </c>
      <c r="P65" s="1">
        <v>0</v>
      </c>
      <c r="Q65" s="26">
        <v>2</v>
      </c>
      <c r="V65" s="2" t="s">
        <v>149</v>
      </c>
      <c r="W65" s="2" t="s">
        <v>152</v>
      </c>
      <c r="X65" s="2" t="s">
        <v>434</v>
      </c>
      <c r="Y65" s="2" t="s">
        <v>56</v>
      </c>
      <c r="Z65" s="2" t="s">
        <v>89</v>
      </c>
      <c r="AA65" s="2" t="s">
        <v>60</v>
      </c>
      <c r="AB65" s="2" t="s">
        <v>71</v>
      </c>
      <c r="AC65" s="26" t="s">
        <v>208</v>
      </c>
      <c r="AD65" s="2"/>
    </row>
    <row r="66" spans="1:37" ht="63.75" customHeight="1" x14ac:dyDescent="0.25">
      <c r="A66" s="26" t="s">
        <v>552</v>
      </c>
      <c r="B66" s="26" t="s">
        <v>5195</v>
      </c>
      <c r="C66" s="2" t="s">
        <v>352</v>
      </c>
      <c r="D66" s="26">
        <v>1</v>
      </c>
      <c r="E66" s="26">
        <v>1998</v>
      </c>
      <c r="F66" s="26">
        <v>1998</v>
      </c>
      <c r="G66" s="26">
        <f>E66/D66</f>
        <v>1998</v>
      </c>
      <c r="K66" s="2" t="s">
        <v>5205</v>
      </c>
      <c r="L66" s="26">
        <v>50</v>
      </c>
      <c r="M66" s="26">
        <v>0</v>
      </c>
      <c r="N66" s="26">
        <v>0</v>
      </c>
      <c r="O66" s="26">
        <v>0</v>
      </c>
      <c r="P66" s="26">
        <v>50</v>
      </c>
      <c r="Q66" s="26">
        <v>20</v>
      </c>
      <c r="U66">
        <v>1</v>
      </c>
      <c r="V66" s="2" t="s">
        <v>514</v>
      </c>
      <c r="W66" s="2" t="s">
        <v>515</v>
      </c>
      <c r="X66" s="26"/>
      <c r="Y66" s="26" t="s">
        <v>56</v>
      </c>
      <c r="AA66" s="26" t="s">
        <v>61</v>
      </c>
      <c r="AC66" s="73" t="s">
        <v>549</v>
      </c>
    </row>
    <row r="67" spans="1:37" ht="84" customHeight="1" x14ac:dyDescent="0.25">
      <c r="A67" s="26" t="s">
        <v>363</v>
      </c>
      <c r="B67" s="26" t="s">
        <v>364</v>
      </c>
      <c r="C67" s="26" t="s">
        <v>357</v>
      </c>
      <c r="G67" s="2"/>
      <c r="K67" s="2" t="s">
        <v>393</v>
      </c>
      <c r="V67" s="26"/>
      <c r="W67" s="2" t="s">
        <v>365</v>
      </c>
      <c r="X67" s="26"/>
      <c r="Y67" s="26" t="s">
        <v>56</v>
      </c>
      <c r="Z67" s="26"/>
      <c r="AA67" s="26" t="s">
        <v>60</v>
      </c>
      <c r="AB67" s="26"/>
      <c r="AC67" s="26" t="s">
        <v>396</v>
      </c>
      <c r="AD67" s="26"/>
    </row>
    <row r="68" spans="1:37" ht="64.5" x14ac:dyDescent="0.25">
      <c r="A68" s="2" t="s">
        <v>403</v>
      </c>
      <c r="B68" s="2" t="s">
        <v>368</v>
      </c>
      <c r="C68" s="2" t="s">
        <v>353</v>
      </c>
      <c r="D68" s="26">
        <v>1</v>
      </c>
      <c r="E68" s="26">
        <v>1500</v>
      </c>
      <c r="F68" s="26">
        <v>1500</v>
      </c>
      <c r="G68" s="2">
        <f>E68/D68</f>
        <v>1500</v>
      </c>
      <c r="H68" s="26">
        <v>40</v>
      </c>
      <c r="K68" s="2" t="s">
        <v>395</v>
      </c>
      <c r="L68" s="26">
        <v>60</v>
      </c>
      <c r="M68" s="26">
        <v>10</v>
      </c>
      <c r="N68" s="26">
        <v>30</v>
      </c>
      <c r="O68" s="26">
        <v>0</v>
      </c>
      <c r="P68" s="26">
        <v>0</v>
      </c>
      <c r="V68" s="26"/>
      <c r="W68" s="2" t="s">
        <v>369</v>
      </c>
      <c r="X68" s="2" t="s">
        <v>370</v>
      </c>
      <c r="Y68" s="26" t="s">
        <v>56</v>
      </c>
      <c r="Z68" s="26"/>
      <c r="AA68" s="26" t="s">
        <v>60</v>
      </c>
      <c r="AB68" s="26"/>
      <c r="AC68" s="26" t="s">
        <v>394</v>
      </c>
      <c r="AD68" s="26"/>
    </row>
    <row r="69" spans="1:37" ht="115.5" x14ac:dyDescent="0.25">
      <c r="A69" s="2" t="s">
        <v>95</v>
      </c>
      <c r="B69" s="2" t="s">
        <v>96</v>
      </c>
      <c r="C69" s="2" t="s">
        <v>352</v>
      </c>
      <c r="D69" s="2">
        <v>1</v>
      </c>
      <c r="E69" s="2">
        <v>200</v>
      </c>
      <c r="F69" s="2">
        <v>200</v>
      </c>
      <c r="G69" s="2">
        <f>E69/D69</f>
        <v>200</v>
      </c>
      <c r="H69" s="2"/>
      <c r="I69" s="2"/>
      <c r="J69" s="2">
        <v>5</v>
      </c>
      <c r="K69" s="2" t="s">
        <v>429</v>
      </c>
      <c r="L69" s="2">
        <v>0</v>
      </c>
      <c r="M69" s="2">
        <v>0</v>
      </c>
      <c r="N69" s="2">
        <v>100</v>
      </c>
      <c r="O69" s="2">
        <v>0</v>
      </c>
      <c r="P69" s="2">
        <v>0</v>
      </c>
      <c r="S69" s="26">
        <v>1</v>
      </c>
      <c r="V69" s="2" t="s">
        <v>98</v>
      </c>
      <c r="W69" s="2" t="s">
        <v>97</v>
      </c>
      <c r="X69" s="2"/>
      <c r="Y69" s="2" t="s">
        <v>56</v>
      </c>
      <c r="Z69" s="2"/>
      <c r="AA69" s="2" t="s">
        <v>61</v>
      </c>
      <c r="AB69" s="2"/>
      <c r="AC69" s="26" t="s">
        <v>208</v>
      </c>
      <c r="AD69" s="2"/>
    </row>
    <row r="70" spans="1:37" ht="123.75" customHeight="1" x14ac:dyDescent="0.25">
      <c r="A70" s="2" t="s">
        <v>228</v>
      </c>
      <c r="B70" s="2" t="s">
        <v>226</v>
      </c>
      <c r="C70" s="1" t="s">
        <v>350</v>
      </c>
      <c r="D70" s="2">
        <v>1</v>
      </c>
      <c r="E70" s="2">
        <v>26</v>
      </c>
      <c r="F70" s="2">
        <v>26</v>
      </c>
      <c r="G70" s="2">
        <f>E70/D70</f>
        <v>26</v>
      </c>
      <c r="H70" s="2"/>
      <c r="I70" s="2"/>
      <c r="J70" s="2"/>
      <c r="K70" s="2" t="s">
        <v>229</v>
      </c>
      <c r="L70" s="1">
        <v>0</v>
      </c>
      <c r="M70" s="1">
        <v>100</v>
      </c>
      <c r="N70" s="1">
        <v>0</v>
      </c>
      <c r="O70" s="1">
        <v>0</v>
      </c>
      <c r="P70" s="1">
        <v>0</v>
      </c>
      <c r="R70" s="26">
        <v>1</v>
      </c>
      <c r="V70" s="2" t="s">
        <v>227</v>
      </c>
      <c r="W70" s="2" t="s">
        <v>464</v>
      </c>
      <c r="X70" s="2" t="s">
        <v>465</v>
      </c>
      <c r="Y70" s="2" t="s">
        <v>56</v>
      </c>
      <c r="Z70" s="2"/>
      <c r="AA70" s="2" t="s">
        <v>60</v>
      </c>
      <c r="AB70" s="2"/>
      <c r="AC70" s="26" t="s">
        <v>291</v>
      </c>
      <c r="AD70" s="2"/>
    </row>
    <row r="71" spans="1:37" ht="87" customHeight="1" x14ac:dyDescent="0.25">
      <c r="A71" s="2" t="s">
        <v>78</v>
      </c>
      <c r="B71" s="2" t="s">
        <v>79</v>
      </c>
      <c r="C71" s="2" t="s">
        <v>350</v>
      </c>
      <c r="D71" s="2">
        <v>1</v>
      </c>
      <c r="E71" s="2">
        <v>10</v>
      </c>
      <c r="F71" s="2">
        <v>10</v>
      </c>
      <c r="G71" s="2">
        <f>E71/D71</f>
        <v>10</v>
      </c>
      <c r="H71" s="2"/>
      <c r="I71" s="2"/>
      <c r="J71" s="2">
        <v>12</v>
      </c>
      <c r="K71" s="2" t="s">
        <v>83</v>
      </c>
      <c r="L71" s="2">
        <v>0</v>
      </c>
      <c r="M71" s="2">
        <v>100</v>
      </c>
      <c r="N71" s="2">
        <v>0</v>
      </c>
      <c r="O71" s="2">
        <v>0</v>
      </c>
      <c r="P71" s="2">
        <v>0</v>
      </c>
      <c r="R71" s="26">
        <v>6</v>
      </c>
      <c r="V71" s="2" t="s">
        <v>72</v>
      </c>
      <c r="W71" s="2" t="s">
        <v>80</v>
      </c>
      <c r="X71" s="2"/>
      <c r="Y71" s="2" t="s">
        <v>56</v>
      </c>
      <c r="Z71" s="2" t="s">
        <v>81</v>
      </c>
      <c r="AA71" s="2" t="s">
        <v>60</v>
      </c>
      <c r="AB71" s="26" t="s">
        <v>85</v>
      </c>
      <c r="AC71" s="26" t="s">
        <v>208</v>
      </c>
      <c r="AD71" s="2"/>
    </row>
    <row r="72" spans="1:37" ht="123" customHeight="1" x14ac:dyDescent="0.25">
      <c r="A72" s="26" t="s">
        <v>340</v>
      </c>
      <c r="B72" s="2" t="s">
        <v>341</v>
      </c>
      <c r="C72" s="26" t="s">
        <v>350</v>
      </c>
      <c r="D72" s="26">
        <v>1</v>
      </c>
      <c r="E72" s="26">
        <v>1000</v>
      </c>
      <c r="F72" s="26">
        <v>1000</v>
      </c>
      <c r="G72" s="2">
        <v>1000</v>
      </c>
      <c r="J72" s="2">
        <v>140</v>
      </c>
      <c r="K72" s="2" t="s">
        <v>1070</v>
      </c>
      <c r="V72" s="2" t="s">
        <v>1068</v>
      </c>
      <c r="W72" s="2" t="s">
        <v>732</v>
      </c>
      <c r="X72" s="2" t="s">
        <v>1071</v>
      </c>
      <c r="Y72" s="2" t="s">
        <v>56</v>
      </c>
      <c r="Z72" s="2" t="s">
        <v>327</v>
      </c>
      <c r="AA72" s="26" t="s">
        <v>61</v>
      </c>
      <c r="AB72" s="26" t="s">
        <v>1066</v>
      </c>
      <c r="AC72" s="26" t="s">
        <v>1069</v>
      </c>
      <c r="AD72" s="26">
        <v>1200000</v>
      </c>
      <c r="AE72" t="s">
        <v>1067</v>
      </c>
      <c r="AF72">
        <v>20000</v>
      </c>
    </row>
    <row r="73" spans="1:37" ht="77.25" x14ac:dyDescent="0.25">
      <c r="A73" s="1" t="s">
        <v>485</v>
      </c>
      <c r="B73" s="1" t="s">
        <v>486</v>
      </c>
      <c r="C73" s="1" t="s">
        <v>352</v>
      </c>
      <c r="D73" s="1">
        <v>1</v>
      </c>
      <c r="E73" s="1">
        <v>193</v>
      </c>
      <c r="F73" s="1">
        <v>193</v>
      </c>
      <c r="G73" s="1">
        <v>193</v>
      </c>
      <c r="H73" s="1"/>
      <c r="I73" s="1"/>
      <c r="J73" s="1"/>
      <c r="K73" s="1" t="s">
        <v>487</v>
      </c>
      <c r="L73" s="1">
        <v>0</v>
      </c>
      <c r="M73" s="1">
        <v>0</v>
      </c>
      <c r="N73" s="1">
        <v>100</v>
      </c>
      <c r="O73" s="1">
        <v>0</v>
      </c>
      <c r="P73" s="1">
        <v>0</v>
      </c>
      <c r="S73" s="26">
        <v>1</v>
      </c>
      <c r="V73" s="2" t="s">
        <v>494</v>
      </c>
      <c r="W73" s="2" t="s">
        <v>478</v>
      </c>
      <c r="X73" s="2" t="s">
        <v>479</v>
      </c>
      <c r="Y73" s="26" t="s">
        <v>56</v>
      </c>
      <c r="Z73" s="1"/>
      <c r="AA73" s="1" t="s">
        <v>60</v>
      </c>
      <c r="AB73" s="1" t="s">
        <v>484</v>
      </c>
      <c r="AC73" s="70" t="s">
        <v>496</v>
      </c>
      <c r="AD73" s="1"/>
    </row>
    <row r="74" spans="1:37" ht="64.5" x14ac:dyDescent="0.25">
      <c r="A74" s="2" t="s">
        <v>160</v>
      </c>
      <c r="B74" s="2" t="s">
        <v>163</v>
      </c>
      <c r="C74" s="1" t="s">
        <v>354</v>
      </c>
      <c r="D74" s="2"/>
      <c r="E74" s="2"/>
      <c r="G74" s="2"/>
      <c r="H74" s="2"/>
      <c r="I74" s="2"/>
      <c r="J74" s="2">
        <v>13</v>
      </c>
      <c r="K74" s="2" t="s">
        <v>161</v>
      </c>
      <c r="L74" s="1">
        <v>0</v>
      </c>
      <c r="M74" s="1">
        <v>0</v>
      </c>
      <c r="N74" s="1">
        <v>100</v>
      </c>
      <c r="O74" s="1">
        <v>0</v>
      </c>
      <c r="P74" s="1">
        <v>0</v>
      </c>
      <c r="V74" s="2"/>
      <c r="W74" s="2" t="s">
        <v>162</v>
      </c>
      <c r="X74" s="2"/>
      <c r="Y74" s="2" t="s">
        <v>56</v>
      </c>
      <c r="Z74" s="2"/>
      <c r="AA74" s="2" t="s">
        <v>61</v>
      </c>
      <c r="AB74" s="2"/>
      <c r="AC74" s="26" t="s">
        <v>208</v>
      </c>
      <c r="AD74" s="2"/>
    </row>
    <row r="75" spans="1:37" ht="64.5" x14ac:dyDescent="0.25">
      <c r="A75" s="2" t="s">
        <v>164</v>
      </c>
      <c r="B75" s="2" t="s">
        <v>358</v>
      </c>
      <c r="C75" s="1" t="s">
        <v>356</v>
      </c>
      <c r="D75" s="2"/>
      <c r="E75" s="2"/>
      <c r="G75" s="2"/>
      <c r="H75" s="2"/>
      <c r="I75" s="2"/>
      <c r="J75" s="2"/>
      <c r="K75" s="2" t="s">
        <v>161</v>
      </c>
      <c r="L75" s="1">
        <v>0</v>
      </c>
      <c r="M75" s="1">
        <v>0</v>
      </c>
      <c r="N75" s="1">
        <v>100</v>
      </c>
      <c r="O75" s="1">
        <v>0</v>
      </c>
      <c r="P75" s="1">
        <v>0</v>
      </c>
      <c r="V75" s="2" t="s">
        <v>231</v>
      </c>
      <c r="W75" s="2" t="s">
        <v>165</v>
      </c>
      <c r="X75" s="2" t="s">
        <v>230</v>
      </c>
      <c r="Y75" s="2" t="s">
        <v>56</v>
      </c>
      <c r="Z75" s="2" t="s">
        <v>81</v>
      </c>
      <c r="AA75" s="2" t="s">
        <v>60</v>
      </c>
      <c r="AB75" s="2" t="s">
        <v>166</v>
      </c>
      <c r="AC75" s="26" t="s">
        <v>208</v>
      </c>
      <c r="AD75" s="2"/>
    </row>
    <row r="76" spans="1:37" ht="60" x14ac:dyDescent="0.25">
      <c r="A76" s="2" t="s">
        <v>236</v>
      </c>
      <c r="B76" s="2" t="s">
        <v>237</v>
      </c>
      <c r="C76" s="1" t="s">
        <v>350</v>
      </c>
      <c r="D76" s="2"/>
      <c r="E76" s="2"/>
      <c r="G76" s="2"/>
      <c r="H76" s="2"/>
      <c r="I76" s="2"/>
      <c r="J76" s="2"/>
      <c r="K76" s="2" t="s">
        <v>161</v>
      </c>
      <c r="L76" s="1">
        <v>0</v>
      </c>
      <c r="M76" s="1">
        <v>0</v>
      </c>
      <c r="N76" s="1">
        <v>100</v>
      </c>
      <c r="O76" s="1">
        <v>0</v>
      </c>
      <c r="P76" s="1">
        <v>0</v>
      </c>
      <c r="V76" s="2" t="s">
        <v>72</v>
      </c>
      <c r="W76" s="2" t="s">
        <v>238</v>
      </c>
      <c r="X76" s="2"/>
      <c r="Y76" s="2" t="s">
        <v>56</v>
      </c>
      <c r="Z76" s="2"/>
      <c r="AA76" s="2" t="s">
        <v>61</v>
      </c>
      <c r="AB76" s="1" t="s">
        <v>239</v>
      </c>
      <c r="AC76" s="26" t="s">
        <v>291</v>
      </c>
      <c r="AD76" s="2"/>
    </row>
    <row r="77" spans="1:37" s="1" customFormat="1" ht="51.75" customHeight="1" x14ac:dyDescent="0.25">
      <c r="A77" s="2" t="s">
        <v>241</v>
      </c>
      <c r="B77" s="2" t="s">
        <v>5196</v>
      </c>
      <c r="C77" s="1" t="s">
        <v>352</v>
      </c>
      <c r="D77" s="2">
        <v>1</v>
      </c>
      <c r="E77" s="2">
        <v>1600</v>
      </c>
      <c r="F77" s="2">
        <v>1600</v>
      </c>
      <c r="G77" s="2">
        <f>E77/D77</f>
        <v>1600</v>
      </c>
      <c r="H77" s="2"/>
      <c r="I77" s="2"/>
      <c r="J77" s="2">
        <v>7</v>
      </c>
      <c r="K77" s="2" t="s">
        <v>603</v>
      </c>
      <c r="L77" s="1">
        <v>0</v>
      </c>
      <c r="M77" s="1">
        <v>0</v>
      </c>
      <c r="N77" s="1">
        <v>100</v>
      </c>
      <c r="O77" s="1">
        <v>0</v>
      </c>
      <c r="P77" s="1">
        <v>0</v>
      </c>
      <c r="Q77" s="26"/>
      <c r="R77" s="26"/>
      <c r="S77" s="26">
        <v>7</v>
      </c>
      <c r="T77" s="26"/>
      <c r="V77" s="2" t="s">
        <v>72</v>
      </c>
      <c r="W77" s="2" t="s">
        <v>243</v>
      </c>
      <c r="X77" s="2" t="s">
        <v>244</v>
      </c>
      <c r="Y77" s="2" t="s">
        <v>197</v>
      </c>
      <c r="Z77" s="2"/>
      <c r="AA77" s="2" t="s">
        <v>61</v>
      </c>
      <c r="AB77" s="2"/>
      <c r="AC77" s="26" t="s">
        <v>291</v>
      </c>
      <c r="AD77" s="2"/>
      <c r="AE77"/>
      <c r="AF77"/>
      <c r="AG77"/>
      <c r="AH77"/>
      <c r="AI77"/>
      <c r="AJ77"/>
      <c r="AK77"/>
    </row>
    <row r="78" spans="1:37" ht="51.75" x14ac:dyDescent="0.25">
      <c r="A78" s="2" t="s">
        <v>299</v>
      </c>
      <c r="B78" s="2" t="s">
        <v>290</v>
      </c>
      <c r="C78" s="26" t="s">
        <v>350</v>
      </c>
      <c r="G78" s="2"/>
      <c r="K78" s="2" t="s">
        <v>161</v>
      </c>
      <c r="L78" s="26">
        <v>0</v>
      </c>
      <c r="M78" s="26">
        <v>0</v>
      </c>
      <c r="N78" s="26">
        <v>100</v>
      </c>
      <c r="O78" s="26">
        <v>0</v>
      </c>
      <c r="P78" s="1">
        <v>0</v>
      </c>
      <c r="V78" s="26"/>
      <c r="W78" s="2" t="s">
        <v>290</v>
      </c>
      <c r="X78" s="26"/>
      <c r="Y78" s="26"/>
      <c r="Z78" s="26"/>
      <c r="AA78" s="26"/>
      <c r="AB78" s="26"/>
      <c r="AC78" s="26"/>
      <c r="AD78" s="26"/>
    </row>
    <row r="79" spans="1:37" ht="204.75" x14ac:dyDescent="0.25">
      <c r="A79" s="2" t="s">
        <v>115</v>
      </c>
      <c r="B79" s="2" t="s">
        <v>116</v>
      </c>
      <c r="C79" s="2" t="s">
        <v>354</v>
      </c>
      <c r="D79" s="2">
        <v>1</v>
      </c>
      <c r="E79" s="2">
        <v>37.145000000000003</v>
      </c>
      <c r="F79" s="2">
        <v>37.145000000000003</v>
      </c>
      <c r="G79" s="2">
        <f>E79/D79</f>
        <v>37.145000000000003</v>
      </c>
      <c r="H79" s="2"/>
      <c r="I79" s="2"/>
      <c r="J79" s="2"/>
      <c r="K79" s="2" t="s">
        <v>597</v>
      </c>
      <c r="L79" s="2">
        <v>0</v>
      </c>
      <c r="M79" s="2">
        <v>0</v>
      </c>
      <c r="N79" s="2">
        <v>0</v>
      </c>
      <c r="O79" s="2">
        <v>0</v>
      </c>
      <c r="P79" s="2">
        <v>100</v>
      </c>
      <c r="Q79" s="1"/>
      <c r="R79" s="1"/>
      <c r="S79" s="1"/>
      <c r="T79" s="1"/>
      <c r="U79">
        <v>1</v>
      </c>
      <c r="V79" s="2"/>
      <c r="W79" s="2" t="s">
        <v>117</v>
      </c>
      <c r="X79" s="2" t="s">
        <v>118</v>
      </c>
      <c r="Y79" s="2" t="s">
        <v>56</v>
      </c>
      <c r="Z79" s="2"/>
      <c r="AA79" s="2" t="s">
        <v>60</v>
      </c>
      <c r="AB79" s="2"/>
      <c r="AC79" s="26" t="s">
        <v>208</v>
      </c>
      <c r="AD79" s="2"/>
      <c r="AE79" s="1"/>
      <c r="AF79" s="1"/>
      <c r="AG79" s="1"/>
      <c r="AH79" s="1"/>
      <c r="AI79" s="1"/>
      <c r="AJ79" s="1"/>
      <c r="AK79" s="1"/>
    </row>
    <row r="80" spans="1:37" ht="45.75" customHeight="1" x14ac:dyDescent="0.25">
      <c r="A80" s="26" t="s">
        <v>389</v>
      </c>
      <c r="B80" s="2" t="s">
        <v>390</v>
      </c>
      <c r="C80" s="26" t="s">
        <v>356</v>
      </c>
      <c r="D80" s="26">
        <v>1</v>
      </c>
      <c r="E80" s="26">
        <v>20</v>
      </c>
      <c r="F80" s="26">
        <v>20</v>
      </c>
      <c r="G80" s="2">
        <f>E80/D80</f>
        <v>20</v>
      </c>
      <c r="K80" s="2" t="s">
        <v>402</v>
      </c>
      <c r="L80" s="26">
        <v>0</v>
      </c>
      <c r="M80" s="26">
        <v>0</v>
      </c>
      <c r="N80" s="26">
        <v>100</v>
      </c>
      <c r="O80" s="26">
        <v>0</v>
      </c>
      <c r="P80" s="26">
        <v>0</v>
      </c>
      <c r="S80" s="26">
        <v>1</v>
      </c>
      <c r="V80" s="26"/>
      <c r="W80" s="2" t="s">
        <v>391</v>
      </c>
      <c r="X80" s="2" t="s">
        <v>392</v>
      </c>
      <c r="Y80" s="26" t="s">
        <v>56</v>
      </c>
      <c r="Z80" s="26"/>
      <c r="AA80" s="26"/>
      <c r="AB80" s="26"/>
      <c r="AC80" s="26" t="s">
        <v>396</v>
      </c>
      <c r="AD80" s="26"/>
    </row>
    <row r="81" spans="1:37" ht="58.5" customHeight="1" x14ac:dyDescent="0.25">
      <c r="A81" s="26" t="s">
        <v>473</v>
      </c>
      <c r="B81" s="26" t="s">
        <v>477</v>
      </c>
      <c r="C81" s="2" t="s">
        <v>352</v>
      </c>
      <c r="D81" s="26">
        <v>1</v>
      </c>
      <c r="E81" s="26">
        <v>50</v>
      </c>
      <c r="F81" s="26">
        <v>50</v>
      </c>
      <c r="G81" s="26">
        <v>50</v>
      </c>
      <c r="K81" s="2" t="s">
        <v>482</v>
      </c>
      <c r="L81" s="26">
        <v>0</v>
      </c>
      <c r="M81" s="26">
        <v>0</v>
      </c>
      <c r="N81" s="26">
        <v>100</v>
      </c>
      <c r="O81" s="26">
        <v>0</v>
      </c>
      <c r="P81" s="26">
        <v>0</v>
      </c>
      <c r="S81" s="26">
        <v>1</v>
      </c>
      <c r="V81" s="2" t="s">
        <v>480</v>
      </c>
      <c r="W81" s="2" t="s">
        <v>478</v>
      </c>
      <c r="X81" s="2" t="s">
        <v>479</v>
      </c>
      <c r="Y81" s="26" t="s">
        <v>56</v>
      </c>
      <c r="AA81" s="26" t="s">
        <v>60</v>
      </c>
      <c r="AC81" s="70" t="s">
        <v>495</v>
      </c>
    </row>
    <row r="82" spans="1:37" ht="51.75" x14ac:dyDescent="0.25">
      <c r="A82" s="26" t="s">
        <v>474</v>
      </c>
      <c r="B82" s="26" t="s">
        <v>477</v>
      </c>
      <c r="C82" s="2" t="s">
        <v>352</v>
      </c>
      <c r="D82" s="26">
        <v>1</v>
      </c>
      <c r="E82" s="26">
        <v>40</v>
      </c>
      <c r="F82" s="26">
        <v>40</v>
      </c>
      <c r="G82" s="26">
        <v>40</v>
      </c>
      <c r="K82" s="2" t="s">
        <v>482</v>
      </c>
      <c r="L82" s="26">
        <v>0</v>
      </c>
      <c r="M82" s="26">
        <v>0</v>
      </c>
      <c r="N82" s="26">
        <v>100</v>
      </c>
      <c r="O82" s="26">
        <v>0</v>
      </c>
      <c r="P82" s="26">
        <v>0</v>
      </c>
      <c r="S82" s="26">
        <v>1</v>
      </c>
      <c r="V82" s="2" t="s">
        <v>480</v>
      </c>
      <c r="W82" s="2" t="s">
        <v>478</v>
      </c>
      <c r="X82" s="2" t="s">
        <v>479</v>
      </c>
      <c r="Y82" s="26" t="s">
        <v>56</v>
      </c>
      <c r="AA82" s="26" t="s">
        <v>60</v>
      </c>
      <c r="AC82" s="70" t="s">
        <v>495</v>
      </c>
    </row>
    <row r="83" spans="1:37" ht="51.75" x14ac:dyDescent="0.25">
      <c r="A83" s="26" t="s">
        <v>475</v>
      </c>
      <c r="B83" s="26" t="s">
        <v>477</v>
      </c>
      <c r="C83" s="2" t="s">
        <v>352</v>
      </c>
      <c r="D83" s="26">
        <v>1</v>
      </c>
      <c r="E83" s="26">
        <v>20.25</v>
      </c>
      <c r="F83" s="26">
        <v>20.25</v>
      </c>
      <c r="G83" s="26">
        <v>20.25</v>
      </c>
      <c r="K83" s="2" t="s">
        <v>482</v>
      </c>
      <c r="L83" s="26">
        <v>0</v>
      </c>
      <c r="M83" s="26">
        <v>0</v>
      </c>
      <c r="N83" s="26">
        <v>100</v>
      </c>
      <c r="O83" s="26">
        <v>0</v>
      </c>
      <c r="P83" s="26">
        <v>0</v>
      </c>
      <c r="S83" s="26">
        <v>1</v>
      </c>
      <c r="V83" s="2" t="s">
        <v>480</v>
      </c>
      <c r="W83" s="2" t="s">
        <v>478</v>
      </c>
      <c r="X83" s="2" t="s">
        <v>479</v>
      </c>
      <c r="Y83" s="26" t="s">
        <v>56</v>
      </c>
      <c r="AA83" s="26" t="s">
        <v>60</v>
      </c>
      <c r="AC83" s="70" t="s">
        <v>495</v>
      </c>
    </row>
    <row r="84" spans="1:37" ht="48.75" customHeight="1" x14ac:dyDescent="0.25">
      <c r="A84" s="26" t="s">
        <v>476</v>
      </c>
      <c r="B84" s="26" t="s">
        <v>477</v>
      </c>
      <c r="C84" s="2" t="s">
        <v>352</v>
      </c>
      <c r="D84" s="26">
        <v>1</v>
      </c>
      <c r="E84" s="26">
        <v>40</v>
      </c>
      <c r="F84" s="26">
        <v>40</v>
      </c>
      <c r="G84" s="26">
        <v>40</v>
      </c>
      <c r="K84" s="2" t="s">
        <v>482</v>
      </c>
      <c r="L84" s="26">
        <v>0</v>
      </c>
      <c r="M84" s="26">
        <v>0</v>
      </c>
      <c r="N84" s="26">
        <v>100</v>
      </c>
      <c r="O84" s="26">
        <v>0</v>
      </c>
      <c r="P84" s="26">
        <v>0</v>
      </c>
      <c r="S84" s="26">
        <v>1</v>
      </c>
      <c r="V84" s="2" t="s">
        <v>480</v>
      </c>
      <c r="W84" s="2" t="s">
        <v>478</v>
      </c>
      <c r="X84" s="2" t="s">
        <v>479</v>
      </c>
      <c r="Y84" s="26" t="s">
        <v>56</v>
      </c>
      <c r="Z84" s="26"/>
      <c r="AA84" s="26" t="s">
        <v>60</v>
      </c>
      <c r="AB84" s="26"/>
      <c r="AC84" s="70" t="s">
        <v>495</v>
      </c>
      <c r="AD84" s="26"/>
    </row>
    <row r="85" spans="1:37" ht="51.75" x14ac:dyDescent="0.25">
      <c r="A85" s="26" t="s">
        <v>481</v>
      </c>
      <c r="B85" s="26" t="s">
        <v>483</v>
      </c>
      <c r="C85" s="26" t="s">
        <v>357</v>
      </c>
      <c r="D85" s="26">
        <v>1</v>
      </c>
      <c r="E85" s="26">
        <v>646</v>
      </c>
      <c r="F85" s="26">
        <v>646</v>
      </c>
      <c r="G85" s="26">
        <v>646</v>
      </c>
      <c r="K85" s="2" t="s">
        <v>482</v>
      </c>
      <c r="L85" s="26">
        <v>0</v>
      </c>
      <c r="M85" s="26">
        <v>0</v>
      </c>
      <c r="N85" s="26">
        <v>100</v>
      </c>
      <c r="O85" s="26">
        <v>0</v>
      </c>
      <c r="P85" s="26">
        <v>0</v>
      </c>
      <c r="S85" s="26">
        <v>1</v>
      </c>
      <c r="V85" s="2" t="s">
        <v>480</v>
      </c>
      <c r="W85" s="2" t="s">
        <v>478</v>
      </c>
      <c r="X85" s="2" t="s">
        <v>479</v>
      </c>
      <c r="Y85" s="26" t="s">
        <v>56</v>
      </c>
      <c r="Z85" s="26"/>
      <c r="AA85" s="26" t="s">
        <v>61</v>
      </c>
      <c r="AB85" s="26"/>
      <c r="AC85" s="70" t="s">
        <v>495</v>
      </c>
      <c r="AD85" s="26"/>
    </row>
    <row r="86" spans="1:37" ht="102.75" x14ac:dyDescent="0.25">
      <c r="A86" s="26" t="s">
        <v>309</v>
      </c>
      <c r="B86" s="26" t="s">
        <v>310</v>
      </c>
      <c r="C86" s="26" t="s">
        <v>352</v>
      </c>
      <c r="G86" s="2"/>
      <c r="K86" s="2" t="s">
        <v>314</v>
      </c>
      <c r="V86" s="26" t="s">
        <v>231</v>
      </c>
      <c r="W86" s="26" t="s">
        <v>303</v>
      </c>
      <c r="X86" s="2" t="s">
        <v>311</v>
      </c>
      <c r="Y86" s="26"/>
      <c r="Z86" s="26"/>
      <c r="AA86" s="26" t="s">
        <v>61</v>
      </c>
      <c r="AB86" s="26" t="s">
        <v>313</v>
      </c>
      <c r="AC86" s="26" t="s">
        <v>312</v>
      </c>
      <c r="AD86" s="26"/>
    </row>
    <row r="87" spans="1:37" s="1" customFormat="1" ht="57.75" customHeight="1" x14ac:dyDescent="0.25">
      <c r="A87" s="2" t="s">
        <v>284</v>
      </c>
      <c r="B87" s="2" t="s">
        <v>283</v>
      </c>
      <c r="C87" s="1" t="s">
        <v>350</v>
      </c>
      <c r="D87" s="2"/>
      <c r="E87" s="2"/>
      <c r="G87" s="2"/>
      <c r="H87" s="2"/>
      <c r="I87" s="2"/>
      <c r="J87" s="2"/>
      <c r="K87" s="2"/>
      <c r="Q87" s="26"/>
      <c r="R87" s="26"/>
      <c r="S87" s="26"/>
      <c r="T87" s="26"/>
      <c r="V87" s="2" t="s">
        <v>201</v>
      </c>
      <c r="W87" s="2" t="s">
        <v>283</v>
      </c>
      <c r="X87" s="2"/>
      <c r="Y87" s="2" t="s">
        <v>56</v>
      </c>
      <c r="Z87" s="2"/>
      <c r="AA87" s="2" t="s">
        <v>61</v>
      </c>
      <c r="AB87" s="2"/>
      <c r="AC87" s="26" t="s">
        <v>291</v>
      </c>
      <c r="AD87" s="2"/>
      <c r="AE87"/>
      <c r="AF87"/>
      <c r="AG87"/>
      <c r="AH87"/>
      <c r="AI87"/>
      <c r="AJ87"/>
      <c r="AK87"/>
    </row>
    <row r="88" spans="1:37" s="1" customFormat="1" ht="43.5" customHeight="1" x14ac:dyDescent="0.25">
      <c r="A88" s="2" t="s">
        <v>285</v>
      </c>
      <c r="B88" s="2" t="s">
        <v>283</v>
      </c>
      <c r="C88" s="1" t="s">
        <v>350</v>
      </c>
      <c r="D88" s="2"/>
      <c r="E88" s="2"/>
      <c r="G88" s="2"/>
      <c r="H88" s="2"/>
      <c r="I88" s="2"/>
      <c r="J88" s="2"/>
      <c r="K88" s="2"/>
      <c r="Q88" s="26"/>
      <c r="R88" s="26"/>
      <c r="S88" s="26"/>
      <c r="T88" s="26"/>
      <c r="V88" s="2" t="s">
        <v>201</v>
      </c>
      <c r="W88" s="2" t="s">
        <v>283</v>
      </c>
      <c r="X88" s="2"/>
      <c r="Y88" s="2" t="s">
        <v>56</v>
      </c>
      <c r="Z88" s="2"/>
      <c r="AA88" s="2" t="s">
        <v>61</v>
      </c>
      <c r="AB88" s="2"/>
      <c r="AC88" s="26" t="s">
        <v>291</v>
      </c>
      <c r="AD88" s="2"/>
      <c r="AE88"/>
      <c r="AF88"/>
      <c r="AG88"/>
      <c r="AH88"/>
      <c r="AI88"/>
      <c r="AJ88"/>
      <c r="AK88"/>
    </row>
    <row r="89" spans="1:37" s="1" customFormat="1" ht="46.5" customHeight="1" x14ac:dyDescent="0.25">
      <c r="A89" s="2" t="s">
        <v>286</v>
      </c>
      <c r="B89" s="2" t="s">
        <v>283</v>
      </c>
      <c r="C89" s="1" t="s">
        <v>350</v>
      </c>
      <c r="D89" s="2"/>
      <c r="E89" s="2"/>
      <c r="G89" s="2"/>
      <c r="H89" s="2"/>
      <c r="I89" s="2"/>
      <c r="J89" s="2"/>
      <c r="K89" s="2"/>
      <c r="V89" s="2" t="s">
        <v>201</v>
      </c>
      <c r="W89" s="2" t="s">
        <v>283</v>
      </c>
      <c r="X89" s="2"/>
      <c r="Y89" s="2" t="s">
        <v>56</v>
      </c>
      <c r="Z89" s="2"/>
      <c r="AA89" s="2" t="s">
        <v>61</v>
      </c>
      <c r="AB89" s="2"/>
      <c r="AC89" s="26" t="s">
        <v>291</v>
      </c>
      <c r="AD89" s="2"/>
    </row>
    <row r="90" spans="1:37" s="1" customFormat="1" ht="67.5" customHeight="1" x14ac:dyDescent="0.25">
      <c r="A90" s="2" t="s">
        <v>287</v>
      </c>
      <c r="B90" s="2" t="s">
        <v>283</v>
      </c>
      <c r="C90" s="1" t="s">
        <v>350</v>
      </c>
      <c r="G90" s="2"/>
      <c r="K90" s="2"/>
      <c r="V90" s="2" t="s">
        <v>201</v>
      </c>
      <c r="W90" s="2" t="s">
        <v>283</v>
      </c>
      <c r="Y90" s="2" t="s">
        <v>56</v>
      </c>
      <c r="Z90" s="2"/>
      <c r="AA90" s="2" t="s">
        <v>61</v>
      </c>
      <c r="AB90" s="2"/>
      <c r="AC90" s="26" t="s">
        <v>291</v>
      </c>
      <c r="AD90" s="2"/>
    </row>
    <row r="91" spans="1:37" s="1" customFormat="1" ht="66" customHeight="1" x14ac:dyDescent="0.25">
      <c r="A91" s="2" t="s">
        <v>288</v>
      </c>
      <c r="B91" s="2" t="s">
        <v>283</v>
      </c>
      <c r="C91" s="1" t="s">
        <v>350</v>
      </c>
      <c r="D91" s="2"/>
      <c r="E91" s="2"/>
      <c r="G91" s="2"/>
      <c r="H91" s="2"/>
      <c r="I91" s="2"/>
      <c r="J91" s="2"/>
      <c r="K91" s="2"/>
      <c r="V91" s="2" t="s">
        <v>201</v>
      </c>
      <c r="W91" s="2" t="s">
        <v>283</v>
      </c>
      <c r="X91" s="2"/>
      <c r="Y91" s="2" t="s">
        <v>56</v>
      </c>
      <c r="Z91" s="2"/>
      <c r="AA91" s="2" t="s">
        <v>61</v>
      </c>
      <c r="AB91" s="2"/>
      <c r="AC91" s="26" t="s">
        <v>291</v>
      </c>
      <c r="AD91" s="2"/>
    </row>
    <row r="92" spans="1:37" ht="55.5" customHeight="1" x14ac:dyDescent="0.25">
      <c r="A92" s="26" t="s">
        <v>326</v>
      </c>
      <c r="B92" s="2" t="s">
        <v>330</v>
      </c>
      <c r="C92" s="26" t="s">
        <v>350</v>
      </c>
      <c r="G92" s="2"/>
      <c r="Q92" s="1"/>
      <c r="R92" s="1"/>
      <c r="S92" s="1"/>
      <c r="T92" s="1"/>
      <c r="V92" s="26"/>
      <c r="W92" s="2" t="s">
        <v>328</v>
      </c>
      <c r="X92" s="2" t="s">
        <v>329</v>
      </c>
      <c r="Y92" s="26"/>
      <c r="Z92" s="26" t="s">
        <v>327</v>
      </c>
      <c r="AA92" s="26" t="s">
        <v>61</v>
      </c>
      <c r="AB92" s="2" t="s">
        <v>342</v>
      </c>
      <c r="AC92" s="26" t="s">
        <v>331</v>
      </c>
      <c r="AD92" s="26"/>
      <c r="AE92" s="1"/>
      <c r="AF92" s="1"/>
      <c r="AG92" s="1"/>
      <c r="AH92" s="1"/>
      <c r="AI92" s="1"/>
      <c r="AJ92" s="1"/>
      <c r="AK92" s="1"/>
    </row>
    <row r="93" spans="1:37" ht="45.75" customHeight="1" x14ac:dyDescent="0.25">
      <c r="A93" s="26" t="s">
        <v>332</v>
      </c>
      <c r="B93" s="2" t="s">
        <v>333</v>
      </c>
      <c r="C93" s="26" t="s">
        <v>350</v>
      </c>
      <c r="G93" s="2"/>
      <c r="Q93" s="1"/>
      <c r="R93" s="1"/>
      <c r="S93" s="1"/>
      <c r="T93" s="1"/>
      <c r="V93" s="26"/>
      <c r="W93" s="26"/>
      <c r="X93" s="26"/>
      <c r="Y93" s="26"/>
      <c r="Z93" s="26" t="s">
        <v>327</v>
      </c>
      <c r="AA93" s="26" t="s">
        <v>61</v>
      </c>
      <c r="AB93" s="2" t="s">
        <v>342</v>
      </c>
      <c r="AC93" s="51" t="s">
        <v>331</v>
      </c>
      <c r="AD93" s="26"/>
      <c r="AE93" s="1"/>
      <c r="AF93" s="1"/>
      <c r="AG93" s="1"/>
      <c r="AH93" s="1"/>
      <c r="AI93" s="1"/>
      <c r="AJ93" s="1"/>
      <c r="AK93" s="1"/>
    </row>
    <row r="94" spans="1:37" ht="128.25" x14ac:dyDescent="0.25">
      <c r="A94" s="26" t="s">
        <v>334</v>
      </c>
      <c r="B94" s="2" t="s">
        <v>336</v>
      </c>
      <c r="C94" s="26" t="s">
        <v>350</v>
      </c>
      <c r="G94" s="2"/>
      <c r="V94" s="26"/>
      <c r="W94" s="2" t="s">
        <v>335</v>
      </c>
      <c r="X94" s="26"/>
      <c r="Y94" s="26"/>
      <c r="Z94" s="26" t="s">
        <v>327</v>
      </c>
      <c r="AA94" s="26" t="s">
        <v>61</v>
      </c>
      <c r="AB94" s="2" t="s">
        <v>342</v>
      </c>
      <c r="AC94" s="26" t="s">
        <v>331</v>
      </c>
      <c r="AD94" s="26"/>
    </row>
    <row r="95" spans="1:37" ht="77.25" x14ac:dyDescent="0.25">
      <c r="A95" s="2" t="s">
        <v>371</v>
      </c>
      <c r="B95" s="26" t="s">
        <v>372</v>
      </c>
      <c r="C95" s="2" t="s">
        <v>352</v>
      </c>
      <c r="G95" s="2"/>
      <c r="V95" s="26"/>
      <c r="W95" s="2" t="s">
        <v>373</v>
      </c>
      <c r="X95" s="26"/>
      <c r="Y95" s="26" t="s">
        <v>56</v>
      </c>
      <c r="Z95" s="26"/>
      <c r="AA95" s="26"/>
      <c r="AB95" s="26"/>
      <c r="AC95" s="26" t="s">
        <v>396</v>
      </c>
      <c r="AD95" s="26"/>
    </row>
    <row r="96" spans="1:37" ht="45" customHeight="1" x14ac:dyDescent="0.25">
      <c r="A96" s="2" t="s">
        <v>399</v>
      </c>
      <c r="B96" s="2" t="s">
        <v>380</v>
      </c>
      <c r="C96" s="26" t="s">
        <v>350</v>
      </c>
      <c r="G96" s="2"/>
      <c r="V96" s="26"/>
      <c r="W96" s="26" t="s">
        <v>381</v>
      </c>
      <c r="X96" s="26"/>
      <c r="Y96" s="26"/>
      <c r="Z96" s="26"/>
      <c r="AA96" s="26"/>
      <c r="AB96" s="26"/>
      <c r="AC96" s="26" t="s">
        <v>396</v>
      </c>
      <c r="AD96" s="26"/>
    </row>
    <row r="97" spans="1:33" ht="89.25" customHeight="1" x14ac:dyDescent="0.25">
      <c r="A97" s="1" t="s">
        <v>382</v>
      </c>
      <c r="B97" s="1" t="s">
        <v>383</v>
      </c>
      <c r="C97" s="1" t="s">
        <v>356</v>
      </c>
      <c r="D97" s="1"/>
      <c r="E97" s="1"/>
      <c r="G97" s="2"/>
      <c r="H97" s="1"/>
      <c r="I97" s="1"/>
      <c r="J97" s="1"/>
      <c r="K97" s="1"/>
      <c r="L97" s="1"/>
      <c r="M97" s="1"/>
      <c r="N97" s="1"/>
      <c r="O97" s="1"/>
      <c r="P97" s="1"/>
      <c r="V97" s="1" t="s">
        <v>72</v>
      </c>
      <c r="W97" s="1" t="s">
        <v>384</v>
      </c>
      <c r="X97" s="1" t="s">
        <v>400</v>
      </c>
      <c r="Y97" s="1" t="s">
        <v>446</v>
      </c>
      <c r="Z97" s="1"/>
      <c r="AA97" s="1" t="s">
        <v>61</v>
      </c>
      <c r="AB97" s="1"/>
      <c r="AC97" s="26" t="s">
        <v>396</v>
      </c>
      <c r="AD97" s="1"/>
    </row>
    <row r="98" spans="1:33" ht="41.25" customHeight="1" x14ac:dyDescent="0.25">
      <c r="A98" s="26" t="s">
        <v>568</v>
      </c>
      <c r="B98" s="26" t="s">
        <v>565</v>
      </c>
      <c r="C98" s="26" t="s">
        <v>350</v>
      </c>
      <c r="V98" s="26"/>
      <c r="W98" s="26"/>
      <c r="X98" s="26"/>
      <c r="Y98" s="26"/>
      <c r="Z98" s="1" t="s">
        <v>566</v>
      </c>
      <c r="AA98" s="1" t="s">
        <v>61</v>
      </c>
      <c r="AC98" t="s">
        <v>567</v>
      </c>
    </row>
    <row r="99" spans="1:33" ht="56.25" customHeight="1" x14ac:dyDescent="0.25">
      <c r="A99" s="2" t="s">
        <v>609</v>
      </c>
      <c r="B99" s="26" t="s">
        <v>610</v>
      </c>
      <c r="C99" s="26" t="s">
        <v>350</v>
      </c>
      <c r="D99" s="26">
        <v>1</v>
      </c>
      <c r="E99" s="26">
        <v>1000</v>
      </c>
      <c r="F99" s="26">
        <v>1000</v>
      </c>
      <c r="G99" s="26">
        <v>1000</v>
      </c>
      <c r="J99" s="26">
        <v>6</v>
      </c>
      <c r="K99" s="2" t="s">
        <v>613</v>
      </c>
      <c r="L99" s="26">
        <v>0</v>
      </c>
      <c r="M99" s="26">
        <v>0</v>
      </c>
      <c r="N99" s="26">
        <v>0</v>
      </c>
      <c r="O99" s="26">
        <v>0</v>
      </c>
      <c r="P99" s="26">
        <v>100</v>
      </c>
      <c r="U99">
        <v>2</v>
      </c>
      <c r="V99" s="1" t="s">
        <v>611</v>
      </c>
      <c r="W99" s="46" t="s">
        <v>614</v>
      </c>
      <c r="X99" s="1" t="s">
        <v>615</v>
      </c>
      <c r="Y99" t="s">
        <v>56</v>
      </c>
      <c r="AA99" s="26" t="s">
        <v>60</v>
      </c>
      <c r="AC99" t="s">
        <v>612</v>
      </c>
    </row>
    <row r="100" spans="1:33" ht="103.5" customHeight="1" x14ac:dyDescent="0.25">
      <c r="A100" s="2" t="s">
        <v>650</v>
      </c>
      <c r="B100" s="2" t="s">
        <v>618</v>
      </c>
      <c r="C100" s="2" t="s">
        <v>353</v>
      </c>
      <c r="D100" s="26">
        <v>1</v>
      </c>
      <c r="E100" s="26">
        <v>98</v>
      </c>
      <c r="F100" s="26">
        <v>98</v>
      </c>
      <c r="G100" s="26">
        <v>98</v>
      </c>
      <c r="H100" s="26">
        <v>27</v>
      </c>
      <c r="J100" s="26">
        <v>5</v>
      </c>
      <c r="K100" s="2" t="s">
        <v>617</v>
      </c>
      <c r="V100" s="1" t="s">
        <v>616</v>
      </c>
      <c r="W100" s="1" t="s">
        <v>648</v>
      </c>
      <c r="X100" s="1" t="s">
        <v>649</v>
      </c>
      <c r="Y100" s="1" t="s">
        <v>56</v>
      </c>
      <c r="Z100" s="1" t="s">
        <v>566</v>
      </c>
      <c r="AA100" s="26" t="s">
        <v>61</v>
      </c>
      <c r="AB100" t="s">
        <v>3565</v>
      </c>
      <c r="AC100" s="51" t="s">
        <v>619</v>
      </c>
      <c r="AD100">
        <v>129000</v>
      </c>
      <c r="AE100" s="1" t="s">
        <v>5324</v>
      </c>
      <c r="AF100">
        <v>15000</v>
      </c>
      <c r="AG100">
        <v>7908</v>
      </c>
    </row>
    <row r="101" spans="1:33" ht="32.25" customHeight="1" x14ac:dyDescent="0.25">
      <c r="A101" s="2" t="s">
        <v>694</v>
      </c>
      <c r="B101" s="2" t="s">
        <v>696</v>
      </c>
      <c r="C101" s="2" t="s">
        <v>352</v>
      </c>
      <c r="D101" s="26">
        <v>1</v>
      </c>
      <c r="E101" s="26">
        <v>237</v>
      </c>
      <c r="F101" s="26">
        <v>237</v>
      </c>
      <c r="G101" s="26">
        <v>237</v>
      </c>
      <c r="H101" s="26">
        <v>36</v>
      </c>
      <c r="J101" s="26">
        <v>7</v>
      </c>
      <c r="K101" s="2" t="s">
        <v>697</v>
      </c>
      <c r="V101" s="1"/>
      <c r="W101" s="1" t="s">
        <v>695</v>
      </c>
      <c r="Y101" t="s">
        <v>56</v>
      </c>
      <c r="AA101" s="26" t="s">
        <v>61</v>
      </c>
      <c r="AB101" s="1" t="s">
        <v>3564</v>
      </c>
      <c r="AC101" t="s">
        <v>698</v>
      </c>
      <c r="AD101">
        <v>362601</v>
      </c>
      <c r="AE101" s="1" t="s">
        <v>5325</v>
      </c>
      <c r="AF101">
        <v>30340</v>
      </c>
      <c r="AG101">
        <v>24824</v>
      </c>
    </row>
    <row r="102" spans="1:33" ht="92.25" customHeight="1" thickBot="1" x14ac:dyDescent="0.3">
      <c r="A102" s="26" t="s">
        <v>620</v>
      </c>
      <c r="B102" s="2" t="s">
        <v>656</v>
      </c>
      <c r="C102" s="26" t="s">
        <v>350</v>
      </c>
      <c r="D102" s="26">
        <v>1</v>
      </c>
      <c r="E102" s="26">
        <v>490</v>
      </c>
      <c r="F102" s="26">
        <v>490</v>
      </c>
      <c r="G102" s="26">
        <v>490</v>
      </c>
      <c r="H102" s="26">
        <v>51</v>
      </c>
      <c r="J102" s="26">
        <v>4</v>
      </c>
      <c r="K102" s="2" t="s">
        <v>782</v>
      </c>
      <c r="L102" s="26">
        <v>100</v>
      </c>
      <c r="M102" s="26">
        <v>0</v>
      </c>
      <c r="N102" s="26">
        <v>0</v>
      </c>
      <c r="O102" s="26">
        <v>0</v>
      </c>
      <c r="P102" s="26">
        <v>0</v>
      </c>
      <c r="W102" s="49" t="s">
        <v>783</v>
      </c>
      <c r="X102" s="1" t="s">
        <v>622</v>
      </c>
      <c r="Y102" t="s">
        <v>56</v>
      </c>
      <c r="Z102" s="1" t="s">
        <v>621</v>
      </c>
      <c r="AA102" s="1" t="s">
        <v>60</v>
      </c>
      <c r="AB102" t="s">
        <v>3563</v>
      </c>
      <c r="AC102" t="s">
        <v>784</v>
      </c>
      <c r="AD102">
        <v>736000</v>
      </c>
      <c r="AE102" s="1" t="s">
        <v>5326</v>
      </c>
      <c r="AF102">
        <v>34365</v>
      </c>
      <c r="AG102">
        <v>25026</v>
      </c>
    </row>
    <row r="103" spans="1:33" ht="84.75" customHeight="1" thickBot="1" x14ac:dyDescent="0.3">
      <c r="A103" s="75" t="s">
        <v>624</v>
      </c>
      <c r="B103" s="2" t="s">
        <v>625</v>
      </c>
      <c r="C103" s="26" t="s">
        <v>350</v>
      </c>
      <c r="D103" s="26">
        <v>2</v>
      </c>
      <c r="E103" s="26">
        <v>2000</v>
      </c>
      <c r="F103" s="26">
        <v>2000</v>
      </c>
      <c r="G103" s="26">
        <v>1000</v>
      </c>
      <c r="H103" s="26">
        <v>53</v>
      </c>
      <c r="J103" s="26">
        <v>5</v>
      </c>
      <c r="K103" s="2" t="s">
        <v>626</v>
      </c>
      <c r="L103" s="26">
        <v>100</v>
      </c>
      <c r="M103" s="26">
        <v>0</v>
      </c>
      <c r="N103" s="26">
        <v>0</v>
      </c>
      <c r="O103" s="26">
        <v>0</v>
      </c>
      <c r="P103" s="26">
        <v>0</v>
      </c>
      <c r="W103" s="1" t="s">
        <v>628</v>
      </c>
      <c r="X103" s="1" t="s">
        <v>627</v>
      </c>
      <c r="Y103" t="s">
        <v>56</v>
      </c>
      <c r="AA103" s="26" t="s">
        <v>61</v>
      </c>
      <c r="AC103" t="s">
        <v>623</v>
      </c>
    </row>
    <row r="104" spans="1:33" ht="67.5" customHeight="1" x14ac:dyDescent="0.25">
      <c r="A104" s="2" t="s">
        <v>630</v>
      </c>
      <c r="B104" s="2" t="s">
        <v>5197</v>
      </c>
      <c r="C104" s="26" t="s">
        <v>350</v>
      </c>
      <c r="D104" s="26">
        <v>1</v>
      </c>
      <c r="E104" s="26">
        <v>3800</v>
      </c>
      <c r="G104" s="26">
        <f>E104/D104</f>
        <v>3800</v>
      </c>
      <c r="H104" s="26">
        <v>60</v>
      </c>
      <c r="J104" s="26">
        <v>7</v>
      </c>
      <c r="K104" s="2" t="s">
        <v>635</v>
      </c>
      <c r="W104" s="1" t="s">
        <v>629</v>
      </c>
      <c r="X104" s="1" t="s">
        <v>627</v>
      </c>
      <c r="Y104" t="s">
        <v>631</v>
      </c>
      <c r="AA104" s="26" t="s">
        <v>61</v>
      </c>
      <c r="AC104" s="73" t="s">
        <v>623</v>
      </c>
    </row>
    <row r="105" spans="1:33" ht="165" x14ac:dyDescent="0.25">
      <c r="A105" s="26" t="s">
        <v>632</v>
      </c>
      <c r="B105" s="50" t="s">
        <v>634</v>
      </c>
      <c r="C105" s="26" t="s">
        <v>357</v>
      </c>
      <c r="D105" s="26">
        <v>1</v>
      </c>
      <c r="E105" s="26">
        <v>900</v>
      </c>
      <c r="F105" s="26">
        <v>900</v>
      </c>
      <c r="G105" s="26">
        <v>900</v>
      </c>
      <c r="H105" s="26">
        <v>60</v>
      </c>
      <c r="J105" s="26">
        <v>70</v>
      </c>
      <c r="K105" s="2" t="s">
        <v>670</v>
      </c>
      <c r="L105" s="26">
        <v>0</v>
      </c>
      <c r="M105" s="26">
        <v>0</v>
      </c>
      <c r="N105" s="26">
        <v>100</v>
      </c>
      <c r="O105" s="26">
        <v>0</v>
      </c>
      <c r="P105">
        <v>0</v>
      </c>
      <c r="S105" s="26">
        <v>1</v>
      </c>
      <c r="V105" s="1" t="s">
        <v>658</v>
      </c>
      <c r="W105" s="1" t="s">
        <v>657</v>
      </c>
      <c r="X105" s="1" t="s">
        <v>661</v>
      </c>
      <c r="Y105" t="s">
        <v>56</v>
      </c>
      <c r="AA105" s="1" t="s">
        <v>61</v>
      </c>
      <c r="AB105" t="s">
        <v>660</v>
      </c>
      <c r="AC105" t="s">
        <v>659</v>
      </c>
    </row>
    <row r="106" spans="1:33" ht="52.5" customHeight="1" x14ac:dyDescent="0.25">
      <c r="A106" s="2" t="s">
        <v>637</v>
      </c>
      <c r="B106" s="26" t="s">
        <v>636</v>
      </c>
      <c r="C106" s="2" t="s">
        <v>353</v>
      </c>
      <c r="D106" s="26">
        <v>1</v>
      </c>
      <c r="E106" s="26">
        <v>100</v>
      </c>
      <c r="F106" s="26">
        <v>100</v>
      </c>
      <c r="G106" s="26">
        <v>100</v>
      </c>
      <c r="H106" s="26">
        <v>100</v>
      </c>
      <c r="J106" s="26">
        <v>6</v>
      </c>
      <c r="K106" s="2" t="s">
        <v>638</v>
      </c>
      <c r="L106" s="26">
        <v>0</v>
      </c>
      <c r="M106" s="26">
        <v>0</v>
      </c>
      <c r="N106" s="26">
        <v>100</v>
      </c>
      <c r="O106" s="26">
        <v>0</v>
      </c>
      <c r="P106" s="26">
        <v>0</v>
      </c>
      <c r="W106" s="1" t="s">
        <v>639</v>
      </c>
      <c r="X106" s="1" t="s">
        <v>640</v>
      </c>
      <c r="Y106" t="s">
        <v>56</v>
      </c>
      <c r="AA106" t="s">
        <v>60</v>
      </c>
      <c r="AC106" t="s">
        <v>623</v>
      </c>
    </row>
    <row r="107" spans="1:33" ht="63" customHeight="1" x14ac:dyDescent="0.25">
      <c r="A107" s="2" t="s">
        <v>641</v>
      </c>
      <c r="B107" s="26" t="s">
        <v>642</v>
      </c>
      <c r="C107" s="26" t="s">
        <v>350</v>
      </c>
      <c r="D107" s="26">
        <v>1</v>
      </c>
      <c r="E107" s="26">
        <v>325</v>
      </c>
      <c r="F107" s="26">
        <v>325</v>
      </c>
      <c r="G107" s="26">
        <v>325</v>
      </c>
      <c r="H107" s="26">
        <v>51</v>
      </c>
      <c r="J107" s="26">
        <v>23</v>
      </c>
      <c r="K107" s="2" t="s">
        <v>646</v>
      </c>
      <c r="P107" s="26"/>
      <c r="V107" s="1" t="s">
        <v>643</v>
      </c>
      <c r="W107" s="1" t="s">
        <v>645</v>
      </c>
      <c r="X107" s="1" t="s">
        <v>633</v>
      </c>
      <c r="Y107" s="1" t="s">
        <v>56</v>
      </c>
      <c r="Z107" t="s">
        <v>644</v>
      </c>
      <c r="AA107" s="1" t="s">
        <v>61</v>
      </c>
      <c r="AB107" s="1" t="s">
        <v>5328</v>
      </c>
      <c r="AC107" t="s">
        <v>647</v>
      </c>
      <c r="AD107">
        <v>439000</v>
      </c>
      <c r="AE107" s="1" t="s">
        <v>5327</v>
      </c>
      <c r="AF107">
        <v>9620</v>
      </c>
      <c r="AG107">
        <v>10898</v>
      </c>
    </row>
    <row r="108" spans="1:33" ht="81.75" customHeight="1" x14ac:dyDescent="0.25">
      <c r="A108" s="2" t="s">
        <v>651</v>
      </c>
      <c r="B108" s="26" t="s">
        <v>654</v>
      </c>
      <c r="C108" s="2" t="s">
        <v>352</v>
      </c>
      <c r="D108" s="26">
        <v>3</v>
      </c>
      <c r="E108" s="26">
        <v>3000</v>
      </c>
      <c r="F108" s="26">
        <v>3000</v>
      </c>
      <c r="G108" s="26">
        <f>E108/D108</f>
        <v>1000</v>
      </c>
      <c r="J108" s="26">
        <v>25</v>
      </c>
      <c r="K108" s="2" t="s">
        <v>881</v>
      </c>
      <c r="L108" s="26">
        <v>100</v>
      </c>
      <c r="M108" s="26">
        <v>0</v>
      </c>
      <c r="N108" s="26">
        <v>0</v>
      </c>
      <c r="O108" s="26">
        <v>0</v>
      </c>
      <c r="P108" s="26">
        <v>0</v>
      </c>
      <c r="V108" s="1" t="s">
        <v>874</v>
      </c>
      <c r="W108" s="1" t="s">
        <v>652</v>
      </c>
      <c r="X108" s="1" t="s">
        <v>653</v>
      </c>
      <c r="Y108" s="1" t="s">
        <v>56</v>
      </c>
      <c r="Z108" s="1" t="s">
        <v>772</v>
      </c>
      <c r="AA108" s="26" t="s">
        <v>61</v>
      </c>
      <c r="AB108" t="s">
        <v>655</v>
      </c>
      <c r="AC108" t="s">
        <v>880</v>
      </c>
      <c r="AD108">
        <v>5000000</v>
      </c>
      <c r="AE108" t="s">
        <v>3562</v>
      </c>
      <c r="AF108">
        <v>70000</v>
      </c>
      <c r="AG108">
        <v>80000</v>
      </c>
    </row>
    <row r="109" spans="1:33" ht="180" x14ac:dyDescent="0.25">
      <c r="A109" s="26" t="s">
        <v>662</v>
      </c>
      <c r="B109" s="26" t="s">
        <v>226</v>
      </c>
      <c r="C109" s="26" t="s">
        <v>350</v>
      </c>
      <c r="D109" s="26">
        <v>2</v>
      </c>
      <c r="E109" s="26">
        <v>924</v>
      </c>
      <c r="F109" s="26">
        <v>924</v>
      </c>
      <c r="G109" s="26">
        <f>E109/D109</f>
        <v>462</v>
      </c>
      <c r="K109" s="2" t="s">
        <v>667</v>
      </c>
      <c r="L109" s="26">
        <v>24</v>
      </c>
      <c r="M109" s="26">
        <v>0</v>
      </c>
      <c r="N109" s="26">
        <v>0</v>
      </c>
      <c r="O109" s="26">
        <v>0</v>
      </c>
      <c r="P109" s="26">
        <v>76</v>
      </c>
      <c r="Q109" s="26">
        <v>1</v>
      </c>
      <c r="U109">
        <v>1</v>
      </c>
      <c r="V109" s="1" t="s">
        <v>666</v>
      </c>
      <c r="W109" s="2" t="s">
        <v>226</v>
      </c>
      <c r="X109" s="1" t="s">
        <v>663</v>
      </c>
      <c r="Y109" t="s">
        <v>56</v>
      </c>
      <c r="Z109" s="1" t="s">
        <v>621</v>
      </c>
      <c r="AA109" s="1" t="s">
        <v>61</v>
      </c>
      <c r="AB109" t="s">
        <v>665</v>
      </c>
      <c r="AC109" t="s">
        <v>664</v>
      </c>
    </row>
    <row r="110" spans="1:33" ht="51.75" customHeight="1" x14ac:dyDescent="0.25">
      <c r="A110" s="26" t="s">
        <v>668</v>
      </c>
      <c r="B110" s="26" t="s">
        <v>654</v>
      </c>
      <c r="C110" s="2" t="s">
        <v>352</v>
      </c>
      <c r="D110" s="26">
        <v>1</v>
      </c>
      <c r="E110" s="26">
        <v>75</v>
      </c>
      <c r="F110" s="26">
        <v>75</v>
      </c>
      <c r="G110" s="26">
        <v>75</v>
      </c>
      <c r="J110" s="26">
        <v>20</v>
      </c>
      <c r="K110" s="2" t="s">
        <v>671</v>
      </c>
      <c r="L110" s="26">
        <v>0</v>
      </c>
      <c r="M110" s="26">
        <v>0</v>
      </c>
      <c r="N110" s="26">
        <v>0</v>
      </c>
      <c r="O110" s="26">
        <v>100</v>
      </c>
      <c r="P110" s="26">
        <v>0</v>
      </c>
      <c r="T110" s="26">
        <v>1</v>
      </c>
      <c r="W110" s="1" t="s">
        <v>669</v>
      </c>
      <c r="Y110" t="s">
        <v>56</v>
      </c>
      <c r="AA110" s="1" t="s">
        <v>60</v>
      </c>
      <c r="AB110" s="1" t="s">
        <v>3561</v>
      </c>
      <c r="AC110" s="73" t="s">
        <v>672</v>
      </c>
      <c r="AD110">
        <v>150000</v>
      </c>
      <c r="AE110" s="1" t="s">
        <v>5329</v>
      </c>
      <c r="AF110">
        <v>4000</v>
      </c>
      <c r="AG110">
        <v>4000</v>
      </c>
    </row>
    <row r="111" spans="1:33" ht="61.5" customHeight="1" x14ac:dyDescent="0.25">
      <c r="A111" s="26" t="s">
        <v>674</v>
      </c>
      <c r="B111" s="26" t="s">
        <v>675</v>
      </c>
      <c r="C111" s="2" t="s">
        <v>352</v>
      </c>
      <c r="D111" s="26">
        <v>1</v>
      </c>
      <c r="E111" s="26">
        <v>46</v>
      </c>
      <c r="F111" s="26">
        <v>46</v>
      </c>
      <c r="G111" s="26">
        <v>46</v>
      </c>
      <c r="J111" s="26">
        <v>42</v>
      </c>
      <c r="Y111" t="s">
        <v>56</v>
      </c>
      <c r="Z111" s="1" t="s">
        <v>673</v>
      </c>
      <c r="AA111" s="26" t="s">
        <v>60</v>
      </c>
      <c r="AB111" t="s">
        <v>3560</v>
      </c>
      <c r="AC111" t="s">
        <v>672</v>
      </c>
      <c r="AD111">
        <v>50000</v>
      </c>
      <c r="AE111" s="1" t="s">
        <v>5330</v>
      </c>
      <c r="AF111">
        <v>4500</v>
      </c>
      <c r="AG111">
        <v>2500</v>
      </c>
    </row>
    <row r="112" spans="1:33" ht="34.5" customHeight="1" x14ac:dyDescent="0.25">
      <c r="A112" s="26" t="s">
        <v>679</v>
      </c>
      <c r="B112" s="26" t="s">
        <v>677</v>
      </c>
      <c r="C112" s="2" t="s">
        <v>353</v>
      </c>
      <c r="D112" s="26">
        <v>1</v>
      </c>
      <c r="E112" s="26">
        <v>10000</v>
      </c>
      <c r="F112" s="26">
        <v>10000</v>
      </c>
      <c r="G112" s="26">
        <v>10000</v>
      </c>
      <c r="X112" s="1" t="s">
        <v>678</v>
      </c>
      <c r="Y112" t="s">
        <v>56</v>
      </c>
      <c r="Z112" s="1" t="s">
        <v>676</v>
      </c>
      <c r="AA112" s="1" t="s">
        <v>61</v>
      </c>
      <c r="AC112" s="73" t="s">
        <v>5198</v>
      </c>
    </row>
    <row r="113" spans="1:33" ht="58.5" customHeight="1" x14ac:dyDescent="0.25">
      <c r="A113" s="2" t="s">
        <v>680</v>
      </c>
      <c r="B113" s="26" t="s">
        <v>681</v>
      </c>
      <c r="C113" s="2" t="s">
        <v>353</v>
      </c>
      <c r="D113" s="26">
        <v>1</v>
      </c>
      <c r="E113" s="26">
        <f>66+33+51+56+62</f>
        <v>268</v>
      </c>
      <c r="F113" s="26">
        <f>66+33+51+56+62</f>
        <v>268</v>
      </c>
      <c r="G113" s="26">
        <f>E113</f>
        <v>268</v>
      </c>
      <c r="K113" s="2" t="s">
        <v>683</v>
      </c>
      <c r="L113" s="26">
        <v>100</v>
      </c>
      <c r="M113" s="26">
        <v>0</v>
      </c>
      <c r="N113" s="26">
        <v>0</v>
      </c>
      <c r="O113" s="26">
        <v>0</v>
      </c>
      <c r="P113" s="26">
        <v>0</v>
      </c>
      <c r="Q113" s="26">
        <v>5</v>
      </c>
      <c r="W113" s="1" t="s">
        <v>682</v>
      </c>
      <c r="Y113" s="1" t="s">
        <v>685</v>
      </c>
      <c r="AA113" s="1" t="s">
        <v>61</v>
      </c>
      <c r="AC113" t="s">
        <v>684</v>
      </c>
    </row>
    <row r="114" spans="1:33" ht="48.75" customHeight="1" x14ac:dyDescent="0.25">
      <c r="A114" s="2" t="s">
        <v>686</v>
      </c>
      <c r="B114" s="26" t="s">
        <v>689</v>
      </c>
      <c r="C114" s="26" t="s">
        <v>350</v>
      </c>
      <c r="D114" s="26">
        <v>1</v>
      </c>
      <c r="E114" s="26">
        <v>300</v>
      </c>
      <c r="F114" s="26">
        <v>300</v>
      </c>
      <c r="G114" s="26">
        <f>E114</f>
        <v>300</v>
      </c>
      <c r="H114" s="26">
        <v>53</v>
      </c>
      <c r="J114" s="26">
        <v>30</v>
      </c>
      <c r="K114" s="2" t="s">
        <v>688</v>
      </c>
      <c r="X114" s="1" t="s">
        <v>687</v>
      </c>
      <c r="Y114" t="s">
        <v>56</v>
      </c>
      <c r="AA114" s="26" t="s">
        <v>60</v>
      </c>
      <c r="AB114" s="1" t="s">
        <v>5333</v>
      </c>
      <c r="AC114" s="73" t="s">
        <v>5331</v>
      </c>
      <c r="AD114">
        <v>390000</v>
      </c>
      <c r="AE114" s="1" t="s">
        <v>5332</v>
      </c>
      <c r="AF114">
        <v>3433</v>
      </c>
      <c r="AG114">
        <v>2169</v>
      </c>
    </row>
    <row r="115" spans="1:33" ht="34.5" customHeight="1" x14ac:dyDescent="0.25">
      <c r="A115" s="26" t="s">
        <v>690</v>
      </c>
      <c r="B115" s="26" t="s">
        <v>691</v>
      </c>
      <c r="C115" s="26" t="s">
        <v>352</v>
      </c>
      <c r="W115" s="1" t="s">
        <v>693</v>
      </c>
      <c r="AC115" t="s">
        <v>692</v>
      </c>
    </row>
    <row r="116" spans="1:33" ht="135" x14ac:dyDescent="0.25">
      <c r="A116" s="2" t="s">
        <v>699</v>
      </c>
      <c r="B116" s="2" t="s">
        <v>700</v>
      </c>
      <c r="C116" s="26" t="s">
        <v>350</v>
      </c>
      <c r="D116" s="26">
        <v>1</v>
      </c>
      <c r="E116" s="26">
        <v>1000</v>
      </c>
      <c r="F116" s="26">
        <v>1000</v>
      </c>
      <c r="G116" s="26">
        <v>1000</v>
      </c>
      <c r="J116" s="26">
        <v>4</v>
      </c>
      <c r="K116" s="2" t="s">
        <v>703</v>
      </c>
      <c r="L116" s="26">
        <v>0</v>
      </c>
      <c r="M116" s="26">
        <v>0</v>
      </c>
      <c r="N116" s="26">
        <v>100</v>
      </c>
      <c r="O116" s="26">
        <v>0</v>
      </c>
      <c r="P116" s="26">
        <v>0</v>
      </c>
      <c r="S116" s="26">
        <v>2</v>
      </c>
      <c r="V116" s="1" t="s">
        <v>754</v>
      </c>
      <c r="W116" s="1" t="s">
        <v>701</v>
      </c>
      <c r="X116" s="1" t="s">
        <v>702</v>
      </c>
      <c r="Y116" t="s">
        <v>56</v>
      </c>
      <c r="AA116" t="s">
        <v>60</v>
      </c>
      <c r="AB116" t="s">
        <v>704</v>
      </c>
      <c r="AC116" t="s">
        <v>705</v>
      </c>
    </row>
    <row r="117" spans="1:33" ht="60" x14ac:dyDescent="0.25">
      <c r="A117" s="2" t="s">
        <v>712</v>
      </c>
      <c r="B117" s="2" t="s">
        <v>707</v>
      </c>
      <c r="C117" s="2" t="s">
        <v>353</v>
      </c>
      <c r="D117" s="26">
        <v>1</v>
      </c>
      <c r="E117" s="26">
        <v>998</v>
      </c>
      <c r="F117" s="26">
        <v>998</v>
      </c>
      <c r="H117" s="26">
        <v>52</v>
      </c>
      <c r="J117" s="26">
        <v>3</v>
      </c>
      <c r="K117" s="2" t="s">
        <v>708</v>
      </c>
      <c r="W117" s="1" t="s">
        <v>706</v>
      </c>
      <c r="X117" s="1" t="s">
        <v>710</v>
      </c>
      <c r="Y117" t="s">
        <v>56</v>
      </c>
      <c r="AA117" t="s">
        <v>61</v>
      </c>
      <c r="AB117" t="s">
        <v>709</v>
      </c>
      <c r="AC117" t="s">
        <v>711</v>
      </c>
      <c r="AD117">
        <v>1297400</v>
      </c>
      <c r="AE117" t="s">
        <v>5199</v>
      </c>
      <c r="AF117">
        <v>81327</v>
      </c>
      <c r="AG117">
        <v>66607</v>
      </c>
    </row>
    <row r="118" spans="1:33" ht="33" customHeight="1" x14ac:dyDescent="0.25">
      <c r="A118" s="2" t="s">
        <v>713</v>
      </c>
      <c r="B118" s="26" t="s">
        <v>714</v>
      </c>
      <c r="C118" s="2" t="s">
        <v>353</v>
      </c>
      <c r="D118" s="26">
        <v>1</v>
      </c>
      <c r="E118" s="26">
        <v>40</v>
      </c>
      <c r="F118" s="26">
        <v>40</v>
      </c>
      <c r="G118" s="26">
        <v>40</v>
      </c>
      <c r="J118" s="26">
        <v>42</v>
      </c>
      <c r="K118" s="2" t="s">
        <v>715</v>
      </c>
      <c r="P118" s="26"/>
      <c r="Y118" t="s">
        <v>56</v>
      </c>
      <c r="AA118" t="s">
        <v>60</v>
      </c>
      <c r="AB118" t="s">
        <v>716</v>
      </c>
      <c r="AC118" s="73" t="s">
        <v>717</v>
      </c>
      <c r="AD118">
        <v>52000</v>
      </c>
      <c r="AE118" s="1" t="s">
        <v>5334</v>
      </c>
      <c r="AF118">
        <v>4000</v>
      </c>
      <c r="AG118">
        <v>3280</v>
      </c>
    </row>
    <row r="119" spans="1:33" ht="45" customHeight="1" x14ac:dyDescent="0.25">
      <c r="A119" s="2" t="s">
        <v>723</v>
      </c>
      <c r="B119" s="26" t="s">
        <v>725</v>
      </c>
      <c r="C119" s="26" t="s">
        <v>350</v>
      </c>
      <c r="J119" s="26">
        <v>33</v>
      </c>
      <c r="K119" s="2" t="s">
        <v>726</v>
      </c>
      <c r="L119" s="26">
        <v>0</v>
      </c>
      <c r="M119" s="26">
        <v>100</v>
      </c>
      <c r="N119" s="26">
        <v>0</v>
      </c>
      <c r="O119" s="26">
        <v>0</v>
      </c>
      <c r="P119" s="26">
        <v>0</v>
      </c>
      <c r="W119" s="1" t="s">
        <v>732</v>
      </c>
      <c r="Y119" t="s">
        <v>56</v>
      </c>
      <c r="AA119" t="s">
        <v>61</v>
      </c>
      <c r="AC119" t="s">
        <v>724</v>
      </c>
    </row>
    <row r="120" spans="1:33" ht="70.5" customHeight="1" x14ac:dyDescent="0.25">
      <c r="A120" s="2" t="s">
        <v>731</v>
      </c>
      <c r="B120" s="26" t="s">
        <v>728</v>
      </c>
      <c r="C120" s="26" t="s">
        <v>350</v>
      </c>
      <c r="D120" s="26">
        <v>1</v>
      </c>
      <c r="E120" s="26">
        <v>37</v>
      </c>
      <c r="F120" s="26">
        <v>37</v>
      </c>
      <c r="G120" s="26">
        <v>37</v>
      </c>
      <c r="J120" s="26">
        <v>29</v>
      </c>
      <c r="K120" s="2" t="s">
        <v>729</v>
      </c>
      <c r="L120" s="26">
        <v>0</v>
      </c>
      <c r="M120" s="26">
        <v>100</v>
      </c>
      <c r="N120" s="26">
        <v>0</v>
      </c>
      <c r="O120" s="26">
        <v>0</v>
      </c>
      <c r="P120" s="26">
        <v>0</v>
      </c>
      <c r="V120" s="1" t="s">
        <v>616</v>
      </c>
      <c r="W120" s="1" t="s">
        <v>732</v>
      </c>
      <c r="Y120" t="s">
        <v>56</v>
      </c>
      <c r="AA120" t="s">
        <v>60</v>
      </c>
      <c r="AB120" t="s">
        <v>730</v>
      </c>
      <c r="AC120" s="73" t="s">
        <v>727</v>
      </c>
      <c r="AD120">
        <v>45000</v>
      </c>
      <c r="AE120" s="1" t="s">
        <v>5335</v>
      </c>
      <c r="AF120">
        <v>2800</v>
      </c>
      <c r="AG120">
        <v>5625</v>
      </c>
    </row>
    <row r="121" spans="1:33" ht="63.75" customHeight="1" x14ac:dyDescent="0.25">
      <c r="A121" s="26" t="s">
        <v>5200</v>
      </c>
      <c r="B121" s="26" t="s">
        <v>736</v>
      </c>
      <c r="C121" s="2" t="s">
        <v>353</v>
      </c>
      <c r="D121" s="26">
        <v>1</v>
      </c>
      <c r="E121" s="26">
        <v>1019</v>
      </c>
      <c r="F121" s="26">
        <v>1019</v>
      </c>
      <c r="G121" s="26">
        <f>E121/D121</f>
        <v>1019</v>
      </c>
      <c r="K121" s="2" t="s">
        <v>5202</v>
      </c>
      <c r="L121" s="26">
        <v>100</v>
      </c>
      <c r="M121" s="26">
        <v>0</v>
      </c>
      <c r="N121" s="26">
        <v>0</v>
      </c>
      <c r="O121" s="26">
        <v>0</v>
      </c>
      <c r="P121" s="26">
        <v>0</v>
      </c>
      <c r="Q121" s="26">
        <v>23</v>
      </c>
      <c r="V121" s="1" t="s">
        <v>737</v>
      </c>
      <c r="W121" s="1" t="s">
        <v>734</v>
      </c>
      <c r="X121" s="1" t="s">
        <v>735</v>
      </c>
      <c r="Y121" t="s">
        <v>56</v>
      </c>
      <c r="Z121" s="1" t="s">
        <v>733</v>
      </c>
      <c r="AA121" s="1" t="s">
        <v>61</v>
      </c>
      <c r="AB121" t="s">
        <v>738</v>
      </c>
      <c r="AC121" t="s">
        <v>5201</v>
      </c>
    </row>
    <row r="122" spans="1:33" ht="69" customHeight="1" x14ac:dyDescent="0.25">
      <c r="A122" s="26" t="s">
        <v>739</v>
      </c>
      <c r="B122" s="26" t="s">
        <v>740</v>
      </c>
      <c r="C122" s="26" t="s">
        <v>350</v>
      </c>
      <c r="D122" s="26">
        <v>1</v>
      </c>
      <c r="E122" s="26">
        <v>20</v>
      </c>
      <c r="F122" s="26">
        <v>20</v>
      </c>
      <c r="G122" s="26">
        <v>20</v>
      </c>
      <c r="J122" s="26">
        <v>5</v>
      </c>
      <c r="K122" s="2" t="s">
        <v>5295</v>
      </c>
      <c r="L122" s="26">
        <v>20</v>
      </c>
      <c r="M122" s="26">
        <v>0</v>
      </c>
      <c r="N122" s="26">
        <v>20</v>
      </c>
      <c r="O122" s="26">
        <v>60</v>
      </c>
      <c r="P122" s="26">
        <v>0</v>
      </c>
      <c r="Q122" s="26">
        <v>1</v>
      </c>
      <c r="S122" s="26">
        <v>1</v>
      </c>
      <c r="T122" s="26">
        <v>3</v>
      </c>
      <c r="V122" s="1" t="s">
        <v>742</v>
      </c>
      <c r="W122" s="1" t="s">
        <v>745</v>
      </c>
      <c r="X122" s="1" t="s">
        <v>744</v>
      </c>
      <c r="Y122" t="s">
        <v>56</v>
      </c>
      <c r="AA122" t="s">
        <v>60</v>
      </c>
      <c r="AC122" t="s">
        <v>741</v>
      </c>
    </row>
    <row r="123" spans="1:33" ht="50.25" customHeight="1" x14ac:dyDescent="0.25">
      <c r="A123" s="26" t="s">
        <v>746</v>
      </c>
      <c r="B123" s="2" t="s">
        <v>748</v>
      </c>
      <c r="C123" s="26" t="s">
        <v>350</v>
      </c>
      <c r="D123" s="26">
        <v>4</v>
      </c>
      <c r="E123" s="26">
        <f>87+249+402+119</f>
        <v>857</v>
      </c>
      <c r="F123" s="26">
        <f>87+249+402+119</f>
        <v>857</v>
      </c>
      <c r="G123" s="26">
        <f>E123/D123</f>
        <v>214.25</v>
      </c>
      <c r="J123" s="26">
        <f>4+4+4+4</f>
        <v>16</v>
      </c>
      <c r="V123" s="1" t="s">
        <v>750</v>
      </c>
      <c r="W123" s="1" t="s">
        <v>751</v>
      </c>
      <c r="X123" s="1" t="s">
        <v>743</v>
      </c>
      <c r="Y123" s="1" t="s">
        <v>56</v>
      </c>
      <c r="Z123" s="1" t="s">
        <v>747</v>
      </c>
      <c r="AA123" s="1" t="s">
        <v>60</v>
      </c>
      <c r="AB123" s="1" t="s">
        <v>749</v>
      </c>
      <c r="AC123" t="s">
        <v>1175</v>
      </c>
      <c r="AE123" s="1" t="s">
        <v>1176</v>
      </c>
    </row>
    <row r="124" spans="1:33" ht="78" customHeight="1" x14ac:dyDescent="0.25">
      <c r="A124" s="2" t="s">
        <v>752</v>
      </c>
      <c r="B124" s="2" t="s">
        <v>753</v>
      </c>
      <c r="C124" s="26" t="s">
        <v>354</v>
      </c>
      <c r="D124" s="26">
        <v>1</v>
      </c>
      <c r="E124" s="26">
        <v>20</v>
      </c>
      <c r="F124" s="26">
        <v>20</v>
      </c>
      <c r="G124" s="26">
        <v>20</v>
      </c>
      <c r="J124" s="26">
        <v>40</v>
      </c>
      <c r="K124" s="2" t="s">
        <v>760</v>
      </c>
      <c r="L124" s="26">
        <v>100</v>
      </c>
      <c r="M124" s="26">
        <v>0</v>
      </c>
      <c r="N124" s="26">
        <v>0</v>
      </c>
      <c r="O124" s="26">
        <v>0</v>
      </c>
      <c r="P124" s="26">
        <v>0</v>
      </c>
      <c r="Q124" s="26">
        <v>2</v>
      </c>
      <c r="V124" s="1" t="s">
        <v>757</v>
      </c>
      <c r="W124" s="1" t="s">
        <v>756</v>
      </c>
      <c r="X124" s="1" t="s">
        <v>755</v>
      </c>
      <c r="Y124" t="s">
        <v>56</v>
      </c>
      <c r="AA124" s="1" t="s">
        <v>60</v>
      </c>
      <c r="AB124" s="1" t="s">
        <v>758</v>
      </c>
      <c r="AC124" s="51" t="s">
        <v>759</v>
      </c>
    </row>
    <row r="125" spans="1:33" ht="69" customHeight="1" x14ac:dyDescent="0.25">
      <c r="A125" s="2" t="s">
        <v>761</v>
      </c>
      <c r="B125" s="2" t="s">
        <v>762</v>
      </c>
      <c r="C125" s="26" t="s">
        <v>350</v>
      </c>
      <c r="D125" s="26">
        <v>1</v>
      </c>
      <c r="E125" s="26">
        <v>688</v>
      </c>
      <c r="F125" s="26">
        <v>688</v>
      </c>
      <c r="G125" s="26">
        <v>688</v>
      </c>
      <c r="J125" s="26">
        <v>7</v>
      </c>
      <c r="K125" s="2" t="s">
        <v>5277</v>
      </c>
      <c r="L125" s="26">
        <v>50</v>
      </c>
      <c r="M125" s="26">
        <v>0</v>
      </c>
      <c r="N125" s="26">
        <v>0</v>
      </c>
      <c r="O125" s="26">
        <v>50</v>
      </c>
      <c r="P125" s="26">
        <v>0</v>
      </c>
      <c r="Q125" s="26">
        <v>6</v>
      </c>
      <c r="T125" s="26">
        <v>5</v>
      </c>
      <c r="W125" s="1" t="s">
        <v>763</v>
      </c>
      <c r="X125" s="1" t="s">
        <v>764</v>
      </c>
      <c r="Y125" t="s">
        <v>56</v>
      </c>
      <c r="Z125" s="1" t="s">
        <v>644</v>
      </c>
      <c r="AA125" s="1" t="s">
        <v>60</v>
      </c>
      <c r="AB125" t="s">
        <v>766</v>
      </c>
      <c r="AC125" t="s">
        <v>765</v>
      </c>
      <c r="AF125">
        <v>80000</v>
      </c>
    </row>
    <row r="126" spans="1:33" ht="33.75" customHeight="1" x14ac:dyDescent="0.25">
      <c r="A126" s="2" t="s">
        <v>767</v>
      </c>
      <c r="B126" s="26" t="s">
        <v>768</v>
      </c>
      <c r="C126" s="26" t="s">
        <v>354</v>
      </c>
      <c r="D126" s="26">
        <v>1</v>
      </c>
      <c r="E126" s="26">
        <v>30</v>
      </c>
      <c r="F126" s="26">
        <v>30</v>
      </c>
      <c r="G126" s="26">
        <v>30</v>
      </c>
      <c r="J126" s="26">
        <v>20</v>
      </c>
      <c r="K126" s="2" t="s">
        <v>774</v>
      </c>
      <c r="L126" s="26">
        <v>100</v>
      </c>
      <c r="M126" s="26">
        <v>0</v>
      </c>
      <c r="N126" s="26">
        <v>0</v>
      </c>
      <c r="O126" s="26">
        <v>0</v>
      </c>
      <c r="P126" s="26">
        <v>0</v>
      </c>
      <c r="Q126" s="26">
        <v>1</v>
      </c>
      <c r="V126" s="1" t="s">
        <v>771</v>
      </c>
      <c r="W126" s="1" t="s">
        <v>773</v>
      </c>
      <c r="X126" s="1" t="s">
        <v>770</v>
      </c>
      <c r="Y126" s="1" t="s">
        <v>56</v>
      </c>
      <c r="Z126" s="1" t="s">
        <v>772</v>
      </c>
      <c r="AA126" s="1" t="s">
        <v>60</v>
      </c>
      <c r="AB126" s="1" t="s">
        <v>5336</v>
      </c>
      <c r="AC126" t="s">
        <v>775</v>
      </c>
      <c r="AE126" s="1" t="s">
        <v>5337</v>
      </c>
      <c r="AF126">
        <v>2000</v>
      </c>
      <c r="AG126">
        <v>900</v>
      </c>
    </row>
    <row r="127" spans="1:33" ht="73.5" customHeight="1" x14ac:dyDescent="0.25">
      <c r="A127" s="2" t="s">
        <v>776</v>
      </c>
      <c r="B127" s="2" t="s">
        <v>777</v>
      </c>
      <c r="C127" s="26" t="s">
        <v>354</v>
      </c>
      <c r="D127" s="26">
        <v>1</v>
      </c>
      <c r="E127" s="26">
        <v>42</v>
      </c>
      <c r="F127" s="26">
        <v>42</v>
      </c>
      <c r="G127" s="26">
        <v>42</v>
      </c>
      <c r="J127" s="26">
        <v>26</v>
      </c>
      <c r="K127" s="2" t="s">
        <v>781</v>
      </c>
      <c r="L127" s="26">
        <v>100</v>
      </c>
      <c r="M127" s="26">
        <v>0</v>
      </c>
      <c r="N127" s="26">
        <v>0</v>
      </c>
      <c r="O127" s="26">
        <v>0</v>
      </c>
      <c r="P127" s="26">
        <v>0</v>
      </c>
      <c r="Q127" s="26">
        <v>1</v>
      </c>
      <c r="V127" s="1" t="s">
        <v>112</v>
      </c>
      <c r="W127" s="1" t="s">
        <v>769</v>
      </c>
      <c r="X127" s="1" t="s">
        <v>778</v>
      </c>
      <c r="Y127" s="1" t="s">
        <v>56</v>
      </c>
      <c r="Z127" s="1" t="s">
        <v>772</v>
      </c>
      <c r="AA127" s="1" t="s">
        <v>60</v>
      </c>
      <c r="AB127" s="1" t="s">
        <v>780</v>
      </c>
      <c r="AC127" s="51" t="s">
        <v>779</v>
      </c>
      <c r="AD127">
        <v>100000</v>
      </c>
      <c r="AE127" s="1" t="s">
        <v>5338</v>
      </c>
      <c r="AF127">
        <v>3756</v>
      </c>
      <c r="AG127">
        <v>3000</v>
      </c>
    </row>
    <row r="128" spans="1:33" ht="50.25" customHeight="1" x14ac:dyDescent="0.25">
      <c r="A128" s="26" t="s">
        <v>785</v>
      </c>
      <c r="B128" s="26" t="s">
        <v>787</v>
      </c>
      <c r="C128" s="2" t="s">
        <v>352</v>
      </c>
      <c r="D128" s="26">
        <v>1</v>
      </c>
      <c r="E128" s="26">
        <v>528</v>
      </c>
      <c r="F128">
        <f>E128-100</f>
        <v>428</v>
      </c>
      <c r="G128" s="26">
        <v>528</v>
      </c>
      <c r="J128" s="26">
        <v>103</v>
      </c>
      <c r="K128" s="2" t="s">
        <v>786</v>
      </c>
      <c r="P128" s="26"/>
      <c r="V128" s="1" t="s">
        <v>877</v>
      </c>
      <c r="W128" s="1" t="s">
        <v>790</v>
      </c>
      <c r="X128" s="1" t="s">
        <v>789</v>
      </c>
      <c r="Y128" s="1" t="s">
        <v>788</v>
      </c>
      <c r="AA128" s="1" t="s">
        <v>60</v>
      </c>
      <c r="AB128" s="1" t="s">
        <v>3559</v>
      </c>
      <c r="AC128" t="s">
        <v>791</v>
      </c>
      <c r="AD128">
        <v>2000000</v>
      </c>
      <c r="AE128" s="1" t="s">
        <v>5339</v>
      </c>
      <c r="AF128">
        <v>120000</v>
      </c>
      <c r="AG128">
        <v>53000</v>
      </c>
    </row>
    <row r="129" spans="1:37" ht="74.25" customHeight="1" x14ac:dyDescent="0.25">
      <c r="A129" s="26" t="s">
        <v>792</v>
      </c>
      <c r="B129" s="26" t="s">
        <v>793</v>
      </c>
      <c r="C129" s="26" t="s">
        <v>357</v>
      </c>
      <c r="D129" s="26">
        <v>1</v>
      </c>
      <c r="E129" s="26">
        <v>19</v>
      </c>
      <c r="F129" s="26">
        <v>19</v>
      </c>
      <c r="G129" s="26">
        <v>19</v>
      </c>
      <c r="J129" s="26">
        <v>35</v>
      </c>
      <c r="K129" s="2" t="s">
        <v>796</v>
      </c>
      <c r="L129" s="26">
        <v>100</v>
      </c>
      <c r="M129" s="26">
        <v>0</v>
      </c>
      <c r="N129" s="26">
        <v>0</v>
      </c>
      <c r="O129" s="26">
        <v>0</v>
      </c>
      <c r="P129" s="26">
        <v>0</v>
      </c>
      <c r="Q129" s="26">
        <v>1</v>
      </c>
      <c r="W129" s="1" t="s">
        <v>732</v>
      </c>
      <c r="X129" s="1" t="s">
        <v>769</v>
      </c>
      <c r="Y129" s="1" t="s">
        <v>56</v>
      </c>
      <c r="Z129" s="1" t="s">
        <v>795</v>
      </c>
      <c r="AA129" s="1" t="s">
        <v>60</v>
      </c>
      <c r="AB129" s="1" t="s">
        <v>799</v>
      </c>
      <c r="AC129" s="51" t="s">
        <v>878</v>
      </c>
      <c r="AD129">
        <v>59000</v>
      </c>
      <c r="AE129" s="1" t="s">
        <v>798</v>
      </c>
      <c r="AF129" s="1">
        <v>2500</v>
      </c>
      <c r="AG129">
        <v>4000</v>
      </c>
    </row>
    <row r="130" spans="1:37" s="1" customFormat="1" ht="48.75" customHeight="1" x14ac:dyDescent="0.25">
      <c r="A130" s="26" t="s">
        <v>803</v>
      </c>
      <c r="B130" s="26" t="s">
        <v>802</v>
      </c>
      <c r="C130" s="26" t="s">
        <v>350</v>
      </c>
      <c r="D130" s="26">
        <v>1</v>
      </c>
      <c r="E130" s="26">
        <v>233</v>
      </c>
      <c r="F130" s="26">
        <v>233</v>
      </c>
      <c r="G130" s="26">
        <v>233</v>
      </c>
      <c r="H130" s="26">
        <v>20</v>
      </c>
      <c r="I130" s="26"/>
      <c r="J130" s="26">
        <v>15</v>
      </c>
      <c r="K130" s="2" t="s">
        <v>805</v>
      </c>
      <c r="L130" s="26"/>
      <c r="M130" s="26"/>
      <c r="N130" s="26"/>
      <c r="O130" s="26"/>
      <c r="P130"/>
      <c r="Q130" s="26"/>
      <c r="R130" s="26"/>
      <c r="S130" s="26"/>
      <c r="T130" s="26"/>
      <c r="V130"/>
      <c r="W130"/>
      <c r="X130" s="1" t="s">
        <v>804</v>
      </c>
      <c r="Y130" s="1" t="s">
        <v>56</v>
      </c>
      <c r="Z130"/>
      <c r="AA130" s="1" t="s">
        <v>61</v>
      </c>
      <c r="AB130" s="1" t="s">
        <v>3557</v>
      </c>
      <c r="AC130" s="51" t="s">
        <v>824</v>
      </c>
      <c r="AD130">
        <v>349500</v>
      </c>
      <c r="AE130" t="s">
        <v>806</v>
      </c>
      <c r="AF130" s="1" t="s">
        <v>3558</v>
      </c>
      <c r="AG130">
        <v>21908</v>
      </c>
      <c r="AH130"/>
      <c r="AI130"/>
      <c r="AJ130"/>
      <c r="AK130"/>
    </row>
    <row r="131" spans="1:37" s="1" customFormat="1" ht="45" customHeight="1" x14ac:dyDescent="0.25">
      <c r="A131" s="2" t="s">
        <v>808</v>
      </c>
      <c r="B131" s="2" t="s">
        <v>807</v>
      </c>
      <c r="C131" s="26" t="s">
        <v>356</v>
      </c>
      <c r="D131" s="26">
        <v>1</v>
      </c>
      <c r="E131" s="26">
        <v>376</v>
      </c>
      <c r="F131" s="1">
        <f>E131-15</f>
        <v>361</v>
      </c>
      <c r="G131" s="26">
        <v>376</v>
      </c>
      <c r="H131" s="26"/>
      <c r="I131" s="26"/>
      <c r="J131" s="26">
        <v>81</v>
      </c>
      <c r="K131" s="2" t="s">
        <v>812</v>
      </c>
      <c r="L131" s="26"/>
      <c r="M131" s="26"/>
      <c r="N131" s="26"/>
      <c r="O131" s="26"/>
      <c r="P131"/>
      <c r="Q131" s="26"/>
      <c r="R131" s="26"/>
      <c r="S131" s="26"/>
      <c r="T131" s="26"/>
      <c r="V131"/>
      <c r="W131" s="1" t="s">
        <v>811</v>
      </c>
      <c r="X131"/>
      <c r="Y131" s="1" t="s">
        <v>809</v>
      </c>
      <c r="Z131" s="1" t="s">
        <v>327</v>
      </c>
      <c r="AA131" s="1" t="s">
        <v>61</v>
      </c>
      <c r="AB131" s="1" t="s">
        <v>813</v>
      </c>
      <c r="AC131" t="s">
        <v>814</v>
      </c>
      <c r="AD131">
        <v>514800</v>
      </c>
      <c r="AE131" t="s">
        <v>810</v>
      </c>
      <c r="AF131">
        <v>20400</v>
      </c>
      <c r="AG131">
        <v>37500</v>
      </c>
      <c r="AH131"/>
      <c r="AI131"/>
      <c r="AJ131"/>
      <c r="AK131"/>
    </row>
    <row r="132" spans="1:37" s="1" customFormat="1" ht="40.5" customHeight="1" x14ac:dyDescent="0.25">
      <c r="A132" s="1" t="s">
        <v>817</v>
      </c>
      <c r="B132" s="1" t="s">
        <v>654</v>
      </c>
      <c r="C132" s="1" t="s">
        <v>352</v>
      </c>
      <c r="D132" s="1">
        <v>1</v>
      </c>
      <c r="E132" s="1">
        <v>72</v>
      </c>
      <c r="F132" s="1">
        <v>72</v>
      </c>
      <c r="G132" s="1">
        <v>72</v>
      </c>
      <c r="J132" s="1">
        <v>30</v>
      </c>
      <c r="W132" s="1" t="s">
        <v>732</v>
      </c>
      <c r="X132" s="1" t="s">
        <v>769</v>
      </c>
      <c r="Y132" s="1" t="s">
        <v>56</v>
      </c>
      <c r="Z132" s="1" t="s">
        <v>772</v>
      </c>
      <c r="AA132" s="1" t="s">
        <v>60</v>
      </c>
      <c r="AB132" s="1" t="s">
        <v>819</v>
      </c>
      <c r="AC132" s="51" t="s">
        <v>824</v>
      </c>
      <c r="AD132" s="1">
        <v>60000</v>
      </c>
      <c r="AE132" s="1" t="s">
        <v>818</v>
      </c>
      <c r="AF132" s="1">
        <v>4000</v>
      </c>
      <c r="AG132" s="1">
        <v>1500</v>
      </c>
    </row>
    <row r="133" spans="1:37" ht="40.5" customHeight="1" x14ac:dyDescent="0.25">
      <c r="A133" s="1" t="s">
        <v>820</v>
      </c>
      <c r="B133" s="1" t="s">
        <v>821</v>
      </c>
      <c r="C133" s="1" t="s">
        <v>356</v>
      </c>
      <c r="D133" s="1">
        <v>1</v>
      </c>
      <c r="E133" s="1">
        <v>1000</v>
      </c>
      <c r="F133" s="1">
        <v>1000</v>
      </c>
      <c r="G133" s="1">
        <v>1000</v>
      </c>
      <c r="H133" s="1">
        <v>65</v>
      </c>
      <c r="I133" s="1"/>
      <c r="J133" s="1">
        <v>71</v>
      </c>
      <c r="K133" s="1"/>
      <c r="L133" s="1"/>
      <c r="M133" s="1"/>
      <c r="N133" s="1"/>
      <c r="O133" s="1"/>
      <c r="P133" s="1"/>
      <c r="Q133" s="1"/>
      <c r="R133" s="1"/>
      <c r="S133" s="1"/>
      <c r="T133" s="1"/>
      <c r="V133" s="1"/>
      <c r="W133" s="1" t="s">
        <v>822</v>
      </c>
      <c r="X133" s="1" t="s">
        <v>825</v>
      </c>
      <c r="Y133" s="1" t="s">
        <v>56</v>
      </c>
      <c r="Z133" s="1"/>
      <c r="AA133" s="1" t="s">
        <v>60</v>
      </c>
      <c r="AB133" s="1" t="s">
        <v>3555</v>
      </c>
      <c r="AC133" s="51" t="s">
        <v>823</v>
      </c>
      <c r="AD133" s="1">
        <v>1000000</v>
      </c>
      <c r="AE133" s="1" t="s">
        <v>826</v>
      </c>
      <c r="AF133" s="1" t="s">
        <v>3556</v>
      </c>
      <c r="AG133" s="1">
        <v>0</v>
      </c>
      <c r="AH133" s="1"/>
      <c r="AI133" s="1"/>
      <c r="AJ133" s="1"/>
      <c r="AK133" s="1"/>
    </row>
    <row r="134" spans="1:37" ht="48.75" customHeight="1" x14ac:dyDescent="0.25">
      <c r="A134" s="1" t="s">
        <v>827</v>
      </c>
      <c r="B134" s="1" t="s">
        <v>467</v>
      </c>
      <c r="C134" s="1" t="s">
        <v>352</v>
      </c>
      <c r="D134" s="1">
        <v>1</v>
      </c>
      <c r="E134" s="1">
        <v>70</v>
      </c>
      <c r="F134">
        <f>E134-4</f>
        <v>66</v>
      </c>
      <c r="G134" s="1">
        <v>70</v>
      </c>
      <c r="H134" s="1"/>
      <c r="I134" s="1"/>
      <c r="J134" s="1">
        <v>375</v>
      </c>
      <c r="K134" s="1" t="s">
        <v>833</v>
      </c>
      <c r="L134" s="1"/>
      <c r="M134" s="1"/>
      <c r="N134" s="1"/>
      <c r="O134" s="1"/>
      <c r="P134" s="1"/>
      <c r="Q134" s="1"/>
      <c r="R134" s="1"/>
      <c r="S134" s="1"/>
      <c r="T134" s="1"/>
      <c r="V134" s="1"/>
      <c r="W134" s="1" t="s">
        <v>829</v>
      </c>
      <c r="X134" s="1" t="s">
        <v>832</v>
      </c>
      <c r="Y134" s="1" t="s">
        <v>828</v>
      </c>
      <c r="Z134" s="1"/>
      <c r="AA134" s="1" t="s">
        <v>61</v>
      </c>
      <c r="AB134" s="1"/>
      <c r="AC134" t="s">
        <v>831</v>
      </c>
      <c r="AD134" s="1">
        <v>95000</v>
      </c>
      <c r="AE134" s="1" t="s">
        <v>830</v>
      </c>
      <c r="AF134" s="1">
        <v>15400</v>
      </c>
      <c r="AG134" s="1">
        <v>4300</v>
      </c>
      <c r="AH134" s="1"/>
      <c r="AI134" s="1"/>
      <c r="AJ134" s="1"/>
      <c r="AK134" s="1"/>
    </row>
    <row r="135" spans="1:37" ht="27.75" customHeight="1" x14ac:dyDescent="0.25">
      <c r="A135" s="26" t="s">
        <v>834</v>
      </c>
      <c r="B135" s="26" t="s">
        <v>861</v>
      </c>
      <c r="C135" s="26" t="s">
        <v>352</v>
      </c>
      <c r="W135" t="s">
        <v>732</v>
      </c>
      <c r="AC135" s="73" t="s">
        <v>860</v>
      </c>
    </row>
    <row r="136" spans="1:37" ht="47.25" customHeight="1" x14ac:dyDescent="0.25">
      <c r="A136" s="26" t="s">
        <v>835</v>
      </c>
      <c r="B136" s="26" t="s">
        <v>862</v>
      </c>
      <c r="C136" s="26" t="s">
        <v>350</v>
      </c>
      <c r="D136" s="26">
        <v>1</v>
      </c>
      <c r="E136" s="26">
        <v>20</v>
      </c>
      <c r="F136" s="26">
        <v>20</v>
      </c>
      <c r="G136" s="26">
        <v>20</v>
      </c>
      <c r="J136" s="26">
        <v>19</v>
      </c>
      <c r="K136" s="2" t="s">
        <v>864</v>
      </c>
      <c r="L136" s="26">
        <v>100</v>
      </c>
      <c r="M136" s="26">
        <v>0</v>
      </c>
      <c r="N136" s="26">
        <v>0</v>
      </c>
      <c r="O136" s="26">
        <v>0</v>
      </c>
      <c r="P136" s="26">
        <v>0</v>
      </c>
      <c r="Q136" s="26">
        <v>1</v>
      </c>
      <c r="W136" s="1" t="s">
        <v>863</v>
      </c>
      <c r="Y136" s="1" t="s">
        <v>56</v>
      </c>
      <c r="AA136" s="1" t="s">
        <v>60</v>
      </c>
      <c r="AB136" t="s">
        <v>5340</v>
      </c>
      <c r="AC136" s="73" t="s">
        <v>866</v>
      </c>
      <c r="AD136" s="1">
        <v>40000</v>
      </c>
      <c r="AE136" t="s">
        <v>865</v>
      </c>
      <c r="AF136" s="1">
        <v>2500</v>
      </c>
      <c r="AG136" s="1">
        <v>2000</v>
      </c>
    </row>
    <row r="137" spans="1:37" ht="42" customHeight="1" x14ac:dyDescent="0.25">
      <c r="A137" s="26" t="s">
        <v>836</v>
      </c>
      <c r="B137" s="26" t="s">
        <v>867</v>
      </c>
      <c r="C137" s="26" t="s">
        <v>350</v>
      </c>
      <c r="D137" s="26">
        <v>1</v>
      </c>
      <c r="J137" s="26">
        <v>85</v>
      </c>
      <c r="X137" s="1" t="s">
        <v>868</v>
      </c>
      <c r="Z137" t="s">
        <v>327</v>
      </c>
      <c r="AC137" s="51" t="s">
        <v>869</v>
      </c>
    </row>
    <row r="138" spans="1:37" ht="33" customHeight="1" x14ac:dyDescent="0.25">
      <c r="A138" s="26" t="s">
        <v>837</v>
      </c>
      <c r="B138" s="26" t="s">
        <v>870</v>
      </c>
      <c r="C138" s="2" t="s">
        <v>352</v>
      </c>
      <c r="D138" s="26">
        <v>1</v>
      </c>
      <c r="E138" s="26">
        <v>55</v>
      </c>
      <c r="F138" s="26">
        <v>55</v>
      </c>
      <c r="G138" s="26">
        <v>55</v>
      </c>
      <c r="J138" s="26">
        <v>61</v>
      </c>
      <c r="K138" s="2" t="s">
        <v>879</v>
      </c>
      <c r="V138" t="s">
        <v>875</v>
      </c>
      <c r="W138" s="1" t="s">
        <v>871</v>
      </c>
      <c r="Y138" s="1" t="s">
        <v>56</v>
      </c>
      <c r="AA138" s="1" t="s">
        <v>60</v>
      </c>
      <c r="AC138" t="s">
        <v>873</v>
      </c>
      <c r="AD138" s="1">
        <v>156000</v>
      </c>
      <c r="AE138" s="1" t="s">
        <v>872</v>
      </c>
      <c r="AF138">
        <v>7194</v>
      </c>
      <c r="AG138">
        <v>10908</v>
      </c>
    </row>
    <row r="139" spans="1:37" ht="36.75" customHeight="1" x14ac:dyDescent="0.25">
      <c r="A139" s="26" t="s">
        <v>838</v>
      </c>
      <c r="B139" s="2" t="s">
        <v>882</v>
      </c>
      <c r="C139" s="26" t="s">
        <v>350</v>
      </c>
      <c r="D139" s="26">
        <v>1</v>
      </c>
      <c r="E139" s="26">
        <v>30</v>
      </c>
      <c r="F139" s="26">
        <v>30</v>
      </c>
      <c r="H139" s="26">
        <v>49</v>
      </c>
      <c r="J139" s="26">
        <v>100</v>
      </c>
      <c r="K139" s="2" t="s">
        <v>889</v>
      </c>
      <c r="V139" s="1" t="s">
        <v>886</v>
      </c>
      <c r="W139" t="s">
        <v>885</v>
      </c>
      <c r="X139" s="1" t="s">
        <v>888</v>
      </c>
      <c r="Y139" t="s">
        <v>56</v>
      </c>
      <c r="Z139" s="1" t="s">
        <v>327</v>
      </c>
      <c r="AA139" t="s">
        <v>61</v>
      </c>
      <c r="AB139" t="s">
        <v>883</v>
      </c>
      <c r="AC139" t="s">
        <v>887</v>
      </c>
      <c r="AD139">
        <v>250000</v>
      </c>
      <c r="AE139" t="s">
        <v>884</v>
      </c>
      <c r="AF139">
        <v>6000</v>
      </c>
      <c r="AG139">
        <v>35000</v>
      </c>
    </row>
    <row r="140" spans="1:37" ht="41.25" customHeight="1" x14ac:dyDescent="0.25">
      <c r="A140" s="26" t="s">
        <v>839</v>
      </c>
      <c r="B140" s="26" t="s">
        <v>892</v>
      </c>
      <c r="C140" s="2" t="s">
        <v>352</v>
      </c>
      <c r="D140" s="26">
        <v>1</v>
      </c>
      <c r="E140" s="26">
        <v>50</v>
      </c>
      <c r="F140" s="26">
        <v>50</v>
      </c>
      <c r="G140" s="26">
        <v>50</v>
      </c>
      <c r="J140" s="26">
        <v>20</v>
      </c>
      <c r="K140" s="2" t="s">
        <v>897</v>
      </c>
      <c r="W140" s="1" t="s">
        <v>893</v>
      </c>
      <c r="Y140" s="1" t="s">
        <v>56</v>
      </c>
      <c r="AB140" t="s">
        <v>895</v>
      </c>
      <c r="AC140" t="s">
        <v>894</v>
      </c>
      <c r="AD140" s="1">
        <v>70000</v>
      </c>
      <c r="AE140" t="s">
        <v>896</v>
      </c>
      <c r="AF140">
        <v>11000</v>
      </c>
      <c r="AG140">
        <v>5000</v>
      </c>
    </row>
    <row r="141" spans="1:37" ht="49.5" customHeight="1" x14ac:dyDescent="0.25">
      <c r="A141" s="26" t="s">
        <v>840</v>
      </c>
      <c r="B141" s="2" t="s">
        <v>899</v>
      </c>
      <c r="C141" s="26" t="s">
        <v>350</v>
      </c>
      <c r="J141" s="26">
        <v>15</v>
      </c>
      <c r="Z141" t="s">
        <v>327</v>
      </c>
      <c r="AC141" t="s">
        <v>898</v>
      </c>
    </row>
    <row r="142" spans="1:37" ht="55.5" customHeight="1" x14ac:dyDescent="0.25">
      <c r="A142" s="26" t="s">
        <v>841</v>
      </c>
      <c r="B142" s="26" t="s">
        <v>654</v>
      </c>
      <c r="C142" s="2" t="s">
        <v>352</v>
      </c>
      <c r="D142" s="26">
        <v>1</v>
      </c>
      <c r="E142" s="26">
        <v>140</v>
      </c>
      <c r="F142" s="26">
        <v>140</v>
      </c>
      <c r="G142" s="26">
        <v>140</v>
      </c>
      <c r="J142" s="26">
        <v>25</v>
      </c>
      <c r="K142" s="2" t="s">
        <v>902</v>
      </c>
      <c r="L142" s="26">
        <v>100</v>
      </c>
      <c r="M142" s="26">
        <v>0</v>
      </c>
      <c r="N142" s="26">
        <v>0</v>
      </c>
      <c r="O142" s="26">
        <v>0</v>
      </c>
      <c r="P142" s="26">
        <v>0</v>
      </c>
      <c r="V142" s="1" t="s">
        <v>901</v>
      </c>
      <c r="W142" s="1" t="s">
        <v>732</v>
      </c>
      <c r="Y142" t="s">
        <v>56</v>
      </c>
      <c r="AA142" t="s">
        <v>60</v>
      </c>
      <c r="AC142" t="s">
        <v>903</v>
      </c>
      <c r="AD142" s="1">
        <v>288000</v>
      </c>
      <c r="AE142" t="s">
        <v>900</v>
      </c>
      <c r="AF142">
        <v>10500</v>
      </c>
      <c r="AG142">
        <v>3500</v>
      </c>
    </row>
    <row r="143" spans="1:37" ht="80.25" customHeight="1" x14ac:dyDescent="0.25">
      <c r="A143" s="26" t="s">
        <v>842</v>
      </c>
      <c r="B143" s="26" t="s">
        <v>908</v>
      </c>
      <c r="C143" s="2" t="s">
        <v>352</v>
      </c>
      <c r="D143" s="26">
        <v>1</v>
      </c>
      <c r="E143" s="26">
        <v>40</v>
      </c>
      <c r="F143" s="26">
        <v>40</v>
      </c>
      <c r="G143" s="26">
        <v>40</v>
      </c>
      <c r="J143" s="26">
        <v>25</v>
      </c>
      <c r="K143" s="2" t="s">
        <v>912</v>
      </c>
      <c r="L143" s="26">
        <v>100</v>
      </c>
      <c r="M143" s="26">
        <v>0</v>
      </c>
      <c r="N143" s="26">
        <v>0</v>
      </c>
      <c r="O143" s="26">
        <v>0</v>
      </c>
      <c r="P143" s="26">
        <v>0</v>
      </c>
      <c r="W143" s="1" t="s">
        <v>909</v>
      </c>
      <c r="Y143" t="s">
        <v>56</v>
      </c>
      <c r="Z143" s="1" t="s">
        <v>772</v>
      </c>
      <c r="AA143" s="1" t="s">
        <v>60</v>
      </c>
      <c r="AB143" t="s">
        <v>910</v>
      </c>
      <c r="AC143" s="51" t="s">
        <v>913</v>
      </c>
      <c r="AD143">
        <v>45000</v>
      </c>
      <c r="AE143" t="s">
        <v>911</v>
      </c>
      <c r="AF143">
        <v>3000</v>
      </c>
    </row>
    <row r="144" spans="1:37" ht="63.75" customHeight="1" x14ac:dyDescent="0.25">
      <c r="A144" s="26" t="s">
        <v>843</v>
      </c>
      <c r="B144" s="26" t="s">
        <v>914</v>
      </c>
      <c r="C144" s="2" t="s">
        <v>352</v>
      </c>
      <c r="D144" s="26">
        <v>1</v>
      </c>
      <c r="E144" s="26">
        <v>21</v>
      </c>
      <c r="F144" s="26">
        <v>21</v>
      </c>
      <c r="G144" s="26">
        <v>21</v>
      </c>
      <c r="J144" s="26">
        <v>20</v>
      </c>
      <c r="K144" s="2" t="s">
        <v>918</v>
      </c>
      <c r="L144" s="26">
        <v>0</v>
      </c>
      <c r="M144" s="26">
        <v>0</v>
      </c>
      <c r="N144" s="26">
        <v>0</v>
      </c>
      <c r="O144" s="26">
        <v>100</v>
      </c>
      <c r="P144" s="26">
        <v>0</v>
      </c>
      <c r="W144" s="1" t="s">
        <v>590</v>
      </c>
      <c r="Y144" t="s">
        <v>56</v>
      </c>
      <c r="AA144" s="1" t="s">
        <v>60</v>
      </c>
      <c r="AB144" s="1" t="s">
        <v>915</v>
      </c>
      <c r="AC144" s="73" t="s">
        <v>917</v>
      </c>
      <c r="AD144" s="1">
        <v>36000</v>
      </c>
      <c r="AE144" t="s">
        <v>916</v>
      </c>
      <c r="AF144">
        <v>3000</v>
      </c>
      <c r="AG144">
        <v>1800</v>
      </c>
    </row>
    <row r="145" spans="1:33" ht="79.5" customHeight="1" x14ac:dyDescent="0.25">
      <c r="A145" s="26" t="s">
        <v>844</v>
      </c>
      <c r="B145" s="26" t="s">
        <v>919</v>
      </c>
      <c r="C145" s="26" t="s">
        <v>350</v>
      </c>
      <c r="D145" s="26">
        <v>1</v>
      </c>
      <c r="E145" s="26">
        <v>53</v>
      </c>
      <c r="F145">
        <v>53</v>
      </c>
      <c r="G145" s="26">
        <v>53</v>
      </c>
      <c r="J145" s="26">
        <v>31</v>
      </c>
      <c r="K145" s="2" t="s">
        <v>5273</v>
      </c>
      <c r="L145" s="26">
        <v>50</v>
      </c>
      <c r="M145" s="26">
        <v>0</v>
      </c>
      <c r="N145" s="26">
        <v>0</v>
      </c>
      <c r="O145" s="26">
        <v>50</v>
      </c>
      <c r="P145" s="26">
        <v>0</v>
      </c>
      <c r="Q145" s="26">
        <v>1</v>
      </c>
      <c r="T145" s="26">
        <v>1</v>
      </c>
      <c r="V145" s="1" t="s">
        <v>928</v>
      </c>
      <c r="W145" s="1" t="s">
        <v>929</v>
      </c>
      <c r="Y145" s="1" t="s">
        <v>921</v>
      </c>
      <c r="AA145" s="1" t="s">
        <v>60</v>
      </c>
      <c r="AB145" s="51" t="s">
        <v>926</v>
      </c>
      <c r="AD145">
        <v>87000</v>
      </c>
      <c r="AE145" t="s">
        <v>920</v>
      </c>
      <c r="AF145">
        <v>4420</v>
      </c>
      <c r="AG145">
        <v>7610</v>
      </c>
    </row>
    <row r="146" spans="1:33" ht="40.5" customHeight="1" x14ac:dyDescent="0.25">
      <c r="A146" s="26" t="s">
        <v>924</v>
      </c>
      <c r="B146" s="2" t="s">
        <v>923</v>
      </c>
      <c r="C146" s="26" t="s">
        <v>350</v>
      </c>
      <c r="K146" s="2" t="s">
        <v>927</v>
      </c>
      <c r="W146" s="1" t="s">
        <v>925</v>
      </c>
      <c r="Y146" t="s">
        <v>56</v>
      </c>
      <c r="Z146" s="1" t="s">
        <v>89</v>
      </c>
      <c r="AA146" s="1" t="s">
        <v>61</v>
      </c>
      <c r="AC146" s="51" t="s">
        <v>922</v>
      </c>
    </row>
    <row r="147" spans="1:33" ht="75" x14ac:dyDescent="0.25">
      <c r="A147" s="26" t="s">
        <v>930</v>
      </c>
      <c r="B147" s="26" t="s">
        <v>931</v>
      </c>
      <c r="C147" s="26" t="s">
        <v>350</v>
      </c>
      <c r="D147" s="26">
        <v>1</v>
      </c>
      <c r="E147" s="26">
        <v>10.5</v>
      </c>
      <c r="F147" s="26">
        <v>10.5</v>
      </c>
      <c r="G147" s="26">
        <v>10.5</v>
      </c>
      <c r="K147" s="2" t="s">
        <v>933</v>
      </c>
      <c r="W147" s="1" t="s">
        <v>278</v>
      </c>
      <c r="Y147" t="s">
        <v>56</v>
      </c>
      <c r="Z147" s="1" t="s">
        <v>932</v>
      </c>
      <c r="AA147" s="1" t="s">
        <v>61</v>
      </c>
      <c r="AC147" s="51" t="s">
        <v>922</v>
      </c>
    </row>
    <row r="148" spans="1:33" ht="75" x14ac:dyDescent="0.25">
      <c r="A148" s="26" t="s">
        <v>934</v>
      </c>
      <c r="B148" s="26" t="s">
        <v>935</v>
      </c>
      <c r="C148" s="26" t="s">
        <v>350</v>
      </c>
      <c r="D148" s="26">
        <v>1</v>
      </c>
      <c r="E148" s="26">
        <v>16.8</v>
      </c>
      <c r="F148" s="26">
        <v>16.8</v>
      </c>
      <c r="G148" s="26">
        <v>16.8</v>
      </c>
      <c r="J148" s="26">
        <v>20</v>
      </c>
      <c r="K148" s="2" t="s">
        <v>937</v>
      </c>
      <c r="L148" s="26">
        <v>100</v>
      </c>
      <c r="M148" s="26">
        <v>0</v>
      </c>
      <c r="N148" s="26">
        <v>0</v>
      </c>
      <c r="O148" s="26">
        <v>0</v>
      </c>
      <c r="P148" s="26">
        <v>0</v>
      </c>
      <c r="Q148" s="26">
        <v>1</v>
      </c>
      <c r="Y148" t="s">
        <v>56</v>
      </c>
      <c r="Z148" s="1" t="s">
        <v>932</v>
      </c>
      <c r="AA148" s="1" t="s">
        <v>61</v>
      </c>
      <c r="AB148" s="1" t="s">
        <v>936</v>
      </c>
      <c r="AC148" s="51" t="s">
        <v>922</v>
      </c>
    </row>
    <row r="149" spans="1:33" ht="61.5" customHeight="1" x14ac:dyDescent="0.25">
      <c r="A149" s="26" t="s">
        <v>845</v>
      </c>
      <c r="B149" s="26" t="s">
        <v>654</v>
      </c>
      <c r="C149" s="2" t="s">
        <v>352</v>
      </c>
      <c r="D149" s="26">
        <v>1</v>
      </c>
      <c r="E149" s="26">
        <v>10</v>
      </c>
      <c r="F149" s="26">
        <v>10</v>
      </c>
      <c r="G149" s="26">
        <v>10</v>
      </c>
      <c r="J149" s="26">
        <v>23</v>
      </c>
      <c r="K149" s="2" t="s">
        <v>938</v>
      </c>
      <c r="L149" s="26">
        <v>100</v>
      </c>
      <c r="M149" s="26">
        <v>0</v>
      </c>
      <c r="N149" s="26">
        <v>0</v>
      </c>
      <c r="O149" s="26">
        <v>0</v>
      </c>
      <c r="P149" s="26">
        <v>0</v>
      </c>
      <c r="Q149" s="26">
        <v>1</v>
      </c>
      <c r="Y149" t="s">
        <v>56</v>
      </c>
      <c r="Z149" s="1" t="s">
        <v>644</v>
      </c>
      <c r="AA149" s="1" t="s">
        <v>61</v>
      </c>
      <c r="AB149" s="1" t="s">
        <v>941</v>
      </c>
      <c r="AC149" t="s">
        <v>939</v>
      </c>
      <c r="AD149">
        <v>236739</v>
      </c>
      <c r="AE149" t="s">
        <v>940</v>
      </c>
      <c r="AF149">
        <v>4992</v>
      </c>
      <c r="AG149">
        <v>11000</v>
      </c>
    </row>
    <row r="150" spans="1:33" ht="108" customHeight="1" x14ac:dyDescent="0.25">
      <c r="A150" s="26" t="s">
        <v>846</v>
      </c>
      <c r="B150" s="26" t="s">
        <v>654</v>
      </c>
      <c r="C150" s="2" t="s">
        <v>352</v>
      </c>
      <c r="D150" s="26">
        <v>1</v>
      </c>
      <c r="E150" s="26">
        <v>45</v>
      </c>
      <c r="F150" s="26">
        <v>45</v>
      </c>
      <c r="G150" s="26">
        <v>45</v>
      </c>
      <c r="J150" s="26">
        <v>18</v>
      </c>
      <c r="K150" s="2" t="s">
        <v>943</v>
      </c>
      <c r="L150" s="26">
        <v>0</v>
      </c>
      <c r="M150" s="26">
        <v>83</v>
      </c>
      <c r="N150" s="26">
        <v>0</v>
      </c>
      <c r="O150" s="26">
        <v>0</v>
      </c>
      <c r="P150" s="26">
        <v>17</v>
      </c>
      <c r="R150" s="26">
        <v>5</v>
      </c>
      <c r="U150">
        <v>1</v>
      </c>
      <c r="W150" s="1" t="s">
        <v>732</v>
      </c>
      <c r="Y150" t="s">
        <v>56</v>
      </c>
      <c r="AA150" s="1" t="s">
        <v>61</v>
      </c>
      <c r="AB150" t="s">
        <v>942</v>
      </c>
      <c r="AC150" t="s">
        <v>944</v>
      </c>
      <c r="AD150">
        <v>60000</v>
      </c>
      <c r="AE150" t="s">
        <v>945</v>
      </c>
      <c r="AF150">
        <v>5000</v>
      </c>
      <c r="AG150">
        <v>5000</v>
      </c>
    </row>
    <row r="151" spans="1:33" ht="113.25" customHeight="1" x14ac:dyDescent="0.25">
      <c r="A151" s="26" t="s">
        <v>847</v>
      </c>
      <c r="B151" s="2" t="s">
        <v>949</v>
      </c>
      <c r="C151" s="26" t="s">
        <v>350</v>
      </c>
      <c r="D151" s="26">
        <v>2</v>
      </c>
      <c r="J151" s="26">
        <v>28</v>
      </c>
      <c r="K151" s="2" t="s">
        <v>5274</v>
      </c>
      <c r="Q151" s="26">
        <v>2</v>
      </c>
      <c r="S151" s="26">
        <v>1</v>
      </c>
      <c r="T151" s="26">
        <v>9</v>
      </c>
      <c r="V151" s="1" t="s">
        <v>952</v>
      </c>
      <c r="W151" s="1" t="s">
        <v>946</v>
      </c>
      <c r="X151" s="1" t="s">
        <v>951</v>
      </c>
      <c r="Y151" s="1" t="s">
        <v>56</v>
      </c>
      <c r="Z151" s="1" t="s">
        <v>947</v>
      </c>
      <c r="AA151" s="1" t="s">
        <v>61</v>
      </c>
      <c r="AB151" t="s">
        <v>948</v>
      </c>
      <c r="AC151" t="s">
        <v>950</v>
      </c>
    </row>
    <row r="152" spans="1:33" ht="104.25" customHeight="1" x14ac:dyDescent="0.25">
      <c r="A152" s="26" t="s">
        <v>848</v>
      </c>
      <c r="B152" s="2" t="s">
        <v>956</v>
      </c>
      <c r="C152" s="26" t="s">
        <v>350</v>
      </c>
      <c r="D152" s="26">
        <v>2</v>
      </c>
      <c r="E152" s="26">
        <v>490</v>
      </c>
      <c r="F152" s="26">
        <v>490</v>
      </c>
      <c r="G152" s="26">
        <f>E152/D152</f>
        <v>245</v>
      </c>
      <c r="J152" s="26">
        <v>28</v>
      </c>
      <c r="K152" s="2" t="s">
        <v>5313</v>
      </c>
      <c r="L152" s="26">
        <v>0</v>
      </c>
      <c r="M152" s="26">
        <v>24.3</v>
      </c>
      <c r="N152" s="26">
        <v>0</v>
      </c>
      <c r="O152" s="26">
        <v>65.7</v>
      </c>
      <c r="P152" s="26">
        <v>10</v>
      </c>
      <c r="R152" s="26">
        <v>12</v>
      </c>
      <c r="T152" s="26">
        <v>10</v>
      </c>
      <c r="U152" s="26">
        <v>1</v>
      </c>
      <c r="V152" s="1" t="s">
        <v>957</v>
      </c>
      <c r="W152" s="1" t="s">
        <v>955</v>
      </c>
      <c r="X152" s="1" t="s">
        <v>958</v>
      </c>
      <c r="Y152" t="s">
        <v>56</v>
      </c>
      <c r="Z152" s="1" t="s">
        <v>947</v>
      </c>
      <c r="AA152" s="1" t="s">
        <v>60</v>
      </c>
      <c r="AB152" s="1" t="s">
        <v>954</v>
      </c>
      <c r="AC152" t="s">
        <v>3514</v>
      </c>
      <c r="AE152" s="1" t="s">
        <v>953</v>
      </c>
      <c r="AF152">
        <v>50000</v>
      </c>
      <c r="AG152">
        <v>10000</v>
      </c>
    </row>
    <row r="153" spans="1:33" ht="87.75" customHeight="1" x14ac:dyDescent="0.25">
      <c r="A153" s="26" t="s">
        <v>849</v>
      </c>
      <c r="B153" s="26" t="s">
        <v>849</v>
      </c>
      <c r="C153" s="26" t="s">
        <v>350</v>
      </c>
      <c r="D153" s="26">
        <v>1</v>
      </c>
      <c r="E153" s="26">
        <v>45</v>
      </c>
      <c r="F153" s="26">
        <v>45</v>
      </c>
      <c r="G153" s="26">
        <v>45</v>
      </c>
      <c r="J153" s="26">
        <v>47</v>
      </c>
      <c r="K153" s="2" t="s">
        <v>962</v>
      </c>
      <c r="L153" s="26">
        <v>100</v>
      </c>
      <c r="M153" s="26">
        <v>0</v>
      </c>
      <c r="N153" s="26">
        <v>0</v>
      </c>
      <c r="O153" s="26">
        <v>0</v>
      </c>
      <c r="P153" s="26">
        <v>0</v>
      </c>
      <c r="Q153" s="26">
        <v>3</v>
      </c>
      <c r="V153" s="1" t="s">
        <v>616</v>
      </c>
      <c r="W153" s="1" t="s">
        <v>959</v>
      </c>
      <c r="X153" s="1" t="s">
        <v>961</v>
      </c>
      <c r="Y153" s="1" t="s">
        <v>56</v>
      </c>
      <c r="Z153" s="1" t="s">
        <v>772</v>
      </c>
      <c r="AA153" s="1" t="s">
        <v>60</v>
      </c>
      <c r="AB153" s="1" t="s">
        <v>964</v>
      </c>
      <c r="AC153" t="s">
        <v>963</v>
      </c>
      <c r="AD153">
        <v>130000</v>
      </c>
      <c r="AE153" t="s">
        <v>960</v>
      </c>
      <c r="AF153">
        <v>4500</v>
      </c>
      <c r="AG153">
        <v>5500</v>
      </c>
    </row>
    <row r="154" spans="1:33" ht="75" x14ac:dyDescent="0.25">
      <c r="A154" s="26" t="s">
        <v>850</v>
      </c>
      <c r="B154" s="26" t="s">
        <v>965</v>
      </c>
      <c r="C154" s="2" t="s">
        <v>352</v>
      </c>
      <c r="D154" s="26">
        <v>1</v>
      </c>
      <c r="E154" s="26">
        <v>35</v>
      </c>
      <c r="F154" s="26">
        <v>35</v>
      </c>
      <c r="G154" s="26">
        <v>35</v>
      </c>
      <c r="J154" s="26">
        <v>44</v>
      </c>
      <c r="K154" s="2" t="s">
        <v>970</v>
      </c>
      <c r="R154" s="26">
        <v>3</v>
      </c>
      <c r="S154" s="26">
        <v>1</v>
      </c>
      <c r="V154" s="1" t="s">
        <v>968</v>
      </c>
      <c r="W154" s="1" t="s">
        <v>732</v>
      </c>
      <c r="Y154" t="s">
        <v>56</v>
      </c>
      <c r="Z154" s="1" t="s">
        <v>772</v>
      </c>
      <c r="AA154" s="1" t="s">
        <v>60</v>
      </c>
      <c r="AB154" t="s">
        <v>966</v>
      </c>
      <c r="AC154" t="s">
        <v>969</v>
      </c>
      <c r="AD154">
        <v>60000</v>
      </c>
      <c r="AE154" t="s">
        <v>967</v>
      </c>
      <c r="AF154">
        <v>2172</v>
      </c>
      <c r="AG154">
        <v>2178</v>
      </c>
    </row>
    <row r="155" spans="1:33" ht="54" customHeight="1" x14ac:dyDescent="0.25">
      <c r="A155" s="26" t="s">
        <v>975</v>
      </c>
      <c r="B155" s="26" t="s">
        <v>654</v>
      </c>
      <c r="C155" s="2" t="s">
        <v>352</v>
      </c>
      <c r="D155" s="26">
        <v>1</v>
      </c>
      <c r="E155" s="26">
        <v>52</v>
      </c>
      <c r="F155" s="26">
        <v>52</v>
      </c>
      <c r="G155" s="26">
        <v>52</v>
      </c>
      <c r="J155" s="26">
        <v>70</v>
      </c>
      <c r="K155" s="2" t="s">
        <v>974</v>
      </c>
      <c r="L155" s="26">
        <v>0</v>
      </c>
      <c r="M155" s="26">
        <v>0</v>
      </c>
      <c r="N155" s="26">
        <v>0</v>
      </c>
      <c r="O155" s="26">
        <v>100</v>
      </c>
      <c r="P155" s="26">
        <v>0</v>
      </c>
      <c r="T155" s="26">
        <v>1</v>
      </c>
      <c r="W155" s="1" t="s">
        <v>971</v>
      </c>
      <c r="Y155" t="s">
        <v>56</v>
      </c>
      <c r="AA155" s="1" t="s">
        <v>61</v>
      </c>
      <c r="AC155" s="73" t="s">
        <v>972</v>
      </c>
      <c r="AD155">
        <v>64000</v>
      </c>
      <c r="AE155" t="s">
        <v>973</v>
      </c>
      <c r="AF155">
        <v>7500</v>
      </c>
      <c r="AG155">
        <v>7400</v>
      </c>
    </row>
    <row r="156" spans="1:33" ht="36.75" customHeight="1" x14ac:dyDescent="0.25">
      <c r="A156" s="26" t="s">
        <v>851</v>
      </c>
      <c r="B156" s="26" t="s">
        <v>654</v>
      </c>
      <c r="C156" s="2" t="s">
        <v>352</v>
      </c>
      <c r="D156" s="26">
        <v>1</v>
      </c>
      <c r="E156" s="26">
        <v>20</v>
      </c>
      <c r="F156" s="26">
        <v>20</v>
      </c>
      <c r="G156" s="26">
        <v>20</v>
      </c>
      <c r="J156" s="26">
        <v>14</v>
      </c>
      <c r="K156" s="2" t="s">
        <v>978</v>
      </c>
      <c r="L156" s="26">
        <v>0</v>
      </c>
      <c r="M156" s="26">
        <v>100</v>
      </c>
      <c r="N156" s="26">
        <v>0</v>
      </c>
      <c r="O156" s="26">
        <v>0</v>
      </c>
      <c r="P156" s="26">
        <v>0</v>
      </c>
      <c r="R156" s="26">
        <v>7</v>
      </c>
      <c r="W156" s="1" t="s">
        <v>732</v>
      </c>
      <c r="Y156" t="s">
        <v>56</v>
      </c>
      <c r="Z156" s="1" t="s">
        <v>644</v>
      </c>
      <c r="AA156" s="1" t="s">
        <v>61</v>
      </c>
      <c r="AB156" s="1" t="s">
        <v>977</v>
      </c>
      <c r="AC156" t="s">
        <v>979</v>
      </c>
      <c r="AD156">
        <v>30000</v>
      </c>
      <c r="AE156" t="s">
        <v>976</v>
      </c>
      <c r="AF156">
        <v>2500</v>
      </c>
      <c r="AG156">
        <v>1000</v>
      </c>
    </row>
    <row r="157" spans="1:33" ht="71.25" customHeight="1" x14ac:dyDescent="0.25">
      <c r="A157" s="2" t="s">
        <v>982</v>
      </c>
      <c r="B157" s="26" t="s">
        <v>654</v>
      </c>
      <c r="C157" s="2" t="s">
        <v>352</v>
      </c>
      <c r="D157" s="26">
        <v>1</v>
      </c>
      <c r="E157" s="26">
        <v>34</v>
      </c>
      <c r="F157" s="26">
        <v>34</v>
      </c>
      <c r="G157" s="26">
        <v>34</v>
      </c>
      <c r="J157" s="26">
        <v>21</v>
      </c>
      <c r="K157" s="2" t="s">
        <v>983</v>
      </c>
      <c r="L157" s="26">
        <v>100</v>
      </c>
      <c r="M157" s="26">
        <v>0</v>
      </c>
      <c r="N157" s="26">
        <v>0</v>
      </c>
      <c r="O157" s="26">
        <v>0</v>
      </c>
      <c r="P157" s="26">
        <v>0</v>
      </c>
      <c r="Q157" s="26">
        <v>2</v>
      </c>
      <c r="W157" s="1" t="s">
        <v>980</v>
      </c>
      <c r="X157" s="1" t="s">
        <v>985</v>
      </c>
      <c r="Y157" t="s">
        <v>56</v>
      </c>
      <c r="Z157" s="1" t="s">
        <v>644</v>
      </c>
      <c r="AA157" s="1" t="s">
        <v>61</v>
      </c>
      <c r="AB157" s="1" t="s">
        <v>986</v>
      </c>
      <c r="AC157" t="s">
        <v>984</v>
      </c>
      <c r="AD157">
        <v>70000</v>
      </c>
      <c r="AE157" t="s">
        <v>981</v>
      </c>
      <c r="AF157">
        <v>4000</v>
      </c>
      <c r="AG157">
        <v>3494</v>
      </c>
    </row>
    <row r="158" spans="1:33" ht="75" x14ac:dyDescent="0.25">
      <c r="A158" s="2" t="s">
        <v>852</v>
      </c>
      <c r="B158" s="26" t="s">
        <v>654</v>
      </c>
      <c r="C158" s="2" t="s">
        <v>352</v>
      </c>
      <c r="D158" s="26">
        <v>1</v>
      </c>
      <c r="E158" s="26">
        <v>50</v>
      </c>
      <c r="F158" s="26">
        <v>50</v>
      </c>
      <c r="G158" s="26">
        <v>50</v>
      </c>
      <c r="J158" s="26">
        <v>14</v>
      </c>
      <c r="K158" s="2" t="s">
        <v>991</v>
      </c>
      <c r="L158" s="26">
        <v>0</v>
      </c>
      <c r="M158" s="26">
        <v>0</v>
      </c>
      <c r="N158" s="26">
        <v>0</v>
      </c>
      <c r="O158" s="26">
        <v>100</v>
      </c>
      <c r="P158" s="26">
        <v>0</v>
      </c>
      <c r="W158" s="1" t="s">
        <v>989</v>
      </c>
      <c r="X158" s="1" t="s">
        <v>990</v>
      </c>
      <c r="Y158" t="s">
        <v>56</v>
      </c>
      <c r="AA158" s="1" t="s">
        <v>61</v>
      </c>
      <c r="AB158" t="s">
        <v>988</v>
      </c>
      <c r="AC158" s="51" t="s">
        <v>992</v>
      </c>
      <c r="AD158">
        <v>75000</v>
      </c>
      <c r="AE158" t="s">
        <v>987</v>
      </c>
      <c r="AF158">
        <v>5500</v>
      </c>
      <c r="AG158">
        <v>4000</v>
      </c>
    </row>
    <row r="159" spans="1:33" ht="67.5" customHeight="1" x14ac:dyDescent="0.25">
      <c r="A159" s="2" t="s">
        <v>998</v>
      </c>
      <c r="B159" s="26" t="s">
        <v>993</v>
      </c>
      <c r="C159" s="2" t="s">
        <v>352</v>
      </c>
      <c r="D159" s="26">
        <v>1</v>
      </c>
      <c r="E159" s="26">
        <v>110</v>
      </c>
      <c r="F159" s="26">
        <v>110</v>
      </c>
      <c r="G159" s="26">
        <v>110</v>
      </c>
      <c r="H159" s="26">
        <v>35</v>
      </c>
      <c r="J159" s="26">
        <v>31</v>
      </c>
      <c r="K159" s="2" t="s">
        <v>1000</v>
      </c>
      <c r="L159" s="26">
        <v>60</v>
      </c>
      <c r="M159" s="26">
        <v>0</v>
      </c>
      <c r="N159" s="26">
        <v>0</v>
      </c>
      <c r="O159" s="26">
        <v>40</v>
      </c>
      <c r="P159" s="26">
        <v>0</v>
      </c>
      <c r="Q159" s="26">
        <v>1</v>
      </c>
      <c r="T159" s="26">
        <v>1</v>
      </c>
      <c r="V159" s="1" t="s">
        <v>875</v>
      </c>
      <c r="W159" s="1" t="s">
        <v>996</v>
      </c>
      <c r="X159" s="1" t="s">
        <v>995</v>
      </c>
      <c r="Y159" t="s">
        <v>56</v>
      </c>
      <c r="Z159" s="1" t="s">
        <v>999</v>
      </c>
      <c r="AA159" s="1" t="s">
        <v>60</v>
      </c>
      <c r="AB159" s="1" t="s">
        <v>977</v>
      </c>
      <c r="AC159" s="51" t="s">
        <v>997</v>
      </c>
      <c r="AD159">
        <v>150000</v>
      </c>
      <c r="AE159" t="s">
        <v>994</v>
      </c>
      <c r="AF159">
        <v>8000</v>
      </c>
    </row>
    <row r="160" spans="1:33" ht="126.75" customHeight="1" x14ac:dyDescent="0.25">
      <c r="A160" s="26" t="s">
        <v>853</v>
      </c>
      <c r="B160" s="26" t="s">
        <v>654</v>
      </c>
      <c r="C160" s="2" t="s">
        <v>352</v>
      </c>
      <c r="D160" s="26">
        <v>1</v>
      </c>
      <c r="E160" s="26">
        <v>20</v>
      </c>
      <c r="F160" s="26">
        <v>20</v>
      </c>
      <c r="G160" s="26">
        <v>20</v>
      </c>
      <c r="J160" s="26">
        <v>50</v>
      </c>
      <c r="K160" s="2" t="s">
        <v>1003</v>
      </c>
      <c r="W160" s="1" t="s">
        <v>732</v>
      </c>
      <c r="Y160" t="s">
        <v>56</v>
      </c>
      <c r="AA160" s="1" t="s">
        <v>60</v>
      </c>
      <c r="AB160" s="1" t="s">
        <v>977</v>
      </c>
      <c r="AD160">
        <v>35000</v>
      </c>
      <c r="AE160" t="s">
        <v>1002</v>
      </c>
      <c r="AF160">
        <v>2100</v>
      </c>
      <c r="AG160">
        <v>1900</v>
      </c>
    </row>
    <row r="161" spans="1:33" ht="58.5" customHeight="1" x14ac:dyDescent="0.25">
      <c r="A161" s="26" t="s">
        <v>1007</v>
      </c>
      <c r="B161" s="26" t="s">
        <v>1008</v>
      </c>
      <c r="C161" s="26" t="s">
        <v>350</v>
      </c>
      <c r="D161" s="26">
        <v>1</v>
      </c>
      <c r="E161" s="26">
        <v>800</v>
      </c>
      <c r="F161" s="26">
        <v>800</v>
      </c>
      <c r="G161" s="26">
        <f>E161/D161</f>
        <v>800</v>
      </c>
      <c r="J161" s="26">
        <v>9</v>
      </c>
      <c r="K161" s="2" t="s">
        <v>1022</v>
      </c>
      <c r="L161" s="26">
        <v>0</v>
      </c>
      <c r="M161" s="26">
        <v>0</v>
      </c>
      <c r="N161" s="26">
        <v>0</v>
      </c>
      <c r="O161" s="26">
        <v>0</v>
      </c>
      <c r="P161" s="26">
        <v>100</v>
      </c>
      <c r="U161">
        <v>1</v>
      </c>
      <c r="V161" s="1" t="s">
        <v>1012</v>
      </c>
      <c r="W161" s="1" t="s">
        <v>1009</v>
      </c>
      <c r="X161" s="1" t="s">
        <v>1014</v>
      </c>
      <c r="Y161" t="s">
        <v>56</v>
      </c>
      <c r="Z161" s="1" t="s">
        <v>327</v>
      </c>
      <c r="AA161" s="1" t="s">
        <v>60</v>
      </c>
      <c r="AB161" s="1" t="s">
        <v>1021</v>
      </c>
      <c r="AC161" t="s">
        <v>1013</v>
      </c>
      <c r="AD161">
        <v>10000</v>
      </c>
      <c r="AE161" t="s">
        <v>1011</v>
      </c>
      <c r="AF161">
        <v>100000</v>
      </c>
    </row>
    <row r="162" spans="1:33" ht="126" customHeight="1" x14ac:dyDescent="0.25">
      <c r="A162" s="2" t="s">
        <v>1017</v>
      </c>
      <c r="B162" s="2" t="s">
        <v>1018</v>
      </c>
      <c r="C162" s="26" t="s">
        <v>350</v>
      </c>
      <c r="D162" s="26">
        <v>3</v>
      </c>
      <c r="E162" s="26">
        <f>103+92+99+437+905+1000</f>
        <v>2636</v>
      </c>
      <c r="F162" s="26">
        <f>103+92+99+437+905+1000</f>
        <v>2636</v>
      </c>
      <c r="G162" s="26">
        <f>E162/D162</f>
        <v>878.66666666666663</v>
      </c>
      <c r="J162" s="26">
        <v>9</v>
      </c>
      <c r="K162" s="2" t="s">
        <v>5306</v>
      </c>
      <c r="L162" s="26">
        <v>4</v>
      </c>
      <c r="M162" s="26">
        <v>0</v>
      </c>
      <c r="N162" s="26">
        <v>16.5</v>
      </c>
      <c r="O162" s="26">
        <v>3.5</v>
      </c>
      <c r="P162" s="26">
        <v>76</v>
      </c>
      <c r="Q162" s="26">
        <v>1</v>
      </c>
      <c r="S162" s="26">
        <v>1</v>
      </c>
      <c r="T162" s="26">
        <v>1</v>
      </c>
      <c r="U162" s="26">
        <v>3</v>
      </c>
      <c r="V162" s="1" t="s">
        <v>1010</v>
      </c>
      <c r="W162" s="1" t="s">
        <v>1020</v>
      </c>
      <c r="X162" s="1" t="s">
        <v>1015</v>
      </c>
      <c r="Y162" t="s">
        <v>56</v>
      </c>
      <c r="AA162" s="1" t="s">
        <v>61</v>
      </c>
      <c r="AB162" t="s">
        <v>1019</v>
      </c>
      <c r="AC162" s="73" t="s">
        <v>1016</v>
      </c>
    </row>
    <row r="163" spans="1:33" ht="68.25" customHeight="1" x14ac:dyDescent="0.25">
      <c r="A163" s="26" t="s">
        <v>1023</v>
      </c>
      <c r="B163" s="26" t="s">
        <v>1024</v>
      </c>
      <c r="C163" s="26" t="s">
        <v>350</v>
      </c>
      <c r="D163" s="26">
        <v>1</v>
      </c>
      <c r="E163" s="26">
        <f>185+45</f>
        <v>230</v>
      </c>
      <c r="F163" s="26">
        <f>185+45</f>
        <v>230</v>
      </c>
      <c r="G163" s="26">
        <v>230</v>
      </c>
      <c r="J163" s="26">
        <v>35</v>
      </c>
      <c r="K163" s="2" t="s">
        <v>5298</v>
      </c>
      <c r="L163" s="26">
        <v>0</v>
      </c>
      <c r="M163" s="26">
        <v>19.600000000000001</v>
      </c>
      <c r="N163" s="26">
        <v>80.400000000000006</v>
      </c>
      <c r="O163" s="26">
        <v>0</v>
      </c>
      <c r="P163" s="26">
        <v>0</v>
      </c>
      <c r="R163" s="26">
        <v>18</v>
      </c>
      <c r="S163" s="26">
        <v>3</v>
      </c>
      <c r="V163" s="1" t="s">
        <v>109</v>
      </c>
      <c r="W163" s="1" t="s">
        <v>1033</v>
      </c>
      <c r="X163" s="1" t="s">
        <v>1028</v>
      </c>
      <c r="Y163" t="s">
        <v>56</v>
      </c>
      <c r="Z163" s="1" t="s">
        <v>644</v>
      </c>
      <c r="AA163" s="1" t="s">
        <v>61</v>
      </c>
      <c r="AB163" t="s">
        <v>1025</v>
      </c>
      <c r="AC163" t="s">
        <v>1026</v>
      </c>
      <c r="AE163" t="s">
        <v>1027</v>
      </c>
    </row>
    <row r="164" spans="1:33" ht="41.25" customHeight="1" x14ac:dyDescent="0.25">
      <c r="A164" s="2" t="s">
        <v>1029</v>
      </c>
      <c r="B164" s="26" t="s">
        <v>1030</v>
      </c>
      <c r="C164" s="26" t="s">
        <v>350</v>
      </c>
      <c r="D164" s="26">
        <v>1</v>
      </c>
      <c r="E164" s="26">
        <v>575</v>
      </c>
      <c r="F164" s="26">
        <v>575</v>
      </c>
      <c r="G164" s="26">
        <v>575</v>
      </c>
      <c r="J164" s="26">
        <v>8</v>
      </c>
      <c r="K164" s="2" t="s">
        <v>1032</v>
      </c>
      <c r="L164" s="26">
        <v>0</v>
      </c>
      <c r="M164" s="26">
        <v>0</v>
      </c>
      <c r="N164" s="26">
        <v>100</v>
      </c>
      <c r="O164" s="26">
        <v>0</v>
      </c>
      <c r="P164" s="26">
        <v>0</v>
      </c>
      <c r="S164" s="26">
        <v>8</v>
      </c>
      <c r="V164" s="1" t="s">
        <v>109</v>
      </c>
      <c r="W164" s="1" t="s">
        <v>1033</v>
      </c>
      <c r="X164" s="1" t="s">
        <v>1028</v>
      </c>
      <c r="Y164" t="s">
        <v>56</v>
      </c>
      <c r="AA164" s="1" t="s">
        <v>61</v>
      </c>
      <c r="AC164" t="s">
        <v>1034</v>
      </c>
      <c r="AE164" t="s">
        <v>1031</v>
      </c>
    </row>
    <row r="165" spans="1:33" ht="42" customHeight="1" x14ac:dyDescent="0.25">
      <c r="A165" s="26" t="s">
        <v>1036</v>
      </c>
      <c r="B165" s="26" t="s">
        <v>1035</v>
      </c>
      <c r="C165" s="26" t="s">
        <v>350</v>
      </c>
      <c r="D165" s="26">
        <v>1</v>
      </c>
      <c r="E165" s="26">
        <v>3500</v>
      </c>
      <c r="F165">
        <f>E165-500</f>
        <v>3000</v>
      </c>
      <c r="G165" s="26">
        <f>E165/D165</f>
        <v>3500</v>
      </c>
      <c r="K165" s="2" t="s">
        <v>5204</v>
      </c>
      <c r="L165" s="26">
        <v>0</v>
      </c>
      <c r="M165" s="26">
        <v>0</v>
      </c>
      <c r="N165" s="26">
        <v>0</v>
      </c>
      <c r="O165" s="26">
        <v>0</v>
      </c>
      <c r="P165" s="26">
        <v>100</v>
      </c>
      <c r="U165">
        <v>1</v>
      </c>
      <c r="V165" s="1" t="s">
        <v>875</v>
      </c>
      <c r="W165" s="1" t="s">
        <v>1039</v>
      </c>
      <c r="X165" s="1" t="s">
        <v>1040</v>
      </c>
      <c r="Y165" s="1" t="s">
        <v>5203</v>
      </c>
      <c r="AA165" s="1" t="s">
        <v>60</v>
      </c>
      <c r="AB165" t="s">
        <v>1041</v>
      </c>
      <c r="AC165" t="s">
        <v>1038</v>
      </c>
      <c r="AE165" t="s">
        <v>1037</v>
      </c>
    </row>
    <row r="166" spans="1:33" ht="28.5" customHeight="1" x14ac:dyDescent="0.25">
      <c r="A166" s="26" t="s">
        <v>1043</v>
      </c>
      <c r="B166" s="26" t="s">
        <v>1042</v>
      </c>
      <c r="C166" s="2" t="s">
        <v>352</v>
      </c>
      <c r="D166" s="26">
        <v>1</v>
      </c>
      <c r="E166" s="26">
        <v>10</v>
      </c>
      <c r="F166" s="26">
        <v>10</v>
      </c>
      <c r="G166" s="26">
        <v>10</v>
      </c>
      <c r="J166" s="26">
        <v>4</v>
      </c>
      <c r="K166" s="2" t="s">
        <v>1044</v>
      </c>
      <c r="L166" s="26">
        <v>0</v>
      </c>
      <c r="M166" s="26">
        <v>100</v>
      </c>
      <c r="N166" s="26">
        <v>0</v>
      </c>
      <c r="O166" s="26">
        <v>0</v>
      </c>
      <c r="P166" s="26">
        <v>0</v>
      </c>
      <c r="R166" s="26">
        <v>1</v>
      </c>
      <c r="V166" s="1" t="s">
        <v>1047</v>
      </c>
      <c r="W166" s="54" t="s">
        <v>1048</v>
      </c>
      <c r="Y166" t="s">
        <v>56</v>
      </c>
      <c r="Z166" s="1" t="s">
        <v>772</v>
      </c>
      <c r="AA166" s="1" t="s">
        <v>60</v>
      </c>
      <c r="AB166" t="s">
        <v>1045</v>
      </c>
      <c r="AC166" s="73" t="s">
        <v>1046</v>
      </c>
    </row>
    <row r="167" spans="1:33" ht="42.75" customHeight="1" x14ac:dyDescent="0.25">
      <c r="A167" s="26" t="s">
        <v>854</v>
      </c>
      <c r="B167" s="26" t="s">
        <v>1050</v>
      </c>
      <c r="C167" s="26" t="s">
        <v>354</v>
      </c>
      <c r="D167" s="26">
        <v>1</v>
      </c>
      <c r="E167" s="26">
        <v>52</v>
      </c>
      <c r="F167" s="26">
        <v>52</v>
      </c>
      <c r="G167" s="26">
        <v>52</v>
      </c>
      <c r="J167" s="26">
        <v>45</v>
      </c>
      <c r="K167" s="2" t="s">
        <v>1056</v>
      </c>
      <c r="L167" s="26">
        <v>0</v>
      </c>
      <c r="M167" s="26">
        <v>0</v>
      </c>
      <c r="N167" s="26">
        <v>0</v>
      </c>
      <c r="O167" s="26">
        <v>100</v>
      </c>
      <c r="P167" s="26">
        <v>0</v>
      </c>
      <c r="T167" s="26">
        <v>1</v>
      </c>
      <c r="V167" s="1" t="s">
        <v>1051</v>
      </c>
      <c r="W167" s="1" t="s">
        <v>1052</v>
      </c>
      <c r="X167" s="1" t="s">
        <v>1055</v>
      </c>
      <c r="Y167" s="1" t="s">
        <v>56</v>
      </c>
      <c r="Z167" s="1" t="s">
        <v>1053</v>
      </c>
      <c r="AA167" s="1" t="s">
        <v>61</v>
      </c>
      <c r="AB167" s="1" t="s">
        <v>1054</v>
      </c>
      <c r="AC167" t="s">
        <v>1049</v>
      </c>
      <c r="AD167">
        <v>300000</v>
      </c>
      <c r="AF167">
        <v>7000</v>
      </c>
      <c r="AG167">
        <v>7000</v>
      </c>
    </row>
    <row r="168" spans="1:33" ht="45" x14ac:dyDescent="0.25">
      <c r="A168" s="26" t="s">
        <v>855</v>
      </c>
      <c r="B168" s="26" t="s">
        <v>654</v>
      </c>
      <c r="C168" s="2" t="s">
        <v>352</v>
      </c>
      <c r="D168" s="26">
        <v>1</v>
      </c>
      <c r="E168" s="26">
        <v>40</v>
      </c>
      <c r="F168" s="26">
        <v>40</v>
      </c>
      <c r="G168" s="26">
        <v>40</v>
      </c>
      <c r="J168" s="26">
        <v>40</v>
      </c>
      <c r="V168" s="1" t="s">
        <v>771</v>
      </c>
      <c r="W168" s="1" t="s">
        <v>1060</v>
      </c>
      <c r="X168" s="1" t="s">
        <v>1058</v>
      </c>
      <c r="Y168" s="1" t="s">
        <v>56</v>
      </c>
      <c r="Z168" s="1" t="s">
        <v>327</v>
      </c>
      <c r="AA168" s="1" t="s">
        <v>61</v>
      </c>
      <c r="AB168" s="1" t="s">
        <v>977</v>
      </c>
      <c r="AC168" t="s">
        <v>1059</v>
      </c>
      <c r="AD168">
        <v>50000</v>
      </c>
      <c r="AE168" t="s">
        <v>1057</v>
      </c>
      <c r="AF168">
        <v>2500</v>
      </c>
      <c r="AG168">
        <v>1000</v>
      </c>
    </row>
    <row r="169" spans="1:33" ht="84" customHeight="1" x14ac:dyDescent="0.25">
      <c r="A169" s="26" t="s">
        <v>1061</v>
      </c>
      <c r="B169" s="26" t="s">
        <v>654</v>
      </c>
      <c r="C169" s="2" t="s">
        <v>352</v>
      </c>
      <c r="D169" s="26">
        <v>1</v>
      </c>
      <c r="E169" s="26">
        <v>300</v>
      </c>
      <c r="F169" s="26">
        <v>300</v>
      </c>
      <c r="G169" s="26">
        <v>300</v>
      </c>
      <c r="K169" s="2" t="s">
        <v>1062</v>
      </c>
      <c r="L169" s="26">
        <v>100</v>
      </c>
      <c r="M169" s="26">
        <v>0</v>
      </c>
      <c r="N169" s="26">
        <v>0</v>
      </c>
      <c r="O169" s="26">
        <v>0</v>
      </c>
      <c r="P169" s="26">
        <v>0</v>
      </c>
      <c r="Q169" s="26">
        <v>15</v>
      </c>
      <c r="V169" s="1" t="s">
        <v>771</v>
      </c>
      <c r="W169" s="1" t="s">
        <v>1065</v>
      </c>
      <c r="Y169" s="1" t="s">
        <v>56</v>
      </c>
      <c r="AB169" t="s">
        <v>1064</v>
      </c>
      <c r="AC169" t="s">
        <v>1063</v>
      </c>
    </row>
    <row r="170" spans="1:33" ht="135.75" customHeight="1" x14ac:dyDescent="0.25">
      <c r="A170" s="26" t="s">
        <v>856</v>
      </c>
      <c r="B170" s="26" t="s">
        <v>1072</v>
      </c>
      <c r="C170" s="2" t="s">
        <v>352</v>
      </c>
      <c r="D170" s="26">
        <v>1</v>
      </c>
      <c r="E170" s="26">
        <v>20</v>
      </c>
      <c r="F170" s="26">
        <v>20</v>
      </c>
      <c r="G170" s="26">
        <v>20</v>
      </c>
      <c r="J170" s="26">
        <v>30</v>
      </c>
      <c r="K170" s="2" t="s">
        <v>1077</v>
      </c>
      <c r="L170" s="26">
        <v>0</v>
      </c>
      <c r="M170" s="26">
        <v>100</v>
      </c>
      <c r="N170" s="26">
        <v>0</v>
      </c>
      <c r="O170" s="26">
        <v>0</v>
      </c>
      <c r="P170" s="26">
        <v>0</v>
      </c>
      <c r="R170" s="26">
        <v>25</v>
      </c>
      <c r="W170" s="1" t="s">
        <v>1073</v>
      </c>
      <c r="X170" s="1" t="s">
        <v>1076</v>
      </c>
      <c r="Y170" s="1" t="s">
        <v>56</v>
      </c>
      <c r="Z170" s="1" t="s">
        <v>644</v>
      </c>
      <c r="AA170" s="1" t="s">
        <v>60</v>
      </c>
      <c r="AC170" t="s">
        <v>1075</v>
      </c>
      <c r="AD170">
        <v>40000</v>
      </c>
      <c r="AE170" t="s">
        <v>1074</v>
      </c>
      <c r="AF170">
        <v>2500</v>
      </c>
      <c r="AG170">
        <v>2000</v>
      </c>
    </row>
    <row r="171" spans="1:33" ht="73.5" customHeight="1" x14ac:dyDescent="0.25">
      <c r="A171" s="2" t="s">
        <v>857</v>
      </c>
      <c r="B171" s="26" t="s">
        <v>1078</v>
      </c>
      <c r="C171" s="26" t="s">
        <v>350</v>
      </c>
      <c r="D171" s="26">
        <v>1</v>
      </c>
      <c r="E171" s="26">
        <v>300</v>
      </c>
      <c r="F171" s="26">
        <v>300</v>
      </c>
      <c r="G171" s="26">
        <v>300</v>
      </c>
      <c r="H171" s="26">
        <v>40</v>
      </c>
      <c r="J171" s="26">
        <v>8</v>
      </c>
      <c r="K171" s="2" t="s">
        <v>3548</v>
      </c>
      <c r="L171" s="26">
        <v>0</v>
      </c>
      <c r="M171" s="26">
        <v>0</v>
      </c>
      <c r="N171" s="26">
        <v>0</v>
      </c>
      <c r="O171" s="26">
        <v>66.650000000000006</v>
      </c>
      <c r="P171" s="26">
        <v>33.35</v>
      </c>
      <c r="S171" s="26">
        <v>1</v>
      </c>
      <c r="T171" s="26">
        <v>1</v>
      </c>
      <c r="U171" s="26">
        <v>1</v>
      </c>
      <c r="V171" s="1" t="s">
        <v>1080</v>
      </c>
      <c r="W171" s="1" t="s">
        <v>1085</v>
      </c>
      <c r="X171" s="1" t="s">
        <v>1081</v>
      </c>
      <c r="Y171" s="1" t="s">
        <v>1079</v>
      </c>
      <c r="Z171" s="1" t="s">
        <v>1084</v>
      </c>
      <c r="AA171" s="1" t="s">
        <v>60</v>
      </c>
      <c r="AB171" s="1" t="s">
        <v>1082</v>
      </c>
      <c r="AC171" t="s">
        <v>1083</v>
      </c>
      <c r="AD171">
        <v>350000</v>
      </c>
      <c r="AE171" s="1" t="s">
        <v>1245</v>
      </c>
      <c r="AF171">
        <v>29000</v>
      </c>
      <c r="AG171">
        <v>24000</v>
      </c>
    </row>
    <row r="172" spans="1:33" ht="281.25" customHeight="1" x14ac:dyDescent="0.25">
      <c r="A172" s="26" t="s">
        <v>1097</v>
      </c>
      <c r="B172" s="2" t="s">
        <v>1094</v>
      </c>
      <c r="C172" s="2" t="s">
        <v>353</v>
      </c>
      <c r="D172" s="26">
        <v>3</v>
      </c>
      <c r="E172" s="26">
        <f>10+27+760+60</f>
        <v>857</v>
      </c>
      <c r="F172" s="26">
        <f>10+27+760+60</f>
        <v>857</v>
      </c>
      <c r="G172" s="26">
        <f>E172/D172</f>
        <v>285.66666666666669</v>
      </c>
      <c r="J172" s="26">
        <v>220</v>
      </c>
      <c r="K172" s="2" t="s">
        <v>1096</v>
      </c>
      <c r="L172" s="26">
        <v>0</v>
      </c>
      <c r="M172" s="26">
        <v>0</v>
      </c>
      <c r="N172" s="26">
        <v>11</v>
      </c>
      <c r="O172" s="26">
        <v>0</v>
      </c>
      <c r="P172" s="26">
        <v>89</v>
      </c>
      <c r="S172" s="26">
        <v>3</v>
      </c>
      <c r="U172">
        <v>1</v>
      </c>
      <c r="V172" s="1" t="s">
        <v>1088</v>
      </c>
      <c r="W172" s="1" t="s">
        <v>1087</v>
      </c>
      <c r="X172" s="1" t="s">
        <v>1086</v>
      </c>
      <c r="Y172" s="1" t="s">
        <v>56</v>
      </c>
      <c r="Z172" s="1" t="s">
        <v>772</v>
      </c>
      <c r="AA172" s="1" t="s">
        <v>60</v>
      </c>
      <c r="AB172" s="1" t="s">
        <v>1093</v>
      </c>
      <c r="AC172" t="s">
        <v>1095</v>
      </c>
      <c r="AD172" s="1" t="s">
        <v>1091</v>
      </c>
      <c r="AE172" s="1" t="s">
        <v>1092</v>
      </c>
      <c r="AF172" t="s">
        <v>1089</v>
      </c>
      <c r="AG172" t="s">
        <v>1090</v>
      </c>
    </row>
    <row r="173" spans="1:33" ht="195" x14ac:dyDescent="0.25">
      <c r="A173" s="26" t="s">
        <v>1099</v>
      </c>
      <c r="B173" s="2" t="s">
        <v>1113</v>
      </c>
      <c r="C173" s="26" t="s">
        <v>350</v>
      </c>
      <c r="D173" s="26">
        <v>1</v>
      </c>
      <c r="E173" s="26">
        <v>750</v>
      </c>
      <c r="F173" s="26">
        <v>750</v>
      </c>
      <c r="G173" s="26">
        <v>750</v>
      </c>
      <c r="J173" s="26">
        <v>53</v>
      </c>
      <c r="K173" s="2" t="s">
        <v>1107</v>
      </c>
      <c r="L173" s="26">
        <v>0</v>
      </c>
      <c r="M173" s="26">
        <v>0</v>
      </c>
      <c r="N173" s="26">
        <v>0</v>
      </c>
      <c r="O173" s="26">
        <v>0</v>
      </c>
      <c r="P173" s="26">
        <v>100</v>
      </c>
      <c r="U173">
        <v>1</v>
      </c>
      <c r="V173" s="1" t="s">
        <v>1106</v>
      </c>
      <c r="W173" s="1" t="s">
        <v>1118</v>
      </c>
      <c r="X173" s="1" t="s">
        <v>1105</v>
      </c>
      <c r="Y173" s="1" t="s">
        <v>56</v>
      </c>
      <c r="Z173" s="1" t="s">
        <v>327</v>
      </c>
      <c r="AA173" s="1" t="s">
        <v>60</v>
      </c>
      <c r="AB173" s="1" t="s">
        <v>1104</v>
      </c>
      <c r="AC173" t="s">
        <v>1098</v>
      </c>
      <c r="AD173" s="1" t="s">
        <v>1103</v>
      </c>
      <c r="AE173" s="1" t="s">
        <v>1102</v>
      </c>
      <c r="AF173" s="1" t="s">
        <v>1101</v>
      </c>
      <c r="AG173" s="1" t="s">
        <v>1100</v>
      </c>
    </row>
    <row r="174" spans="1:33" ht="73.5" customHeight="1" x14ac:dyDescent="0.25">
      <c r="A174" s="2" t="s">
        <v>1108</v>
      </c>
      <c r="B174" s="26" t="s">
        <v>1109</v>
      </c>
      <c r="C174" s="26" t="s">
        <v>350</v>
      </c>
      <c r="D174" s="26">
        <v>1</v>
      </c>
      <c r="E174" s="26">
        <f>26.1+33.5+156.7</f>
        <v>216.29999999999998</v>
      </c>
      <c r="F174" s="26">
        <f>26.1+33.5+156.7</f>
        <v>216.29999999999998</v>
      </c>
      <c r="G174" s="26">
        <f>E174</f>
        <v>216.29999999999998</v>
      </c>
      <c r="I174" s="26" t="s">
        <v>107</v>
      </c>
      <c r="K174" s="2" t="s">
        <v>1112</v>
      </c>
      <c r="L174" s="26">
        <v>27.6</v>
      </c>
      <c r="M174" s="26">
        <v>0</v>
      </c>
      <c r="N174" s="26">
        <v>0</v>
      </c>
      <c r="O174" s="26">
        <v>0</v>
      </c>
      <c r="P174" s="26">
        <v>72.400000000000006</v>
      </c>
      <c r="Q174" s="26">
        <v>2</v>
      </c>
      <c r="U174">
        <v>1</v>
      </c>
      <c r="V174" s="1" t="s">
        <v>1111</v>
      </c>
      <c r="W174" s="1" t="s">
        <v>104</v>
      </c>
      <c r="Y174" s="1" t="s">
        <v>197</v>
      </c>
      <c r="AA174" s="1" t="s">
        <v>61</v>
      </c>
      <c r="AC174" t="s">
        <v>1110</v>
      </c>
    </row>
    <row r="175" spans="1:33" ht="41.25" customHeight="1" x14ac:dyDescent="0.25">
      <c r="A175" s="2" t="s">
        <v>1114</v>
      </c>
      <c r="B175" s="2" t="s">
        <v>1115</v>
      </c>
      <c r="C175" s="26" t="s">
        <v>350</v>
      </c>
      <c r="D175" s="26">
        <v>1</v>
      </c>
      <c r="E175" s="26">
        <v>6</v>
      </c>
      <c r="F175" s="26">
        <v>6</v>
      </c>
      <c r="G175" s="26">
        <v>6</v>
      </c>
      <c r="X175" s="1" t="s">
        <v>1116</v>
      </c>
      <c r="Y175" s="1" t="s">
        <v>56</v>
      </c>
      <c r="AA175" s="1" t="s">
        <v>60</v>
      </c>
      <c r="AC175" t="s">
        <v>1117</v>
      </c>
    </row>
    <row r="176" spans="1:33" ht="90" x14ac:dyDescent="0.25">
      <c r="A176" s="26" t="s">
        <v>1127</v>
      </c>
      <c r="B176" s="26" t="s">
        <v>305</v>
      </c>
      <c r="C176" s="26" t="s">
        <v>350</v>
      </c>
      <c r="D176" s="26">
        <v>1</v>
      </c>
      <c r="E176" s="26">
        <v>244</v>
      </c>
      <c r="F176" s="26">
        <v>244</v>
      </c>
      <c r="G176" s="26">
        <v>244</v>
      </c>
      <c r="J176" s="26">
        <v>100</v>
      </c>
      <c r="K176" s="2" t="s">
        <v>1130</v>
      </c>
      <c r="L176" s="26">
        <v>0</v>
      </c>
      <c r="M176" s="26">
        <v>1.6</v>
      </c>
      <c r="N176" s="26">
        <v>98.4</v>
      </c>
      <c r="O176" s="26">
        <v>0</v>
      </c>
      <c r="P176" s="26">
        <v>0</v>
      </c>
      <c r="R176" s="26">
        <v>1</v>
      </c>
      <c r="S176" s="26">
        <v>1</v>
      </c>
      <c r="V176" s="1" t="s">
        <v>1131</v>
      </c>
      <c r="W176" s="1" t="s">
        <v>732</v>
      </c>
      <c r="Y176" s="1" t="s">
        <v>56</v>
      </c>
      <c r="Z176" s="1" t="s">
        <v>327</v>
      </c>
      <c r="AA176" s="1" t="s">
        <v>60</v>
      </c>
      <c r="AB176" t="s">
        <v>1132</v>
      </c>
      <c r="AC176" s="51" t="s">
        <v>1129</v>
      </c>
      <c r="AD176">
        <v>150000</v>
      </c>
      <c r="AE176" t="s">
        <v>1126</v>
      </c>
      <c r="AF176">
        <v>17000</v>
      </c>
      <c r="AG176">
        <v>20000</v>
      </c>
    </row>
    <row r="177" spans="1:33" ht="58.5" customHeight="1" x14ac:dyDescent="0.25">
      <c r="A177" s="2" t="s">
        <v>858</v>
      </c>
      <c r="B177" s="26" t="s">
        <v>1133</v>
      </c>
      <c r="C177" s="26" t="s">
        <v>350</v>
      </c>
      <c r="D177" s="26">
        <v>1</v>
      </c>
      <c r="E177" s="26">
        <v>5</v>
      </c>
      <c r="F177" s="26">
        <v>5</v>
      </c>
      <c r="G177" s="26">
        <v>5</v>
      </c>
      <c r="J177" s="26">
        <v>10</v>
      </c>
      <c r="K177" s="2" t="s">
        <v>1138</v>
      </c>
      <c r="L177" s="26">
        <v>0</v>
      </c>
      <c r="M177" s="26">
        <v>100</v>
      </c>
      <c r="N177" s="26">
        <v>0</v>
      </c>
      <c r="O177" s="26">
        <v>0</v>
      </c>
      <c r="P177" s="26">
        <v>0</v>
      </c>
      <c r="R177" s="26">
        <v>1</v>
      </c>
      <c r="V177" s="1" t="s">
        <v>1128</v>
      </c>
      <c r="W177" s="1" t="s">
        <v>732</v>
      </c>
      <c r="Y177" s="1" t="s">
        <v>56</v>
      </c>
      <c r="Z177" s="1" t="s">
        <v>1134</v>
      </c>
      <c r="AA177" s="1" t="s">
        <v>61</v>
      </c>
      <c r="AB177" t="s">
        <v>1135</v>
      </c>
      <c r="AC177" t="s">
        <v>1137</v>
      </c>
      <c r="AD177">
        <v>15970</v>
      </c>
      <c r="AE177" t="s">
        <v>1136</v>
      </c>
      <c r="AF177">
        <v>300</v>
      </c>
      <c r="AG177">
        <v>500</v>
      </c>
    </row>
    <row r="178" spans="1:33" ht="125.25" customHeight="1" x14ac:dyDescent="0.25">
      <c r="A178" s="2" t="s">
        <v>1143</v>
      </c>
      <c r="B178" s="26" t="s">
        <v>1142</v>
      </c>
      <c r="C178" s="2" t="s">
        <v>352</v>
      </c>
      <c r="D178" s="26">
        <v>1</v>
      </c>
      <c r="E178" s="26">
        <v>75</v>
      </c>
      <c r="F178" s="26">
        <v>75</v>
      </c>
      <c r="G178" s="26">
        <v>75</v>
      </c>
      <c r="J178" s="26">
        <v>21</v>
      </c>
      <c r="K178" s="2" t="s">
        <v>1144</v>
      </c>
      <c r="L178" s="26">
        <v>0</v>
      </c>
      <c r="M178" s="26">
        <v>100</v>
      </c>
      <c r="N178" s="26">
        <v>0</v>
      </c>
      <c r="O178" s="26">
        <v>0</v>
      </c>
      <c r="P178" s="26">
        <v>0</v>
      </c>
      <c r="R178" s="26">
        <v>13</v>
      </c>
      <c r="V178" s="1" t="s">
        <v>1128</v>
      </c>
      <c r="W178" s="1" t="s">
        <v>732</v>
      </c>
      <c r="X178" t="s">
        <v>434</v>
      </c>
      <c r="Y178" s="1" t="s">
        <v>56</v>
      </c>
      <c r="Z178" s="1" t="s">
        <v>772</v>
      </c>
      <c r="AA178" s="1" t="s">
        <v>60</v>
      </c>
      <c r="AB178" t="s">
        <v>1140</v>
      </c>
      <c r="AC178" t="s">
        <v>1139</v>
      </c>
      <c r="AD178">
        <v>146000</v>
      </c>
      <c r="AE178" t="s">
        <v>1141</v>
      </c>
      <c r="AF178">
        <v>5242</v>
      </c>
      <c r="AG178">
        <v>10876</v>
      </c>
    </row>
    <row r="179" spans="1:33" ht="166.5" customHeight="1" x14ac:dyDescent="0.25">
      <c r="A179" s="26" t="s">
        <v>859</v>
      </c>
      <c r="B179" s="26" t="s">
        <v>1145</v>
      </c>
      <c r="C179" s="2" t="s">
        <v>352</v>
      </c>
      <c r="D179" s="26">
        <v>1</v>
      </c>
      <c r="E179" s="26">
        <v>92</v>
      </c>
      <c r="F179" s="26">
        <v>92</v>
      </c>
      <c r="G179" s="26">
        <v>92</v>
      </c>
      <c r="J179" s="26">
        <v>37</v>
      </c>
      <c r="K179" s="2" t="s">
        <v>1149</v>
      </c>
      <c r="V179" s="1" t="s">
        <v>1148</v>
      </c>
      <c r="W179" s="1" t="s">
        <v>732</v>
      </c>
      <c r="X179" s="1" t="s">
        <v>1151</v>
      </c>
      <c r="Y179" s="1" t="s">
        <v>56</v>
      </c>
      <c r="Z179" s="1" t="s">
        <v>1053</v>
      </c>
      <c r="AA179" s="1" t="s">
        <v>60</v>
      </c>
      <c r="AB179" s="1" t="s">
        <v>1150</v>
      </c>
      <c r="AC179" t="s">
        <v>1146</v>
      </c>
      <c r="AE179" s="1" t="s">
        <v>1147</v>
      </c>
      <c r="AF179">
        <v>11716</v>
      </c>
    </row>
    <row r="180" spans="1:33" ht="122.25" customHeight="1" x14ac:dyDescent="0.25">
      <c r="A180" s="26" t="s">
        <v>1152</v>
      </c>
      <c r="B180" s="26" t="s">
        <v>1153</v>
      </c>
      <c r="C180" s="26" t="s">
        <v>350</v>
      </c>
      <c r="D180" s="26">
        <v>1</v>
      </c>
      <c r="E180" s="26">
        <v>442</v>
      </c>
      <c r="F180" s="26">
        <v>442</v>
      </c>
      <c r="G180" s="26">
        <v>442</v>
      </c>
      <c r="J180" s="26">
        <v>14</v>
      </c>
      <c r="K180" s="2" t="s">
        <v>3502</v>
      </c>
      <c r="L180" s="26">
        <v>66.099999999999994</v>
      </c>
      <c r="M180" s="26">
        <v>0</v>
      </c>
      <c r="N180" s="26">
        <v>4.5</v>
      </c>
      <c r="O180" s="26">
        <v>0</v>
      </c>
      <c r="P180" s="26">
        <v>29.4</v>
      </c>
      <c r="Q180" s="26">
        <v>6</v>
      </c>
      <c r="S180" s="26">
        <v>1</v>
      </c>
      <c r="U180" s="26">
        <v>3</v>
      </c>
      <c r="V180" s="1" t="s">
        <v>1154</v>
      </c>
      <c r="W180" s="1" t="s">
        <v>3503</v>
      </c>
      <c r="Y180" s="1" t="s">
        <v>56</v>
      </c>
      <c r="AA180" s="1" t="s">
        <v>61</v>
      </c>
      <c r="AC180" t="s">
        <v>1156</v>
      </c>
      <c r="AE180" t="s">
        <v>1155</v>
      </c>
    </row>
    <row r="181" spans="1:33" ht="165.75" customHeight="1" x14ac:dyDescent="0.25">
      <c r="A181" s="2" t="s">
        <v>1158</v>
      </c>
      <c r="B181" s="26" t="s">
        <v>1157</v>
      </c>
      <c r="C181" s="26" t="s">
        <v>350</v>
      </c>
      <c r="D181" s="26">
        <v>2</v>
      </c>
      <c r="E181" s="26">
        <v>1570</v>
      </c>
      <c r="F181" s="26">
        <v>1570</v>
      </c>
      <c r="G181" s="26">
        <f>E181/D181</f>
        <v>785</v>
      </c>
      <c r="J181" s="26">
        <v>19</v>
      </c>
      <c r="K181" s="2" t="s">
        <v>3504</v>
      </c>
      <c r="L181" s="26">
        <v>31.8</v>
      </c>
      <c r="M181" s="26">
        <v>20.399999999999999</v>
      </c>
      <c r="N181" s="26">
        <v>3.2</v>
      </c>
      <c r="O181" s="26">
        <v>0</v>
      </c>
      <c r="P181" s="26">
        <v>44.6</v>
      </c>
      <c r="Q181" s="26">
        <v>3</v>
      </c>
      <c r="R181" s="26">
        <v>5</v>
      </c>
      <c r="S181" s="26">
        <v>1</v>
      </c>
      <c r="U181" s="26">
        <v>2</v>
      </c>
      <c r="V181" s="1" t="s">
        <v>1154</v>
      </c>
      <c r="W181" s="1" t="s">
        <v>1396</v>
      </c>
      <c r="Y181" s="1" t="s">
        <v>56</v>
      </c>
      <c r="AA181" s="1" t="s">
        <v>61</v>
      </c>
      <c r="AC181" t="s">
        <v>1156</v>
      </c>
      <c r="AE181" t="s">
        <v>1159</v>
      </c>
    </row>
    <row r="182" spans="1:33" ht="141.75" customHeight="1" x14ac:dyDescent="0.25">
      <c r="A182" s="26" t="s">
        <v>1160</v>
      </c>
      <c r="B182" s="26" t="s">
        <v>1161</v>
      </c>
      <c r="C182" s="26" t="s">
        <v>350</v>
      </c>
      <c r="D182" s="26">
        <v>1</v>
      </c>
      <c r="E182" s="26">
        <f>3256+20+20+20+593+30</f>
        <v>3939</v>
      </c>
      <c r="F182" s="26">
        <f>3256+20+20+20+593+30</f>
        <v>3939</v>
      </c>
      <c r="G182" s="26">
        <v>3939</v>
      </c>
      <c r="J182" s="26">
        <v>16</v>
      </c>
      <c r="K182" s="2" t="s">
        <v>3505</v>
      </c>
      <c r="L182" s="26">
        <v>1.5</v>
      </c>
      <c r="M182" s="26">
        <v>0.8</v>
      </c>
      <c r="N182" s="26">
        <v>15.1</v>
      </c>
      <c r="O182" s="26">
        <v>0</v>
      </c>
      <c r="P182" s="26">
        <v>82.6</v>
      </c>
      <c r="Q182" s="26">
        <v>3</v>
      </c>
      <c r="R182" s="26">
        <v>1</v>
      </c>
      <c r="S182" s="26">
        <v>2</v>
      </c>
      <c r="U182" s="26">
        <v>1</v>
      </c>
      <c r="V182" s="1" t="s">
        <v>1154</v>
      </c>
      <c r="W182" s="1" t="s">
        <v>1400</v>
      </c>
      <c r="Y182" s="1" t="s">
        <v>56</v>
      </c>
      <c r="AA182" s="1" t="s">
        <v>61</v>
      </c>
      <c r="AC182" s="73" t="s">
        <v>1156</v>
      </c>
      <c r="AE182" t="s">
        <v>1162</v>
      </c>
    </row>
    <row r="183" spans="1:33" ht="158.25" customHeight="1" x14ac:dyDescent="0.25">
      <c r="A183" s="26" t="s">
        <v>1163</v>
      </c>
      <c r="B183" s="26" t="s">
        <v>1164</v>
      </c>
      <c r="C183" s="26" t="s">
        <v>350</v>
      </c>
      <c r="D183" s="26">
        <v>1</v>
      </c>
      <c r="E183" s="26">
        <v>2400</v>
      </c>
      <c r="F183" s="26">
        <v>2400</v>
      </c>
      <c r="G183" s="26">
        <f>E183/D183</f>
        <v>2400</v>
      </c>
      <c r="J183" s="26">
        <v>29</v>
      </c>
      <c r="K183" s="2" t="s">
        <v>3507</v>
      </c>
      <c r="L183" s="26">
        <v>0</v>
      </c>
      <c r="M183" s="26">
        <v>0</v>
      </c>
      <c r="N183" s="26">
        <v>0</v>
      </c>
      <c r="O183" s="26">
        <v>0</v>
      </c>
      <c r="P183" s="26">
        <v>100</v>
      </c>
      <c r="U183">
        <v>3</v>
      </c>
      <c r="V183" s="1" t="s">
        <v>1154</v>
      </c>
      <c r="W183" s="1" t="s">
        <v>3510</v>
      </c>
      <c r="Y183" s="1" t="s">
        <v>56</v>
      </c>
      <c r="Z183" s="1" t="s">
        <v>772</v>
      </c>
      <c r="AA183" s="1" t="s">
        <v>61</v>
      </c>
      <c r="AC183" t="s">
        <v>1156</v>
      </c>
      <c r="AE183" t="s">
        <v>1165</v>
      </c>
    </row>
    <row r="184" spans="1:33" ht="373.5" customHeight="1" x14ac:dyDescent="0.25">
      <c r="A184" s="26" t="s">
        <v>1166</v>
      </c>
      <c r="B184" s="2" t="s">
        <v>1167</v>
      </c>
      <c r="C184" s="26" t="s">
        <v>350</v>
      </c>
      <c r="D184" s="26">
        <v>2</v>
      </c>
      <c r="E184" s="26">
        <f>56.2+98.5</f>
        <v>154.69999999999999</v>
      </c>
      <c r="F184" s="26">
        <f>56.2+98.5</f>
        <v>154.69999999999999</v>
      </c>
      <c r="G184" s="26">
        <f>E184/D184</f>
        <v>77.349999999999994</v>
      </c>
      <c r="J184" s="26">
        <f>51+111</f>
        <v>162</v>
      </c>
      <c r="K184" s="2" t="s">
        <v>3506</v>
      </c>
      <c r="L184" s="26">
        <v>100</v>
      </c>
      <c r="M184" s="26">
        <v>0</v>
      </c>
      <c r="N184" s="26">
        <v>0</v>
      </c>
      <c r="O184" s="26">
        <v>0</v>
      </c>
      <c r="P184" s="26">
        <v>0</v>
      </c>
      <c r="Q184" s="26">
        <v>10</v>
      </c>
      <c r="V184" s="1" t="s">
        <v>1154</v>
      </c>
      <c r="W184" s="1" t="s">
        <v>1521</v>
      </c>
      <c r="Y184" s="1" t="s">
        <v>56</v>
      </c>
      <c r="Z184" s="1" t="s">
        <v>747</v>
      </c>
      <c r="AA184" s="1" t="s">
        <v>60</v>
      </c>
      <c r="AC184" t="s">
        <v>1156</v>
      </c>
      <c r="AE184" t="s">
        <v>1168</v>
      </c>
    </row>
    <row r="185" spans="1:33" ht="96.75" customHeight="1" x14ac:dyDescent="0.25">
      <c r="A185" s="26" t="s">
        <v>1169</v>
      </c>
      <c r="B185" s="26" t="s">
        <v>1170</v>
      </c>
      <c r="C185" s="26" t="s">
        <v>350</v>
      </c>
      <c r="D185" s="26">
        <v>2</v>
      </c>
      <c r="E185" s="26">
        <v>128</v>
      </c>
      <c r="F185" s="26">
        <v>128</v>
      </c>
      <c r="G185" s="26">
        <f>E185/D185</f>
        <v>64</v>
      </c>
      <c r="J185" s="26">
        <v>12</v>
      </c>
      <c r="K185" s="2" t="s">
        <v>3508</v>
      </c>
      <c r="L185" s="26">
        <v>0</v>
      </c>
      <c r="M185" s="26">
        <v>0</v>
      </c>
      <c r="N185" s="26">
        <v>0</v>
      </c>
      <c r="O185" s="26">
        <v>60.9</v>
      </c>
      <c r="P185" s="26">
        <v>39.1</v>
      </c>
      <c r="T185" s="26">
        <v>1</v>
      </c>
      <c r="U185" s="26">
        <v>1</v>
      </c>
      <c r="V185" s="1" t="s">
        <v>1154</v>
      </c>
      <c r="W185" s="1" t="s">
        <v>3509</v>
      </c>
      <c r="Y185" s="1" t="s">
        <v>56</v>
      </c>
      <c r="Z185" s="1" t="s">
        <v>673</v>
      </c>
      <c r="AA185" s="1" t="s">
        <v>60</v>
      </c>
      <c r="AC185" s="73" t="s">
        <v>5272</v>
      </c>
      <c r="AE185" t="s">
        <v>1171</v>
      </c>
    </row>
    <row r="186" spans="1:33" ht="167.25" customHeight="1" x14ac:dyDescent="0.25">
      <c r="A186" s="26" t="s">
        <v>1172</v>
      </c>
      <c r="B186" s="26" t="s">
        <v>1173</v>
      </c>
      <c r="C186" s="26" t="s">
        <v>350</v>
      </c>
      <c r="D186" s="26">
        <v>1</v>
      </c>
      <c r="E186" s="26">
        <v>357</v>
      </c>
      <c r="F186" s="26">
        <v>357</v>
      </c>
      <c r="G186" s="26">
        <v>357</v>
      </c>
      <c r="J186" s="26">
        <v>1</v>
      </c>
      <c r="V186" t="s">
        <v>1154</v>
      </c>
      <c r="Y186" s="1" t="s">
        <v>56</v>
      </c>
      <c r="AA186" s="1" t="s">
        <v>61</v>
      </c>
      <c r="AC186" t="s">
        <v>1156</v>
      </c>
      <c r="AE186" t="s">
        <v>1174</v>
      </c>
    </row>
    <row r="187" spans="1:33" ht="154.5" customHeight="1" x14ac:dyDescent="0.25">
      <c r="A187" s="2" t="s">
        <v>1177</v>
      </c>
      <c r="B187" s="26" t="s">
        <v>1178</v>
      </c>
      <c r="C187" s="26" t="s">
        <v>350</v>
      </c>
      <c r="D187" s="26">
        <v>1</v>
      </c>
      <c r="E187" s="26">
        <v>997</v>
      </c>
      <c r="F187" s="26">
        <v>997</v>
      </c>
      <c r="G187" s="26">
        <v>997</v>
      </c>
      <c r="J187" s="26">
        <v>45</v>
      </c>
      <c r="K187" s="2" t="s">
        <v>3511</v>
      </c>
      <c r="L187" s="26">
        <v>0</v>
      </c>
      <c r="M187" s="26">
        <v>0</v>
      </c>
      <c r="N187" s="26">
        <v>0</v>
      </c>
      <c r="O187" s="26">
        <v>0</v>
      </c>
      <c r="P187" s="26">
        <v>100</v>
      </c>
      <c r="U187">
        <v>1</v>
      </c>
      <c r="V187" s="1" t="s">
        <v>1154</v>
      </c>
      <c r="W187" s="1" t="s">
        <v>1341</v>
      </c>
      <c r="Y187" s="1" t="s">
        <v>56</v>
      </c>
      <c r="AA187" s="1" t="s">
        <v>61</v>
      </c>
      <c r="AC187" t="s">
        <v>1156</v>
      </c>
      <c r="AE187" t="s">
        <v>1179</v>
      </c>
    </row>
    <row r="188" spans="1:33" ht="157.5" customHeight="1" x14ac:dyDescent="0.25">
      <c r="A188" s="26" t="s">
        <v>1181</v>
      </c>
      <c r="B188" s="26" t="s">
        <v>1182</v>
      </c>
      <c r="C188" s="26" t="s">
        <v>350</v>
      </c>
      <c r="D188" s="26">
        <v>1</v>
      </c>
      <c r="E188" s="26">
        <v>32</v>
      </c>
      <c r="F188" s="26">
        <v>32</v>
      </c>
      <c r="G188" s="26">
        <v>32</v>
      </c>
      <c r="J188" s="26">
        <v>17</v>
      </c>
      <c r="K188" s="2" t="s">
        <v>3516</v>
      </c>
      <c r="L188" s="26">
        <v>6.3</v>
      </c>
      <c r="M188" s="26">
        <v>0</v>
      </c>
      <c r="N188" s="26">
        <v>0</v>
      </c>
      <c r="O188" s="26">
        <v>0</v>
      </c>
      <c r="P188">
        <v>93.7</v>
      </c>
      <c r="U188">
        <v>2</v>
      </c>
      <c r="V188" s="1" t="s">
        <v>1154</v>
      </c>
      <c r="W188" s="1" t="s">
        <v>1371</v>
      </c>
      <c r="Y188" s="1" t="s">
        <v>56</v>
      </c>
      <c r="Z188" s="1" t="s">
        <v>673</v>
      </c>
      <c r="AA188" s="1" t="s">
        <v>60</v>
      </c>
      <c r="AC188" t="s">
        <v>1156</v>
      </c>
      <c r="AE188" t="s">
        <v>1183</v>
      </c>
    </row>
    <row r="189" spans="1:33" ht="195" customHeight="1" x14ac:dyDescent="0.25">
      <c r="A189" s="26" t="s">
        <v>1184</v>
      </c>
      <c r="B189" s="26" t="s">
        <v>1184</v>
      </c>
      <c r="C189" s="26" t="s">
        <v>350</v>
      </c>
      <c r="D189" s="26">
        <v>1</v>
      </c>
      <c r="E189" s="26">
        <v>265</v>
      </c>
      <c r="F189" s="26">
        <v>265</v>
      </c>
      <c r="G189" s="26">
        <v>265</v>
      </c>
      <c r="J189" s="26">
        <v>37</v>
      </c>
      <c r="K189" s="2" t="s">
        <v>3517</v>
      </c>
      <c r="L189" s="26">
        <v>0</v>
      </c>
      <c r="M189" s="26">
        <v>0</v>
      </c>
      <c r="N189" s="26">
        <v>0</v>
      </c>
      <c r="O189" s="26">
        <v>0</v>
      </c>
      <c r="P189" s="26">
        <v>100</v>
      </c>
      <c r="U189">
        <v>1</v>
      </c>
      <c r="V189" s="1" t="s">
        <v>1154</v>
      </c>
      <c r="W189" s="1" t="s">
        <v>1366</v>
      </c>
      <c r="Y189" s="1" t="s">
        <v>56</v>
      </c>
      <c r="AA189" s="1" t="s">
        <v>61</v>
      </c>
      <c r="AC189" t="s">
        <v>1156</v>
      </c>
      <c r="AE189" t="s">
        <v>1185</v>
      </c>
    </row>
    <row r="190" spans="1:33" ht="135.75" customHeight="1" x14ac:dyDescent="0.25">
      <c r="A190" s="26" t="s">
        <v>1186</v>
      </c>
      <c r="B190" s="26" t="s">
        <v>1186</v>
      </c>
      <c r="C190" s="26" t="s">
        <v>350</v>
      </c>
      <c r="D190" s="26">
        <v>1</v>
      </c>
      <c r="E190" s="26">
        <v>250</v>
      </c>
      <c r="F190" s="26">
        <v>250</v>
      </c>
      <c r="G190" s="26">
        <v>250</v>
      </c>
      <c r="J190" s="26">
        <v>7</v>
      </c>
      <c r="K190" s="2" t="s">
        <v>3518</v>
      </c>
      <c r="L190" s="26">
        <v>100</v>
      </c>
      <c r="M190" s="26">
        <v>0</v>
      </c>
      <c r="N190" s="26">
        <v>0</v>
      </c>
      <c r="O190" s="26">
        <v>0</v>
      </c>
      <c r="P190" s="26">
        <v>0</v>
      </c>
      <c r="Q190" s="26">
        <v>2</v>
      </c>
      <c r="V190" s="1" t="s">
        <v>1154</v>
      </c>
      <c r="W190" s="1" t="s">
        <v>1656</v>
      </c>
      <c r="Y190" s="1" t="s">
        <v>56</v>
      </c>
      <c r="AA190" s="1" t="s">
        <v>61</v>
      </c>
      <c r="AC190" t="s">
        <v>1156</v>
      </c>
      <c r="AE190" t="s">
        <v>1187</v>
      </c>
    </row>
    <row r="191" spans="1:33" ht="296.25" customHeight="1" x14ac:dyDescent="0.25">
      <c r="A191" s="26" t="s">
        <v>1188</v>
      </c>
      <c r="B191" s="2" t="s">
        <v>3682</v>
      </c>
      <c r="C191" s="26" t="s">
        <v>350</v>
      </c>
      <c r="D191" s="26">
        <v>11</v>
      </c>
      <c r="E191" s="26">
        <f>192.8+376.8+170.8+932.2+258.4+197.6+247.63+1329+414.8+270+386+983.2+212</f>
        <v>5971.23</v>
      </c>
      <c r="F191" s="26">
        <f>192.8+376.8+170.8+932.2+258.4+197.6+247.63+1329+414.8+270+386+983.2+212</f>
        <v>5971.23</v>
      </c>
      <c r="G191" s="26">
        <f>E191/D191</f>
        <v>542.83909090909083</v>
      </c>
      <c r="J191" s="26">
        <f>3+1+1+4+5+2+3+4+4+3+2+1+1</f>
        <v>34</v>
      </c>
      <c r="K191" s="2" t="s">
        <v>3520</v>
      </c>
      <c r="L191" s="26">
        <v>79.900000000000006</v>
      </c>
      <c r="M191" s="26">
        <v>0</v>
      </c>
      <c r="N191" s="26">
        <v>0</v>
      </c>
      <c r="O191" s="26">
        <v>0</v>
      </c>
      <c r="P191" s="26">
        <v>20.100000000000001</v>
      </c>
      <c r="Q191" s="26">
        <v>31</v>
      </c>
      <c r="U191">
        <v>1</v>
      </c>
      <c r="V191" s="1" t="s">
        <v>1154</v>
      </c>
      <c r="W191" s="1" t="s">
        <v>3519</v>
      </c>
      <c r="Y191" s="1" t="s">
        <v>56</v>
      </c>
      <c r="Z191" s="1" t="s">
        <v>1189</v>
      </c>
      <c r="AA191" s="1" t="s">
        <v>61</v>
      </c>
      <c r="AC191" t="s">
        <v>1156</v>
      </c>
      <c r="AE191" t="s">
        <v>1190</v>
      </c>
    </row>
    <row r="192" spans="1:33" ht="85.5" customHeight="1" x14ac:dyDescent="0.25">
      <c r="A192" s="26" t="s">
        <v>1191</v>
      </c>
      <c r="B192" s="26" t="s">
        <v>1192</v>
      </c>
      <c r="C192" s="26" t="s">
        <v>350</v>
      </c>
      <c r="D192" s="26">
        <v>1</v>
      </c>
      <c r="E192" s="26">
        <v>417</v>
      </c>
      <c r="F192" s="26">
        <v>417</v>
      </c>
      <c r="G192" s="26">
        <v>417</v>
      </c>
      <c r="J192" s="26">
        <v>17</v>
      </c>
      <c r="K192" s="2" t="s">
        <v>3521</v>
      </c>
      <c r="L192" s="26">
        <v>73.599999999999994</v>
      </c>
      <c r="M192" s="26">
        <v>0</v>
      </c>
      <c r="N192" s="26">
        <v>0</v>
      </c>
      <c r="O192" s="26">
        <v>0</v>
      </c>
      <c r="P192" s="26">
        <v>26.4</v>
      </c>
      <c r="Q192" s="26">
        <v>6</v>
      </c>
      <c r="U192">
        <v>4</v>
      </c>
      <c r="V192" s="1" t="s">
        <v>1154</v>
      </c>
      <c r="W192" s="1" t="s">
        <v>1415</v>
      </c>
      <c r="Y192" s="1" t="s">
        <v>56</v>
      </c>
      <c r="AA192" s="1" t="s">
        <v>61</v>
      </c>
      <c r="AC192" t="s">
        <v>1156</v>
      </c>
      <c r="AE192" t="s">
        <v>1193</v>
      </c>
    </row>
    <row r="193" spans="1:31" ht="120" customHeight="1" x14ac:dyDescent="0.25">
      <c r="A193" s="26" t="s">
        <v>1194</v>
      </c>
      <c r="B193" s="26" t="s">
        <v>1195</v>
      </c>
      <c r="C193" s="26" t="s">
        <v>350</v>
      </c>
      <c r="D193" s="26">
        <v>1</v>
      </c>
      <c r="E193" s="26">
        <v>100</v>
      </c>
      <c r="F193" s="26">
        <v>100</v>
      </c>
      <c r="G193" s="26">
        <v>100</v>
      </c>
      <c r="J193" s="26">
        <v>16</v>
      </c>
      <c r="K193" s="2" t="s">
        <v>3522</v>
      </c>
      <c r="L193" s="26">
        <v>0</v>
      </c>
      <c r="M193" s="26">
        <v>0</v>
      </c>
      <c r="N193" s="26">
        <v>0</v>
      </c>
      <c r="O193" s="26">
        <v>0</v>
      </c>
      <c r="P193" s="26">
        <v>100</v>
      </c>
      <c r="U193">
        <v>1</v>
      </c>
      <c r="V193" t="s">
        <v>1154</v>
      </c>
      <c r="Y193" s="1" t="s">
        <v>56</v>
      </c>
      <c r="AA193" s="1" t="s">
        <v>61</v>
      </c>
      <c r="AC193" t="s">
        <v>1156</v>
      </c>
      <c r="AE193" t="s">
        <v>1196</v>
      </c>
    </row>
    <row r="194" spans="1:31" ht="76.5" customHeight="1" x14ac:dyDescent="0.25">
      <c r="A194" s="26" t="s">
        <v>1197</v>
      </c>
      <c r="B194" s="26" t="s">
        <v>1198</v>
      </c>
      <c r="C194" s="26" t="s">
        <v>350</v>
      </c>
      <c r="D194" s="26">
        <v>1</v>
      </c>
      <c r="E194" s="26">
        <v>156.74</v>
      </c>
      <c r="F194" s="26">
        <v>156.74</v>
      </c>
      <c r="G194" s="26">
        <v>156.74</v>
      </c>
      <c r="J194" s="26">
        <v>17</v>
      </c>
      <c r="K194" s="2" t="s">
        <v>3523</v>
      </c>
      <c r="L194" s="26">
        <v>0</v>
      </c>
      <c r="M194" s="26">
        <v>28.8</v>
      </c>
      <c r="N194" s="26">
        <v>55.3</v>
      </c>
      <c r="O194" s="26">
        <v>0</v>
      </c>
      <c r="P194" s="26">
        <v>15.9</v>
      </c>
      <c r="R194" s="26">
        <v>5</v>
      </c>
      <c r="S194" s="26">
        <v>1</v>
      </c>
      <c r="U194" s="26">
        <v>1</v>
      </c>
      <c r="V194" s="1" t="s">
        <v>1154</v>
      </c>
      <c r="W194" s="1" t="s">
        <v>1323</v>
      </c>
      <c r="Y194" s="1" t="s">
        <v>56</v>
      </c>
      <c r="AA194" s="1" t="s">
        <v>61</v>
      </c>
      <c r="AC194" t="s">
        <v>1156</v>
      </c>
      <c r="AE194" t="s">
        <v>1199</v>
      </c>
    </row>
    <row r="195" spans="1:31" ht="190.5" customHeight="1" x14ac:dyDescent="0.25">
      <c r="A195" s="26" t="s">
        <v>1200</v>
      </c>
      <c r="B195" s="26" t="s">
        <v>1201</v>
      </c>
      <c r="C195" s="26" t="s">
        <v>350</v>
      </c>
      <c r="D195" s="26">
        <v>1</v>
      </c>
      <c r="E195" s="26">
        <v>307.2</v>
      </c>
      <c r="F195" s="26">
        <v>307.2</v>
      </c>
      <c r="G195" s="26">
        <v>307.2</v>
      </c>
      <c r="J195" s="26">
        <v>33</v>
      </c>
      <c r="K195" s="2" t="s">
        <v>3524</v>
      </c>
      <c r="L195" s="26">
        <v>78.099999999999994</v>
      </c>
      <c r="M195" s="26">
        <v>0</v>
      </c>
      <c r="N195" s="26">
        <v>0</v>
      </c>
      <c r="O195" s="26">
        <v>0</v>
      </c>
      <c r="P195" s="26">
        <v>21.9</v>
      </c>
      <c r="Q195" s="26">
        <v>4</v>
      </c>
      <c r="U195">
        <v>1</v>
      </c>
      <c r="V195" s="1" t="s">
        <v>1154</v>
      </c>
      <c r="W195" s="1" t="s">
        <v>1389</v>
      </c>
      <c r="Y195" s="1" t="s">
        <v>56</v>
      </c>
      <c r="AA195" s="1" t="s">
        <v>61</v>
      </c>
      <c r="AC195" t="s">
        <v>1156</v>
      </c>
      <c r="AE195" t="s">
        <v>1202</v>
      </c>
    </row>
    <row r="196" spans="1:31" ht="39" customHeight="1" x14ac:dyDescent="0.25">
      <c r="A196" s="26" t="s">
        <v>1203</v>
      </c>
      <c r="B196" s="2" t="s">
        <v>1204</v>
      </c>
      <c r="C196" s="26" t="s">
        <v>350</v>
      </c>
      <c r="D196" s="26">
        <v>1</v>
      </c>
      <c r="E196" s="26">
        <v>220</v>
      </c>
      <c r="F196" s="26">
        <v>220</v>
      </c>
      <c r="G196" s="26">
        <v>220</v>
      </c>
      <c r="J196" s="26">
        <v>4</v>
      </c>
      <c r="K196" s="2" t="s">
        <v>3525</v>
      </c>
      <c r="L196" s="26">
        <v>100</v>
      </c>
      <c r="M196" s="26">
        <v>0</v>
      </c>
      <c r="N196" s="26">
        <v>0</v>
      </c>
      <c r="O196" s="26">
        <v>0</v>
      </c>
      <c r="P196" s="26">
        <v>0</v>
      </c>
      <c r="Q196" s="26">
        <v>1</v>
      </c>
      <c r="V196" s="1" t="s">
        <v>1154</v>
      </c>
      <c r="W196" s="1" t="s">
        <v>1624</v>
      </c>
      <c r="Y196" s="1" t="s">
        <v>56</v>
      </c>
      <c r="Z196" s="1" t="s">
        <v>795</v>
      </c>
      <c r="AA196" s="1" t="s">
        <v>61</v>
      </c>
      <c r="AC196" t="s">
        <v>1156</v>
      </c>
      <c r="AE196" t="s">
        <v>1205</v>
      </c>
    </row>
    <row r="197" spans="1:31" ht="180.75" customHeight="1" x14ac:dyDescent="0.25">
      <c r="A197" s="2" t="s">
        <v>3528</v>
      </c>
      <c r="B197" s="2" t="s">
        <v>3529</v>
      </c>
      <c r="C197" s="26" t="s">
        <v>350</v>
      </c>
      <c r="D197" s="26">
        <v>2</v>
      </c>
      <c r="E197" s="26">
        <f>111+483</f>
        <v>594</v>
      </c>
      <c r="F197" s="26">
        <f>111+483</f>
        <v>594</v>
      </c>
      <c r="G197" s="26">
        <f>E197/D197</f>
        <v>297</v>
      </c>
      <c r="J197" s="26">
        <v>157</v>
      </c>
      <c r="K197" s="2" t="s">
        <v>3527</v>
      </c>
      <c r="V197" s="1" t="s">
        <v>1154</v>
      </c>
      <c r="W197" s="1" t="s">
        <v>3449</v>
      </c>
      <c r="Y197" s="1" t="s">
        <v>3526</v>
      </c>
      <c r="AA197" s="1" t="s">
        <v>61</v>
      </c>
      <c r="AC197" t="s">
        <v>1156</v>
      </c>
      <c r="AE197" t="s">
        <v>3530</v>
      </c>
    </row>
    <row r="198" spans="1:31" ht="110.25" customHeight="1" x14ac:dyDescent="0.25">
      <c r="A198" s="26" t="s">
        <v>1206</v>
      </c>
      <c r="B198" s="26" t="s">
        <v>1207</v>
      </c>
      <c r="C198" s="26" t="s">
        <v>350</v>
      </c>
      <c r="D198" s="26">
        <v>1</v>
      </c>
      <c r="E198" s="26">
        <v>642.4</v>
      </c>
      <c r="F198" s="26">
        <v>642.4</v>
      </c>
      <c r="G198" s="26">
        <v>642.4</v>
      </c>
      <c r="J198" s="26">
        <v>18</v>
      </c>
      <c r="K198" s="2" t="s">
        <v>3531</v>
      </c>
      <c r="L198" s="26">
        <v>100</v>
      </c>
      <c r="M198" s="26">
        <v>0</v>
      </c>
      <c r="N198" s="26">
        <v>0</v>
      </c>
      <c r="O198" s="26">
        <v>0</v>
      </c>
      <c r="P198" s="26">
        <v>0</v>
      </c>
      <c r="Q198" s="26">
        <v>14</v>
      </c>
      <c r="V198" s="1" t="s">
        <v>1154</v>
      </c>
      <c r="W198" s="1" t="s">
        <v>178</v>
      </c>
      <c r="Y198" s="1" t="s">
        <v>56</v>
      </c>
      <c r="AA198" s="1" t="s">
        <v>61</v>
      </c>
      <c r="AC198" t="s">
        <v>1156</v>
      </c>
      <c r="AE198" t="s">
        <v>1208</v>
      </c>
    </row>
    <row r="199" spans="1:31" ht="77.25" customHeight="1" x14ac:dyDescent="0.25">
      <c r="A199" s="26" t="s">
        <v>1209</v>
      </c>
      <c r="B199" s="26" t="s">
        <v>1210</v>
      </c>
      <c r="C199" s="26" t="s">
        <v>350</v>
      </c>
      <c r="D199" s="26">
        <v>1</v>
      </c>
      <c r="E199" s="26">
        <v>201.6</v>
      </c>
      <c r="F199" s="26">
        <v>201.6</v>
      </c>
      <c r="G199" s="26">
        <v>201.6</v>
      </c>
      <c r="J199" s="26">
        <v>5</v>
      </c>
      <c r="K199" s="2" t="s">
        <v>3533</v>
      </c>
      <c r="L199" s="26">
        <v>0</v>
      </c>
      <c r="M199" s="26">
        <v>2.5</v>
      </c>
      <c r="N199" s="26">
        <v>2.5</v>
      </c>
      <c r="O199" s="26">
        <v>0</v>
      </c>
      <c r="P199" s="26">
        <v>95</v>
      </c>
      <c r="R199" s="26">
        <v>1</v>
      </c>
      <c r="S199" s="26">
        <v>1</v>
      </c>
      <c r="U199" s="26">
        <v>1</v>
      </c>
      <c r="V199" s="1" t="s">
        <v>1154</v>
      </c>
      <c r="W199" s="1" t="s">
        <v>3532</v>
      </c>
      <c r="Y199" s="1" t="s">
        <v>56</v>
      </c>
      <c r="Z199" s="1" t="s">
        <v>327</v>
      </c>
      <c r="AA199" s="1" t="s">
        <v>61</v>
      </c>
      <c r="AC199" t="s">
        <v>1156</v>
      </c>
      <c r="AE199" t="s">
        <v>1211</v>
      </c>
    </row>
    <row r="200" spans="1:31" ht="103.5" customHeight="1" x14ac:dyDescent="0.25">
      <c r="A200" s="2" t="s">
        <v>1212</v>
      </c>
      <c r="B200" s="26" t="s">
        <v>1213</v>
      </c>
      <c r="C200" s="26" t="s">
        <v>350</v>
      </c>
      <c r="D200" s="26">
        <v>1</v>
      </c>
      <c r="E200" s="26">
        <v>18.5</v>
      </c>
      <c r="F200" s="26">
        <v>18.5</v>
      </c>
      <c r="G200" s="26">
        <v>18.5</v>
      </c>
      <c r="J200" s="26">
        <v>10</v>
      </c>
      <c r="K200" s="2" t="s">
        <v>3536</v>
      </c>
      <c r="L200" s="26">
        <v>100</v>
      </c>
      <c r="M200" s="26">
        <v>0</v>
      </c>
      <c r="N200" s="26">
        <v>0</v>
      </c>
      <c r="O200" s="26">
        <v>0</v>
      </c>
      <c r="P200" s="26">
        <v>0</v>
      </c>
      <c r="Q200" s="26">
        <v>1</v>
      </c>
      <c r="V200" s="1" t="s">
        <v>1154</v>
      </c>
      <c r="W200" s="1" t="s">
        <v>1746</v>
      </c>
      <c r="Y200" s="1" t="s">
        <v>56</v>
      </c>
      <c r="Z200" s="1" t="s">
        <v>747</v>
      </c>
      <c r="AA200" s="1" t="s">
        <v>61</v>
      </c>
      <c r="AC200" t="s">
        <v>1156</v>
      </c>
      <c r="AE200" t="s">
        <v>1214</v>
      </c>
    </row>
    <row r="201" spans="1:31" ht="165" customHeight="1" x14ac:dyDescent="0.25">
      <c r="A201" s="2" t="s">
        <v>1215</v>
      </c>
      <c r="B201" s="26" t="s">
        <v>1170</v>
      </c>
      <c r="C201" s="26" t="s">
        <v>350</v>
      </c>
      <c r="D201" s="26">
        <v>1</v>
      </c>
      <c r="E201" s="26">
        <v>175</v>
      </c>
      <c r="F201" s="26">
        <v>175</v>
      </c>
      <c r="G201" s="26">
        <v>175</v>
      </c>
      <c r="J201" s="26">
        <v>14</v>
      </c>
      <c r="K201" s="2" t="s">
        <v>3538</v>
      </c>
      <c r="L201" s="26">
        <v>0</v>
      </c>
      <c r="M201" s="26">
        <v>0</v>
      </c>
      <c r="N201" s="26">
        <v>91.4</v>
      </c>
      <c r="O201" s="26">
        <v>8.6</v>
      </c>
      <c r="P201" s="26">
        <v>0</v>
      </c>
      <c r="S201" s="26">
        <v>3</v>
      </c>
      <c r="T201" s="26">
        <v>1</v>
      </c>
      <c r="V201" s="1" t="s">
        <v>1154</v>
      </c>
      <c r="W201" s="1" t="s">
        <v>3537</v>
      </c>
      <c r="Y201" s="1" t="s">
        <v>56</v>
      </c>
      <c r="AA201" s="1" t="s">
        <v>61</v>
      </c>
      <c r="AC201" t="s">
        <v>1156</v>
      </c>
      <c r="AE201" t="s">
        <v>1216</v>
      </c>
    </row>
    <row r="202" spans="1:31" ht="87" customHeight="1" x14ac:dyDescent="0.25">
      <c r="A202" s="2" t="s">
        <v>1217</v>
      </c>
      <c r="B202" s="26" t="s">
        <v>1218</v>
      </c>
      <c r="C202" s="26" t="s">
        <v>350</v>
      </c>
      <c r="D202" s="26">
        <v>1</v>
      </c>
      <c r="E202" s="26">
        <v>1277</v>
      </c>
      <c r="F202" s="26">
        <f>1277-988</f>
        <v>289</v>
      </c>
      <c r="G202" s="26">
        <f>E202/D202</f>
        <v>1277</v>
      </c>
      <c r="J202" s="26">
        <v>513</v>
      </c>
      <c r="K202" s="2" t="s">
        <v>3540</v>
      </c>
      <c r="L202" s="26">
        <v>0</v>
      </c>
      <c r="M202" s="26">
        <v>0</v>
      </c>
      <c r="N202" s="26">
        <v>0</v>
      </c>
      <c r="O202" s="26">
        <v>0</v>
      </c>
      <c r="P202" s="26">
        <v>100</v>
      </c>
      <c r="U202">
        <v>7</v>
      </c>
      <c r="V202" s="1" t="s">
        <v>1154</v>
      </c>
      <c r="W202" s="1" t="s">
        <v>1299</v>
      </c>
      <c r="Y202" s="1" t="s">
        <v>3539</v>
      </c>
      <c r="AA202" s="1" t="s">
        <v>61</v>
      </c>
      <c r="AC202" t="s">
        <v>1156</v>
      </c>
      <c r="AE202" t="s">
        <v>1219</v>
      </c>
    </row>
    <row r="203" spans="1:31" ht="151.5" customHeight="1" x14ac:dyDescent="0.25">
      <c r="A203" s="26" t="s">
        <v>1220</v>
      </c>
      <c r="B203" s="26" t="s">
        <v>3681</v>
      </c>
      <c r="C203" s="26" t="s">
        <v>350</v>
      </c>
      <c r="D203" s="26">
        <v>1</v>
      </c>
      <c r="E203" s="26">
        <v>266.12</v>
      </c>
      <c r="F203" s="26">
        <f>266.2-70-20</f>
        <v>176.2</v>
      </c>
      <c r="G203" s="26">
        <f>E203/D203</f>
        <v>266.12</v>
      </c>
      <c r="J203" s="26">
        <v>68</v>
      </c>
      <c r="K203" s="2" t="s">
        <v>3541</v>
      </c>
      <c r="L203" s="26">
        <v>83</v>
      </c>
      <c r="M203" s="26">
        <v>0</v>
      </c>
      <c r="N203" s="26">
        <v>0</v>
      </c>
      <c r="O203" s="26">
        <v>0</v>
      </c>
      <c r="P203" s="26">
        <v>17</v>
      </c>
      <c r="Q203" s="26">
        <v>8</v>
      </c>
      <c r="U203">
        <v>1</v>
      </c>
      <c r="V203" s="1" t="s">
        <v>1154</v>
      </c>
      <c r="W203" s="1" t="s">
        <v>1310</v>
      </c>
      <c r="Y203" s="1" t="s">
        <v>1259</v>
      </c>
      <c r="AA203" s="1" t="s">
        <v>61</v>
      </c>
      <c r="AC203" s="51" t="s">
        <v>1156</v>
      </c>
      <c r="AE203" t="s">
        <v>1222</v>
      </c>
    </row>
    <row r="204" spans="1:31" ht="206.25" customHeight="1" x14ac:dyDescent="0.25">
      <c r="A204" s="26" t="s">
        <v>1223</v>
      </c>
      <c r="B204" s="26" t="s">
        <v>1224</v>
      </c>
      <c r="C204" s="26" t="s">
        <v>350</v>
      </c>
      <c r="D204" s="26">
        <v>1</v>
      </c>
      <c r="E204" s="26">
        <v>272</v>
      </c>
      <c r="F204" s="26">
        <v>272</v>
      </c>
      <c r="G204" s="26">
        <v>272</v>
      </c>
      <c r="J204" s="26">
        <v>122</v>
      </c>
      <c r="K204" s="2" t="s">
        <v>3542</v>
      </c>
      <c r="L204" s="26">
        <v>0</v>
      </c>
      <c r="M204" s="26">
        <v>0</v>
      </c>
      <c r="N204" s="26">
        <v>0</v>
      </c>
      <c r="O204" s="26">
        <v>0</v>
      </c>
      <c r="P204" s="26">
        <v>100</v>
      </c>
      <c r="U204">
        <v>1</v>
      </c>
      <c r="V204" s="1" t="s">
        <v>1154</v>
      </c>
      <c r="W204" s="1" t="s">
        <v>1406</v>
      </c>
      <c r="Y204" s="1" t="s">
        <v>56</v>
      </c>
      <c r="AA204" s="1" t="s">
        <v>61</v>
      </c>
      <c r="AC204" t="s">
        <v>1156</v>
      </c>
      <c r="AE204" t="s">
        <v>1225</v>
      </c>
    </row>
    <row r="205" spans="1:31" ht="141.75" customHeight="1" x14ac:dyDescent="0.25">
      <c r="A205" s="26" t="s">
        <v>1226</v>
      </c>
      <c r="B205" s="2" t="s">
        <v>1227</v>
      </c>
      <c r="C205" s="26" t="s">
        <v>350</v>
      </c>
      <c r="D205" s="26">
        <v>2</v>
      </c>
      <c r="E205" s="26">
        <f>460+189.68</f>
        <v>649.68000000000006</v>
      </c>
      <c r="F205" s="26">
        <f>460+189.68</f>
        <v>649.68000000000006</v>
      </c>
      <c r="G205" s="26">
        <f>E205/D205</f>
        <v>324.84000000000003</v>
      </c>
      <c r="J205" s="26">
        <f>38+75</f>
        <v>113</v>
      </c>
      <c r="K205" s="2" t="s">
        <v>3543</v>
      </c>
      <c r="L205" s="26">
        <v>3.1</v>
      </c>
      <c r="M205" s="26">
        <v>0</v>
      </c>
      <c r="N205" s="26">
        <v>18.5</v>
      </c>
      <c r="O205" s="26">
        <v>0</v>
      </c>
      <c r="P205" s="26">
        <v>78.400000000000006</v>
      </c>
      <c r="Q205" s="26">
        <v>1</v>
      </c>
      <c r="S205" s="26">
        <v>2</v>
      </c>
      <c r="U205" s="26">
        <v>1</v>
      </c>
      <c r="V205" s="1" t="s">
        <v>1154</v>
      </c>
      <c r="W205" s="1" t="s">
        <v>1331</v>
      </c>
      <c r="Y205" s="1" t="s">
        <v>56</v>
      </c>
      <c r="Z205" s="1" t="s">
        <v>747</v>
      </c>
      <c r="AA205" s="1" t="s">
        <v>61</v>
      </c>
      <c r="AC205" t="s">
        <v>1156</v>
      </c>
      <c r="AE205" t="s">
        <v>1228</v>
      </c>
    </row>
    <row r="206" spans="1:31" ht="126" customHeight="1" x14ac:dyDescent="0.25">
      <c r="A206" s="2" t="s">
        <v>1229</v>
      </c>
      <c r="B206" s="2" t="s">
        <v>3491</v>
      </c>
      <c r="C206" s="26" t="s">
        <v>350</v>
      </c>
      <c r="J206" s="26">
        <v>1</v>
      </c>
      <c r="V206" s="1" t="s">
        <v>1154</v>
      </c>
      <c r="W206" s="1" t="s">
        <v>3490</v>
      </c>
      <c r="Y206" s="1" t="s">
        <v>56</v>
      </c>
      <c r="Z206" s="1" t="s">
        <v>89</v>
      </c>
      <c r="AA206" s="1" t="s">
        <v>61</v>
      </c>
      <c r="AC206" t="s">
        <v>1156</v>
      </c>
      <c r="AE206" t="s">
        <v>1208</v>
      </c>
    </row>
    <row r="207" spans="1:31" ht="183.75" customHeight="1" x14ac:dyDescent="0.25">
      <c r="A207" s="2" t="s">
        <v>1230</v>
      </c>
      <c r="B207" s="26" t="s">
        <v>1231</v>
      </c>
      <c r="C207" s="26" t="s">
        <v>350</v>
      </c>
      <c r="D207" s="26">
        <v>1</v>
      </c>
      <c r="E207" s="26">
        <v>100</v>
      </c>
      <c r="F207" s="26">
        <v>100</v>
      </c>
      <c r="G207" s="26">
        <v>100</v>
      </c>
      <c r="J207" s="26">
        <v>3</v>
      </c>
      <c r="K207" s="2" t="s">
        <v>3544</v>
      </c>
      <c r="L207" s="26">
        <v>100</v>
      </c>
      <c r="M207" s="26">
        <v>0</v>
      </c>
      <c r="N207" s="26">
        <v>0</v>
      </c>
      <c r="O207" s="26">
        <v>0</v>
      </c>
      <c r="P207" s="26">
        <v>0</v>
      </c>
      <c r="Q207" s="26">
        <v>2</v>
      </c>
      <c r="V207" s="1" t="s">
        <v>1154</v>
      </c>
      <c r="W207" s="1" t="s">
        <v>1813</v>
      </c>
      <c r="Y207" s="1" t="s">
        <v>56</v>
      </c>
      <c r="AA207" s="1" t="s">
        <v>61</v>
      </c>
      <c r="AC207" t="s">
        <v>1156</v>
      </c>
      <c r="AE207" t="s">
        <v>1232</v>
      </c>
    </row>
    <row r="208" spans="1:31" ht="118.5" customHeight="1" x14ac:dyDescent="0.25">
      <c r="A208" s="2" t="s">
        <v>1233</v>
      </c>
      <c r="B208" s="26" t="s">
        <v>1234</v>
      </c>
      <c r="C208" s="26" t="s">
        <v>350</v>
      </c>
      <c r="D208" s="26">
        <v>1</v>
      </c>
      <c r="E208" s="26">
        <v>125</v>
      </c>
      <c r="F208" s="26">
        <v>125</v>
      </c>
      <c r="G208" s="26">
        <v>125</v>
      </c>
      <c r="J208" s="26">
        <v>23</v>
      </c>
      <c r="K208" s="2" t="s">
        <v>3545</v>
      </c>
      <c r="L208" s="26">
        <v>60</v>
      </c>
      <c r="M208" s="26">
        <v>0</v>
      </c>
      <c r="N208" s="26">
        <v>0</v>
      </c>
      <c r="O208" s="26">
        <v>0</v>
      </c>
      <c r="P208" s="26">
        <v>40</v>
      </c>
      <c r="Q208" s="26">
        <v>4</v>
      </c>
      <c r="U208">
        <v>2</v>
      </c>
      <c r="V208" s="1" t="s">
        <v>1154</v>
      </c>
      <c r="W208" s="1" t="s">
        <v>1421</v>
      </c>
      <c r="Y208" s="1" t="s">
        <v>56</v>
      </c>
      <c r="AA208" s="1" t="s">
        <v>61</v>
      </c>
      <c r="AC208" t="s">
        <v>1156</v>
      </c>
      <c r="AE208" t="s">
        <v>1235</v>
      </c>
    </row>
    <row r="209" spans="1:37" ht="194.25" customHeight="1" x14ac:dyDescent="0.25">
      <c r="A209" s="26" t="s">
        <v>1236</v>
      </c>
      <c r="B209" s="26" t="s">
        <v>1237</v>
      </c>
      <c r="C209" s="26" t="s">
        <v>350</v>
      </c>
      <c r="D209" s="26">
        <v>1</v>
      </c>
      <c r="E209" s="26">
        <v>1000</v>
      </c>
      <c r="F209" s="26">
        <v>1000</v>
      </c>
      <c r="G209" s="26">
        <v>1000</v>
      </c>
      <c r="J209" s="26">
        <v>38</v>
      </c>
      <c r="K209" s="2" t="s">
        <v>3546</v>
      </c>
      <c r="L209" s="26">
        <v>0</v>
      </c>
      <c r="M209" s="26">
        <v>0</v>
      </c>
      <c r="N209" s="26">
        <v>0</v>
      </c>
      <c r="O209" s="26">
        <v>0</v>
      </c>
      <c r="P209" s="26">
        <v>100</v>
      </c>
      <c r="U209">
        <v>1</v>
      </c>
      <c r="V209" s="1" t="s">
        <v>1154</v>
      </c>
      <c r="W209" s="1" t="s">
        <v>1360</v>
      </c>
      <c r="Y209" s="1" t="s">
        <v>56</v>
      </c>
      <c r="Z209" s="1" t="s">
        <v>562</v>
      </c>
      <c r="AA209" s="1" t="s">
        <v>61</v>
      </c>
      <c r="AC209" t="s">
        <v>1156</v>
      </c>
      <c r="AE209" t="s">
        <v>1238</v>
      </c>
    </row>
    <row r="210" spans="1:37" ht="128.25" x14ac:dyDescent="0.25">
      <c r="A210" s="26" t="s">
        <v>1239</v>
      </c>
      <c r="B210" s="26" t="s">
        <v>1240</v>
      </c>
      <c r="C210" s="26" t="s">
        <v>350</v>
      </c>
      <c r="D210" s="26">
        <v>1</v>
      </c>
      <c r="E210" s="26">
        <v>824</v>
      </c>
      <c r="F210" s="26">
        <v>824</v>
      </c>
      <c r="G210" s="26">
        <v>824</v>
      </c>
      <c r="J210" s="26">
        <v>42</v>
      </c>
      <c r="K210" s="2" t="s">
        <v>3547</v>
      </c>
      <c r="L210" s="26">
        <v>7.8</v>
      </c>
      <c r="M210" s="26">
        <v>17</v>
      </c>
      <c r="N210" s="26">
        <v>75.2</v>
      </c>
      <c r="O210" s="26">
        <v>0</v>
      </c>
      <c r="P210" s="26">
        <v>0</v>
      </c>
      <c r="Q210" s="26">
        <v>2</v>
      </c>
      <c r="R210" s="26">
        <v>7</v>
      </c>
      <c r="S210" s="26">
        <v>2</v>
      </c>
      <c r="V210" s="1" t="s">
        <v>1154</v>
      </c>
      <c r="W210" s="1" t="s">
        <v>290</v>
      </c>
      <c r="Y210" s="1" t="s">
        <v>56</v>
      </c>
      <c r="Z210" s="1" t="s">
        <v>1241</v>
      </c>
      <c r="AA210" s="1" t="s">
        <v>61</v>
      </c>
      <c r="AC210" t="s">
        <v>1156</v>
      </c>
      <c r="AE210" t="s">
        <v>1242</v>
      </c>
    </row>
    <row r="211" spans="1:37" ht="256.5" customHeight="1" x14ac:dyDescent="0.25">
      <c r="A211" s="2" t="s">
        <v>1243</v>
      </c>
      <c r="B211" s="26" t="s">
        <v>1244</v>
      </c>
      <c r="C211" s="26" t="s">
        <v>350</v>
      </c>
      <c r="J211" s="26">
        <v>1</v>
      </c>
      <c r="V211" s="1" t="s">
        <v>1154</v>
      </c>
      <c r="W211" s="1" t="s">
        <v>3495</v>
      </c>
      <c r="Y211" s="1" t="s">
        <v>56</v>
      </c>
      <c r="Z211" s="1" t="s">
        <v>89</v>
      </c>
      <c r="AA211" s="1" t="s">
        <v>61</v>
      </c>
      <c r="AC211" t="s">
        <v>1156</v>
      </c>
      <c r="AE211" t="s">
        <v>1208</v>
      </c>
    </row>
    <row r="212" spans="1:37" ht="48.75" customHeight="1" x14ac:dyDescent="0.25">
      <c r="A212" s="2" t="s">
        <v>1246</v>
      </c>
      <c r="B212" s="26" t="s">
        <v>1247</v>
      </c>
      <c r="C212" s="26" t="s">
        <v>350</v>
      </c>
      <c r="J212" s="26">
        <v>1</v>
      </c>
      <c r="V212" s="1" t="s">
        <v>1154</v>
      </c>
      <c r="W212" s="1" t="s">
        <v>3499</v>
      </c>
      <c r="Y212" s="1" t="s">
        <v>56</v>
      </c>
      <c r="AA212" s="1" t="s">
        <v>61</v>
      </c>
      <c r="AC212" t="s">
        <v>1156</v>
      </c>
      <c r="AE212" t="s">
        <v>1208</v>
      </c>
    </row>
    <row r="213" spans="1:37" ht="245.25" customHeight="1" x14ac:dyDescent="0.25">
      <c r="A213" s="2" t="s">
        <v>1248</v>
      </c>
      <c r="B213" s="2" t="s">
        <v>1249</v>
      </c>
      <c r="C213" s="26" t="s">
        <v>350</v>
      </c>
      <c r="D213" s="26">
        <v>1</v>
      </c>
      <c r="E213" s="26">
        <v>984.4</v>
      </c>
      <c r="F213" s="26">
        <v>984.4</v>
      </c>
      <c r="G213" s="26">
        <v>984.4</v>
      </c>
      <c r="J213" s="26">
        <v>36</v>
      </c>
      <c r="K213" s="2" t="s">
        <v>3549</v>
      </c>
      <c r="L213" s="26">
        <v>18.3</v>
      </c>
      <c r="M213" s="26">
        <v>0</v>
      </c>
      <c r="N213" s="26">
        <v>0</v>
      </c>
      <c r="O213" s="26">
        <v>0</v>
      </c>
      <c r="P213" s="26">
        <v>81.7</v>
      </c>
      <c r="Q213" s="26">
        <v>3</v>
      </c>
      <c r="U213">
        <v>10</v>
      </c>
      <c r="V213" s="1" t="s">
        <v>1154</v>
      </c>
      <c r="W213" s="1" t="s">
        <v>1283</v>
      </c>
      <c r="Y213" s="1" t="s">
        <v>56</v>
      </c>
      <c r="Z213" s="1" t="s">
        <v>327</v>
      </c>
      <c r="AA213" s="1" t="s">
        <v>60</v>
      </c>
      <c r="AC213" t="s">
        <v>1156</v>
      </c>
      <c r="AE213" t="s">
        <v>1250</v>
      </c>
    </row>
    <row r="214" spans="1:37" ht="135" customHeight="1" x14ac:dyDescent="0.25">
      <c r="A214" s="2" t="s">
        <v>1540</v>
      </c>
      <c r="B214" s="26" t="s">
        <v>1251</v>
      </c>
      <c r="C214" s="26" t="s">
        <v>350</v>
      </c>
      <c r="D214" s="26">
        <v>1</v>
      </c>
      <c r="E214" s="26">
        <v>45</v>
      </c>
      <c r="F214" s="26">
        <v>45</v>
      </c>
      <c r="G214" s="26">
        <v>45</v>
      </c>
      <c r="J214" s="26">
        <v>4</v>
      </c>
      <c r="K214" s="2" t="s">
        <v>3553</v>
      </c>
      <c r="L214" s="26">
        <v>0</v>
      </c>
      <c r="M214" s="26">
        <v>100</v>
      </c>
      <c r="N214" s="26">
        <v>0</v>
      </c>
      <c r="O214" s="26">
        <v>0</v>
      </c>
      <c r="P214" s="26">
        <v>0</v>
      </c>
      <c r="R214" s="26">
        <v>2</v>
      </c>
      <c r="V214" s="1" t="s">
        <v>1154</v>
      </c>
      <c r="W214" s="1" t="s">
        <v>3551</v>
      </c>
      <c r="Y214" s="1" t="s">
        <v>56</v>
      </c>
      <c r="AA214" s="1" t="s">
        <v>61</v>
      </c>
      <c r="AC214" t="s">
        <v>1156</v>
      </c>
      <c r="AE214" t="s">
        <v>1252</v>
      </c>
    </row>
    <row r="215" spans="1:37" ht="90" x14ac:dyDescent="0.25">
      <c r="A215" s="2" t="s">
        <v>1253</v>
      </c>
      <c r="B215" s="26" t="s">
        <v>1254</v>
      </c>
      <c r="C215" s="26" t="s">
        <v>350</v>
      </c>
      <c r="D215" s="26">
        <v>1</v>
      </c>
      <c r="E215" s="26">
        <v>182</v>
      </c>
      <c r="F215" s="26">
        <v>182</v>
      </c>
      <c r="G215" s="26">
        <v>182</v>
      </c>
      <c r="J215" s="26">
        <v>10</v>
      </c>
      <c r="K215" s="2" t="s">
        <v>3552</v>
      </c>
      <c r="L215" s="26">
        <v>45.1</v>
      </c>
      <c r="M215" s="26">
        <v>0</v>
      </c>
      <c r="N215" s="26">
        <v>54.9</v>
      </c>
      <c r="O215" s="26">
        <v>0</v>
      </c>
      <c r="P215" s="26">
        <v>0</v>
      </c>
      <c r="Q215" s="26">
        <v>1</v>
      </c>
      <c r="S215" s="26">
        <v>1</v>
      </c>
      <c r="V215" s="1" t="s">
        <v>1154</v>
      </c>
      <c r="W215" s="1" t="s">
        <v>1696</v>
      </c>
      <c r="Y215" s="1" t="s">
        <v>56</v>
      </c>
      <c r="Z215" s="1" t="s">
        <v>747</v>
      </c>
      <c r="AA215" s="1" t="s">
        <v>61</v>
      </c>
      <c r="AC215" t="s">
        <v>1156</v>
      </c>
      <c r="AE215" t="s">
        <v>1255</v>
      </c>
    </row>
    <row r="216" spans="1:37" ht="150" customHeight="1" x14ac:dyDescent="0.25">
      <c r="A216" s="2" t="s">
        <v>1257</v>
      </c>
      <c r="B216" s="2" t="s">
        <v>1256</v>
      </c>
      <c r="C216" s="26" t="s">
        <v>350</v>
      </c>
      <c r="D216" s="26">
        <v>2</v>
      </c>
      <c r="E216" s="26">
        <f>50.8+28.2</f>
        <v>79</v>
      </c>
      <c r="F216" s="26">
        <f>50.8+28.2</f>
        <v>79</v>
      </c>
      <c r="G216" s="26">
        <f>50.8+28.2</f>
        <v>79</v>
      </c>
      <c r="J216" s="26">
        <f>9+7</f>
        <v>16</v>
      </c>
      <c r="K216" s="2" t="s">
        <v>3554</v>
      </c>
      <c r="L216" s="26">
        <v>100</v>
      </c>
      <c r="M216" s="26">
        <v>0</v>
      </c>
      <c r="N216" s="26">
        <v>0</v>
      </c>
      <c r="O216" s="26">
        <v>0</v>
      </c>
      <c r="P216" s="26">
        <v>0</v>
      </c>
      <c r="Q216" s="26">
        <v>6</v>
      </c>
      <c r="V216" s="1" t="s">
        <v>1154</v>
      </c>
      <c r="W216" s="1" t="s">
        <v>1471</v>
      </c>
      <c r="Y216" s="1" t="s">
        <v>56</v>
      </c>
      <c r="Z216" s="1" t="s">
        <v>747</v>
      </c>
      <c r="AA216" s="1" t="s">
        <v>61</v>
      </c>
      <c r="AC216" t="s">
        <v>1156</v>
      </c>
      <c r="AE216" t="s">
        <v>1258</v>
      </c>
    </row>
    <row r="217" spans="1:37" ht="30" x14ac:dyDescent="0.25">
      <c r="A217" s="1" t="s">
        <v>4573</v>
      </c>
      <c r="B217" s="1" t="s">
        <v>4573</v>
      </c>
      <c r="C217" s="26" t="s">
        <v>350</v>
      </c>
      <c r="D217">
        <v>1</v>
      </c>
      <c r="E217">
        <v>6</v>
      </c>
      <c r="F217">
        <v>6</v>
      </c>
      <c r="G217">
        <v>6</v>
      </c>
      <c r="J217">
        <v>4</v>
      </c>
      <c r="K217" s="60"/>
      <c r="L217" s="60"/>
      <c r="Y217" s="1" t="s">
        <v>56</v>
      </c>
      <c r="AA217" s="1" t="s">
        <v>60</v>
      </c>
      <c r="AC217" t="s">
        <v>3683</v>
      </c>
      <c r="AI217">
        <v>6</v>
      </c>
      <c r="AJ217">
        <v>1</v>
      </c>
      <c r="AK217">
        <v>4</v>
      </c>
    </row>
    <row r="218" spans="1:37" ht="30" x14ac:dyDescent="0.25">
      <c r="A218" s="1" t="s">
        <v>4574</v>
      </c>
      <c r="B218" s="1" t="s">
        <v>4574</v>
      </c>
      <c r="C218" s="26" t="s">
        <v>350</v>
      </c>
      <c r="D218">
        <v>1</v>
      </c>
      <c r="E218">
        <v>4.5999999999999996</v>
      </c>
      <c r="F218">
        <v>4.5999999999999996</v>
      </c>
      <c r="G218">
        <v>4.5999999999999996</v>
      </c>
      <c r="J218">
        <v>6</v>
      </c>
      <c r="K218" s="60"/>
      <c r="L218" s="60"/>
      <c r="Y218" s="1" t="s">
        <v>56</v>
      </c>
      <c r="AA218" s="1" t="s">
        <v>60</v>
      </c>
      <c r="AC218" t="s">
        <v>3683</v>
      </c>
      <c r="AI218">
        <v>4.5999999999999996</v>
      </c>
      <c r="AJ218">
        <v>1</v>
      </c>
      <c r="AK218">
        <v>6</v>
      </c>
    </row>
    <row r="219" spans="1:37" ht="30" x14ac:dyDescent="0.25">
      <c r="A219" s="1" t="s">
        <v>4575</v>
      </c>
      <c r="B219" s="1" t="s">
        <v>4575</v>
      </c>
      <c r="C219" s="26" t="s">
        <v>350</v>
      </c>
      <c r="D219">
        <v>1</v>
      </c>
      <c r="E219">
        <v>4</v>
      </c>
      <c r="F219">
        <v>4</v>
      </c>
      <c r="G219">
        <v>4</v>
      </c>
      <c r="J219">
        <v>7</v>
      </c>
      <c r="K219" s="60"/>
      <c r="L219" s="60"/>
      <c r="Y219" s="1" t="s">
        <v>56</v>
      </c>
      <c r="AA219" s="1" t="s">
        <v>60</v>
      </c>
      <c r="AC219" t="s">
        <v>3683</v>
      </c>
      <c r="AI219">
        <v>4</v>
      </c>
      <c r="AJ219">
        <v>1</v>
      </c>
      <c r="AK219">
        <v>7</v>
      </c>
    </row>
    <row r="220" spans="1:37" ht="105" x14ac:dyDescent="0.25">
      <c r="A220" s="1" t="s">
        <v>4576</v>
      </c>
      <c r="B220" s="1" t="s">
        <v>4576</v>
      </c>
      <c r="C220" s="26" t="s">
        <v>350</v>
      </c>
      <c r="D220">
        <v>1</v>
      </c>
      <c r="E220">
        <v>500</v>
      </c>
      <c r="G220" s="26">
        <f>E220/D220</f>
        <v>500</v>
      </c>
      <c r="J220">
        <v>65</v>
      </c>
      <c r="K220" s="60"/>
      <c r="L220" s="60"/>
      <c r="W220" s="1" t="s">
        <v>4632</v>
      </c>
      <c r="X220" s="1" t="s">
        <v>4633</v>
      </c>
      <c r="Y220" t="s">
        <v>631</v>
      </c>
      <c r="Z220" s="1" t="s">
        <v>327</v>
      </c>
      <c r="AA220" s="1" t="s">
        <v>60</v>
      </c>
      <c r="AC220" t="s">
        <v>4634</v>
      </c>
      <c r="AI220">
        <v>500</v>
      </c>
      <c r="AJ220">
        <v>1</v>
      </c>
      <c r="AK220">
        <v>65</v>
      </c>
    </row>
    <row r="221" spans="1:37" ht="30" x14ac:dyDescent="0.25">
      <c r="A221" s="1" t="s">
        <v>4577</v>
      </c>
      <c r="B221" s="1" t="s">
        <v>4577</v>
      </c>
      <c r="C221" s="26" t="s">
        <v>350</v>
      </c>
      <c r="D221">
        <v>1</v>
      </c>
      <c r="E221">
        <v>7.5</v>
      </c>
      <c r="F221">
        <v>7.5</v>
      </c>
      <c r="G221">
        <v>7.5</v>
      </c>
      <c r="J221">
        <v>2</v>
      </c>
      <c r="K221" s="60"/>
      <c r="L221" s="60"/>
      <c r="Y221" s="1" t="s">
        <v>56</v>
      </c>
      <c r="AA221" s="1" t="s">
        <v>60</v>
      </c>
      <c r="AC221" t="s">
        <v>3683</v>
      </c>
      <c r="AI221">
        <v>7.5</v>
      </c>
      <c r="AJ221">
        <v>1</v>
      </c>
      <c r="AK221">
        <v>2</v>
      </c>
    </row>
    <row r="222" spans="1:37" ht="30" x14ac:dyDescent="0.25">
      <c r="A222" s="1" t="s">
        <v>4578</v>
      </c>
      <c r="B222" s="1" t="s">
        <v>4578</v>
      </c>
      <c r="C222" s="26" t="s">
        <v>350</v>
      </c>
      <c r="D222">
        <v>1</v>
      </c>
      <c r="E222">
        <v>129.76</v>
      </c>
      <c r="F222">
        <v>129.76</v>
      </c>
      <c r="G222">
        <v>129.76</v>
      </c>
      <c r="J222">
        <v>8</v>
      </c>
      <c r="K222" s="60"/>
      <c r="L222" s="60"/>
      <c r="Y222" s="1" t="s">
        <v>56</v>
      </c>
      <c r="AA222" s="1" t="s">
        <v>60</v>
      </c>
      <c r="AC222" t="s">
        <v>3683</v>
      </c>
      <c r="AI222">
        <v>129.76</v>
      </c>
      <c r="AJ222">
        <v>2</v>
      </c>
      <c r="AK222">
        <v>8</v>
      </c>
    </row>
    <row r="223" spans="1:37" ht="45" customHeight="1" x14ac:dyDescent="0.25">
      <c r="A223" s="1" t="s">
        <v>4579</v>
      </c>
      <c r="B223" s="1" t="s">
        <v>4579</v>
      </c>
      <c r="C223" s="26" t="s">
        <v>350</v>
      </c>
      <c r="D223">
        <v>1</v>
      </c>
      <c r="E223">
        <v>16</v>
      </c>
      <c r="F223">
        <v>16</v>
      </c>
      <c r="G223">
        <v>16</v>
      </c>
      <c r="J223">
        <v>10</v>
      </c>
      <c r="K223" s="60"/>
      <c r="L223" s="60"/>
      <c r="Y223" s="1" t="s">
        <v>56</v>
      </c>
      <c r="AA223" s="1" t="s">
        <v>60</v>
      </c>
      <c r="AC223" t="s">
        <v>3683</v>
      </c>
      <c r="AI223">
        <v>16</v>
      </c>
      <c r="AJ223">
        <v>1</v>
      </c>
      <c r="AK223">
        <v>10</v>
      </c>
    </row>
    <row r="224" spans="1:37" ht="30" x14ac:dyDescent="0.25">
      <c r="A224" s="1" t="s">
        <v>4580</v>
      </c>
      <c r="B224" s="1" t="s">
        <v>4580</v>
      </c>
      <c r="C224" s="26" t="s">
        <v>350</v>
      </c>
      <c r="D224">
        <v>1</v>
      </c>
      <c r="E224">
        <v>9.85</v>
      </c>
      <c r="F224">
        <v>9.85</v>
      </c>
      <c r="G224">
        <v>9.85</v>
      </c>
      <c r="J224">
        <v>3</v>
      </c>
      <c r="K224" s="60"/>
      <c r="L224" s="60"/>
      <c r="Y224" s="1" t="s">
        <v>56</v>
      </c>
      <c r="AA224" s="1" t="s">
        <v>60</v>
      </c>
      <c r="AC224" t="s">
        <v>3683</v>
      </c>
      <c r="AI224">
        <v>9.85</v>
      </c>
      <c r="AJ224">
        <v>1</v>
      </c>
      <c r="AK224">
        <v>3</v>
      </c>
    </row>
    <row r="225" spans="1:37" ht="30" x14ac:dyDescent="0.25">
      <c r="A225" s="1" t="s">
        <v>4581</v>
      </c>
      <c r="B225" s="1" t="s">
        <v>4581</v>
      </c>
      <c r="C225" s="26" t="s">
        <v>350</v>
      </c>
      <c r="D225">
        <v>1</v>
      </c>
      <c r="E225">
        <v>4.3499999999999996</v>
      </c>
      <c r="F225">
        <v>4.3499999999999996</v>
      </c>
      <c r="G225">
        <v>4.3499999999999996</v>
      </c>
      <c r="J225">
        <v>2</v>
      </c>
      <c r="K225" s="60"/>
      <c r="L225" s="60"/>
      <c r="W225" s="1" t="s">
        <v>4636</v>
      </c>
      <c r="Y225" s="1" t="s">
        <v>56</v>
      </c>
      <c r="Z225" s="1" t="s">
        <v>772</v>
      </c>
      <c r="AA225" s="1" t="s">
        <v>60</v>
      </c>
      <c r="AC225" t="s">
        <v>4635</v>
      </c>
      <c r="AI225">
        <v>4.3499999999999996</v>
      </c>
      <c r="AJ225">
        <v>1</v>
      </c>
      <c r="AK225">
        <v>2</v>
      </c>
    </row>
    <row r="226" spans="1:37" ht="62.25" customHeight="1" x14ac:dyDescent="0.25">
      <c r="A226" s="1" t="s">
        <v>4582</v>
      </c>
      <c r="B226" s="1" t="s">
        <v>4582</v>
      </c>
      <c r="C226" s="26" t="s">
        <v>350</v>
      </c>
      <c r="D226">
        <v>1</v>
      </c>
      <c r="E226">
        <v>18.46</v>
      </c>
      <c r="F226">
        <v>18.46</v>
      </c>
      <c r="G226">
        <v>18.46</v>
      </c>
      <c r="J226">
        <v>3</v>
      </c>
      <c r="K226" s="60"/>
      <c r="L226" s="60"/>
      <c r="Y226" s="1" t="s">
        <v>56</v>
      </c>
      <c r="AA226" s="1" t="s">
        <v>60</v>
      </c>
      <c r="AC226" t="s">
        <v>3683</v>
      </c>
      <c r="AI226">
        <v>18.46</v>
      </c>
      <c r="AJ226">
        <v>1</v>
      </c>
      <c r="AK226">
        <v>3</v>
      </c>
    </row>
    <row r="227" spans="1:37" ht="60" x14ac:dyDescent="0.25">
      <c r="A227" s="1" t="s">
        <v>4641</v>
      </c>
      <c r="B227" s="1" t="s">
        <v>4638</v>
      </c>
      <c r="C227" s="26" t="s">
        <v>350</v>
      </c>
      <c r="D227">
        <v>1</v>
      </c>
      <c r="E227">
        <v>400</v>
      </c>
      <c r="F227">
        <v>400</v>
      </c>
      <c r="G227">
        <v>400</v>
      </c>
      <c r="J227">
        <v>5</v>
      </c>
      <c r="K227" s="60" t="s">
        <v>4643</v>
      </c>
      <c r="L227" s="60">
        <v>0</v>
      </c>
      <c r="M227" s="26">
        <v>0</v>
      </c>
      <c r="N227" s="26">
        <v>100</v>
      </c>
      <c r="O227" s="26">
        <v>0</v>
      </c>
      <c r="P227" s="26">
        <v>0</v>
      </c>
      <c r="S227" s="26">
        <v>2</v>
      </c>
      <c r="W227" s="1" t="s">
        <v>4637</v>
      </c>
      <c r="X227" s="1" t="s">
        <v>4642</v>
      </c>
      <c r="Y227" t="s">
        <v>56</v>
      </c>
      <c r="AA227" s="1" t="s">
        <v>60</v>
      </c>
      <c r="AB227" s="1" t="s">
        <v>4640</v>
      </c>
      <c r="AC227" t="s">
        <v>4639</v>
      </c>
      <c r="AI227">
        <v>400</v>
      </c>
      <c r="AJ227">
        <v>1</v>
      </c>
      <c r="AK227">
        <v>5</v>
      </c>
    </row>
    <row r="228" spans="1:37" ht="60" x14ac:dyDescent="0.25">
      <c r="A228" s="1" t="s">
        <v>4583</v>
      </c>
      <c r="B228" s="1" t="s">
        <v>4583</v>
      </c>
      <c r="C228" s="26" t="s">
        <v>350</v>
      </c>
      <c r="D228">
        <v>1</v>
      </c>
      <c r="E228">
        <v>39.56</v>
      </c>
      <c r="F228">
        <v>39.56</v>
      </c>
      <c r="G228">
        <v>39.56</v>
      </c>
      <c r="J228">
        <v>2</v>
      </c>
      <c r="K228" s="60" t="s">
        <v>4644</v>
      </c>
      <c r="L228" s="60">
        <v>100</v>
      </c>
      <c r="M228" s="26">
        <v>0</v>
      </c>
      <c r="N228" s="26">
        <v>0</v>
      </c>
      <c r="O228" s="26">
        <v>0</v>
      </c>
      <c r="P228" s="26">
        <v>0</v>
      </c>
      <c r="Q228" s="26">
        <v>1</v>
      </c>
      <c r="W228" s="1" t="s">
        <v>4645</v>
      </c>
      <c r="Y228" t="s">
        <v>56</v>
      </c>
      <c r="Z228" s="1" t="s">
        <v>772</v>
      </c>
      <c r="AA228" s="1" t="s">
        <v>60</v>
      </c>
      <c r="AB228" t="s">
        <v>4646</v>
      </c>
      <c r="AC228" t="s">
        <v>4647</v>
      </c>
      <c r="AG228" s="68"/>
      <c r="AI228">
        <v>8.26</v>
      </c>
      <c r="AJ228">
        <v>2</v>
      </c>
      <c r="AK228">
        <v>2</v>
      </c>
    </row>
    <row r="229" spans="1:37" ht="60.75" customHeight="1" x14ac:dyDescent="0.25">
      <c r="A229" s="1" t="s">
        <v>4584</v>
      </c>
      <c r="B229" s="1" t="s">
        <v>4584</v>
      </c>
      <c r="C229" s="26" t="s">
        <v>350</v>
      </c>
      <c r="D229">
        <v>1</v>
      </c>
      <c r="E229">
        <v>52.5</v>
      </c>
      <c r="F229">
        <v>52.5</v>
      </c>
      <c r="G229">
        <v>52.5</v>
      </c>
      <c r="I229" s="2" t="s">
        <v>4649</v>
      </c>
      <c r="J229">
        <v>1</v>
      </c>
      <c r="K229" s="60" t="s">
        <v>4648</v>
      </c>
      <c r="L229" s="60">
        <v>0</v>
      </c>
      <c r="M229" s="26">
        <v>100</v>
      </c>
      <c r="N229" s="26">
        <v>0</v>
      </c>
      <c r="O229" s="26">
        <v>0</v>
      </c>
      <c r="P229" s="26">
        <v>0</v>
      </c>
      <c r="R229" s="26">
        <v>1</v>
      </c>
      <c r="V229" s="1" t="s">
        <v>1111</v>
      </c>
      <c r="X229" t="s">
        <v>4652</v>
      </c>
      <c r="Y229" t="s">
        <v>197</v>
      </c>
      <c r="AA229" s="1" t="s">
        <v>60</v>
      </c>
      <c r="AB229" t="s">
        <v>4650</v>
      </c>
      <c r="AC229" s="51" t="s">
        <v>4651</v>
      </c>
      <c r="AI229">
        <v>52.5</v>
      </c>
      <c r="AJ229">
        <v>1</v>
      </c>
      <c r="AK229">
        <v>1</v>
      </c>
    </row>
    <row r="230" spans="1:37" ht="30" x14ac:dyDescent="0.25">
      <c r="A230" s="1" t="s">
        <v>4585</v>
      </c>
      <c r="B230" s="1" t="s">
        <v>4585</v>
      </c>
      <c r="C230" s="26" t="s">
        <v>350</v>
      </c>
      <c r="D230">
        <v>1</v>
      </c>
      <c r="E230">
        <v>4</v>
      </c>
      <c r="F230">
        <v>4</v>
      </c>
      <c r="G230">
        <v>4</v>
      </c>
      <c r="J230">
        <v>2</v>
      </c>
      <c r="K230" s="60"/>
      <c r="L230" s="60"/>
      <c r="Y230" t="s">
        <v>56</v>
      </c>
      <c r="AA230" s="1" t="s">
        <v>60</v>
      </c>
      <c r="AC230" t="s">
        <v>3683</v>
      </c>
      <c r="AI230">
        <v>4</v>
      </c>
      <c r="AJ230">
        <v>1</v>
      </c>
      <c r="AK230">
        <v>2</v>
      </c>
    </row>
    <row r="231" spans="1:37" ht="30" x14ac:dyDescent="0.25">
      <c r="A231" s="1" t="s">
        <v>4653</v>
      </c>
      <c r="B231" s="1" t="s">
        <v>4655</v>
      </c>
      <c r="C231" s="26" t="s">
        <v>350</v>
      </c>
      <c r="D231">
        <v>1</v>
      </c>
      <c r="E231">
        <v>58.05</v>
      </c>
      <c r="F231">
        <v>58.05</v>
      </c>
      <c r="G231">
        <v>58.05</v>
      </c>
      <c r="J231">
        <v>20</v>
      </c>
      <c r="K231" s="60" t="s">
        <v>4657</v>
      </c>
      <c r="L231" s="60">
        <v>0</v>
      </c>
      <c r="M231" s="26">
        <v>100</v>
      </c>
      <c r="N231" s="26">
        <v>0</v>
      </c>
      <c r="O231" s="26">
        <v>0</v>
      </c>
      <c r="P231" s="26">
        <v>0</v>
      </c>
      <c r="V231" s="1" t="s">
        <v>4656</v>
      </c>
      <c r="W231" t="s">
        <v>278</v>
      </c>
      <c r="Y231" t="s">
        <v>56</v>
      </c>
      <c r="Z231" s="1" t="s">
        <v>644</v>
      </c>
      <c r="AA231" s="1" t="s">
        <v>60</v>
      </c>
      <c r="AC231" t="s">
        <v>4654</v>
      </c>
      <c r="AI231">
        <v>47</v>
      </c>
      <c r="AJ231">
        <v>1</v>
      </c>
      <c r="AK231">
        <v>12</v>
      </c>
    </row>
    <row r="232" spans="1:37" ht="30" x14ac:dyDescent="0.25">
      <c r="A232" s="1" t="s">
        <v>4586</v>
      </c>
      <c r="B232" s="1" t="s">
        <v>4586</v>
      </c>
      <c r="C232" s="26" t="s">
        <v>350</v>
      </c>
      <c r="D232">
        <v>1</v>
      </c>
      <c r="E232">
        <v>8</v>
      </c>
      <c r="F232">
        <v>8</v>
      </c>
      <c r="G232">
        <v>8</v>
      </c>
      <c r="J232">
        <v>3</v>
      </c>
      <c r="K232" s="60"/>
      <c r="L232" s="60"/>
      <c r="Y232" t="s">
        <v>56</v>
      </c>
      <c r="AA232" s="1" t="s">
        <v>60</v>
      </c>
      <c r="AC232" t="s">
        <v>3683</v>
      </c>
      <c r="AI232">
        <v>8</v>
      </c>
      <c r="AJ232">
        <v>2</v>
      </c>
      <c r="AK232">
        <v>3</v>
      </c>
    </row>
    <row r="233" spans="1:37" ht="30" x14ac:dyDescent="0.25">
      <c r="A233" s="1" t="s">
        <v>4587</v>
      </c>
      <c r="B233" s="1" t="s">
        <v>4587</v>
      </c>
      <c r="C233" s="26" t="s">
        <v>350</v>
      </c>
      <c r="D233">
        <v>1</v>
      </c>
      <c r="E233">
        <v>8.98</v>
      </c>
      <c r="F233">
        <v>8.98</v>
      </c>
      <c r="G233">
        <v>8.98</v>
      </c>
      <c r="J233">
        <v>2</v>
      </c>
      <c r="K233" s="60"/>
      <c r="L233" s="60"/>
      <c r="Y233" t="s">
        <v>56</v>
      </c>
      <c r="AA233" s="1" t="s">
        <v>60</v>
      </c>
      <c r="AC233" t="s">
        <v>3683</v>
      </c>
      <c r="AI233">
        <v>8.98</v>
      </c>
      <c r="AJ233">
        <v>1</v>
      </c>
      <c r="AK233">
        <v>2</v>
      </c>
    </row>
    <row r="234" spans="1:37" ht="30" x14ac:dyDescent="0.25">
      <c r="A234" t="s">
        <v>4658</v>
      </c>
      <c r="B234" s="1" t="s">
        <v>4588</v>
      </c>
      <c r="C234" s="26" t="s">
        <v>350</v>
      </c>
      <c r="D234">
        <v>1</v>
      </c>
      <c r="E234">
        <v>19.55</v>
      </c>
      <c r="F234">
        <v>19.55</v>
      </c>
      <c r="G234">
        <v>19.55</v>
      </c>
      <c r="J234">
        <v>2</v>
      </c>
      <c r="K234" s="60"/>
      <c r="L234" s="60"/>
      <c r="Y234" t="s">
        <v>56</v>
      </c>
      <c r="Z234" s="1" t="s">
        <v>327</v>
      </c>
      <c r="AA234" s="1" t="s">
        <v>60</v>
      </c>
      <c r="AC234" t="s">
        <v>4659</v>
      </c>
      <c r="AI234">
        <v>19.55</v>
      </c>
      <c r="AJ234">
        <v>1</v>
      </c>
      <c r="AK234">
        <v>2</v>
      </c>
    </row>
    <row r="235" spans="1:37" ht="30" x14ac:dyDescent="0.25">
      <c r="A235" s="1" t="s">
        <v>4589</v>
      </c>
      <c r="B235" s="1" t="s">
        <v>4589</v>
      </c>
      <c r="C235" s="26" t="s">
        <v>350</v>
      </c>
      <c r="D235">
        <v>1</v>
      </c>
      <c r="E235">
        <v>5.25</v>
      </c>
      <c r="F235">
        <v>5.25</v>
      </c>
      <c r="G235">
        <v>5.25</v>
      </c>
      <c r="J235">
        <v>2</v>
      </c>
      <c r="K235" s="60" t="s">
        <v>4660</v>
      </c>
      <c r="L235" s="60">
        <v>0</v>
      </c>
      <c r="M235" s="26">
        <v>100</v>
      </c>
      <c r="N235" s="26">
        <v>0</v>
      </c>
      <c r="O235" s="26">
        <v>0</v>
      </c>
      <c r="P235" s="26">
        <v>0</v>
      </c>
      <c r="Y235" t="s">
        <v>56</v>
      </c>
      <c r="AA235" s="1" t="s">
        <v>60</v>
      </c>
      <c r="AC235" t="s">
        <v>3683</v>
      </c>
      <c r="AI235">
        <v>5.25</v>
      </c>
      <c r="AJ235">
        <v>1</v>
      </c>
      <c r="AK235">
        <v>2</v>
      </c>
    </row>
    <row r="236" spans="1:37" ht="30" x14ac:dyDescent="0.25">
      <c r="A236" s="1" t="s">
        <v>4590</v>
      </c>
      <c r="B236" s="1" t="s">
        <v>4590</v>
      </c>
      <c r="C236" s="26" t="s">
        <v>350</v>
      </c>
      <c r="D236">
        <v>1</v>
      </c>
      <c r="E236">
        <v>14.04</v>
      </c>
      <c r="F236">
        <v>14.04</v>
      </c>
      <c r="G236">
        <v>14.04</v>
      </c>
      <c r="J236">
        <v>2</v>
      </c>
      <c r="K236" s="60"/>
      <c r="L236" s="60"/>
      <c r="Y236" t="s">
        <v>56</v>
      </c>
      <c r="AA236" s="1" t="s">
        <v>60</v>
      </c>
      <c r="AC236" t="s">
        <v>3683</v>
      </c>
      <c r="AI236">
        <v>14.04</v>
      </c>
      <c r="AJ236">
        <v>2</v>
      </c>
      <c r="AK236">
        <v>2</v>
      </c>
    </row>
    <row r="237" spans="1:37" ht="30" x14ac:dyDescent="0.25">
      <c r="A237" s="1" t="s">
        <v>4661</v>
      </c>
      <c r="B237" s="1" t="s">
        <v>4591</v>
      </c>
      <c r="C237" s="26" t="s">
        <v>350</v>
      </c>
      <c r="D237">
        <v>1</v>
      </c>
      <c r="E237">
        <v>20</v>
      </c>
      <c r="F237">
        <v>20</v>
      </c>
      <c r="G237">
        <v>20</v>
      </c>
      <c r="J237">
        <v>38</v>
      </c>
      <c r="K237" s="60"/>
      <c r="L237" s="60"/>
      <c r="Y237" t="s">
        <v>56</v>
      </c>
      <c r="AA237" s="1" t="s">
        <v>60</v>
      </c>
      <c r="AC237" t="s">
        <v>4662</v>
      </c>
      <c r="AI237">
        <v>20</v>
      </c>
      <c r="AJ237">
        <v>1</v>
      </c>
      <c r="AK237">
        <v>38</v>
      </c>
    </row>
    <row r="238" spans="1:37" ht="30" x14ac:dyDescent="0.25">
      <c r="A238" s="1" t="s">
        <v>4592</v>
      </c>
      <c r="B238" s="1" t="s">
        <v>4592</v>
      </c>
      <c r="C238" s="26" t="s">
        <v>350</v>
      </c>
      <c r="D238">
        <v>1</v>
      </c>
      <c r="E238">
        <v>6</v>
      </c>
      <c r="F238">
        <v>6</v>
      </c>
      <c r="G238">
        <v>6</v>
      </c>
      <c r="J238">
        <v>2</v>
      </c>
      <c r="K238" s="60"/>
      <c r="L238" s="60"/>
      <c r="Y238" t="s">
        <v>56</v>
      </c>
      <c r="AA238" s="1" t="s">
        <v>60</v>
      </c>
      <c r="AC238" t="s">
        <v>3683</v>
      </c>
      <c r="AI238">
        <v>6</v>
      </c>
      <c r="AJ238">
        <v>1</v>
      </c>
      <c r="AK238">
        <v>2</v>
      </c>
    </row>
    <row r="239" spans="1:37" ht="45" customHeight="1" x14ac:dyDescent="0.25">
      <c r="A239" s="1" t="s">
        <v>4593</v>
      </c>
      <c r="B239" s="1" t="s">
        <v>4593</v>
      </c>
      <c r="C239" s="26" t="s">
        <v>350</v>
      </c>
      <c r="D239">
        <v>1</v>
      </c>
      <c r="E239">
        <v>6</v>
      </c>
      <c r="F239">
        <v>6</v>
      </c>
      <c r="G239">
        <v>6</v>
      </c>
      <c r="J239">
        <v>2</v>
      </c>
      <c r="K239" s="60"/>
      <c r="L239" s="60"/>
      <c r="Y239" t="s">
        <v>56</v>
      </c>
      <c r="AA239" s="1" t="s">
        <v>60</v>
      </c>
      <c r="AC239" t="s">
        <v>3683</v>
      </c>
      <c r="AI239">
        <v>6</v>
      </c>
      <c r="AJ239">
        <v>1</v>
      </c>
      <c r="AK239">
        <v>2</v>
      </c>
    </row>
    <row r="240" spans="1:37" ht="30" x14ac:dyDescent="0.25">
      <c r="A240" s="1" t="s">
        <v>4594</v>
      </c>
      <c r="B240" s="1" t="s">
        <v>4594</v>
      </c>
      <c r="C240" s="26" t="s">
        <v>350</v>
      </c>
      <c r="D240">
        <v>1</v>
      </c>
      <c r="E240">
        <v>244</v>
      </c>
      <c r="F240">
        <v>244</v>
      </c>
      <c r="G240">
        <v>244</v>
      </c>
      <c r="J240">
        <v>4</v>
      </c>
      <c r="K240" s="60"/>
      <c r="L240" s="60"/>
      <c r="Y240" t="s">
        <v>56</v>
      </c>
      <c r="AA240" s="1" t="s">
        <v>60</v>
      </c>
      <c r="AC240" t="s">
        <v>3683</v>
      </c>
      <c r="AI240">
        <v>244</v>
      </c>
      <c r="AJ240">
        <v>2</v>
      </c>
      <c r="AK240">
        <v>4</v>
      </c>
    </row>
    <row r="241" spans="1:37" ht="45" x14ac:dyDescent="0.25">
      <c r="A241" t="s">
        <v>4561</v>
      </c>
      <c r="B241" s="1" t="s">
        <v>4595</v>
      </c>
      <c r="C241" s="26" t="s">
        <v>350</v>
      </c>
      <c r="D241">
        <v>1</v>
      </c>
      <c r="E241">
        <v>50</v>
      </c>
      <c r="F241">
        <v>50</v>
      </c>
      <c r="G241">
        <v>50</v>
      </c>
      <c r="I241" s="26" t="s">
        <v>3680</v>
      </c>
      <c r="J241">
        <v>13</v>
      </c>
      <c r="K241" s="60" t="s">
        <v>4664</v>
      </c>
      <c r="L241" s="60">
        <v>100</v>
      </c>
      <c r="M241" s="26">
        <v>0</v>
      </c>
      <c r="N241" s="26">
        <v>0</v>
      </c>
      <c r="O241" s="26">
        <v>0</v>
      </c>
      <c r="P241" s="26">
        <v>0</v>
      </c>
      <c r="Q241" s="26">
        <v>2</v>
      </c>
      <c r="V241" s="1" t="s">
        <v>616</v>
      </c>
      <c r="W241" s="1" t="s">
        <v>4562</v>
      </c>
      <c r="Y241" t="s">
        <v>197</v>
      </c>
      <c r="AA241" s="1" t="s">
        <v>60</v>
      </c>
      <c r="AB241" t="s">
        <v>4665</v>
      </c>
      <c r="AC241" t="s">
        <v>4663</v>
      </c>
      <c r="AI241">
        <v>39.549999999999997</v>
      </c>
      <c r="AJ241">
        <v>2</v>
      </c>
      <c r="AK241">
        <v>13</v>
      </c>
    </row>
    <row r="242" spans="1:37" ht="60" x14ac:dyDescent="0.25">
      <c r="A242" s="1" t="s">
        <v>4596</v>
      </c>
      <c r="B242" s="1" t="s">
        <v>4596</v>
      </c>
      <c r="C242" s="26" t="s">
        <v>350</v>
      </c>
      <c r="D242">
        <v>1</v>
      </c>
      <c r="E242">
        <v>49.99</v>
      </c>
      <c r="F242">
        <v>49.99</v>
      </c>
      <c r="G242">
        <v>49.99</v>
      </c>
      <c r="J242">
        <v>6</v>
      </c>
      <c r="K242" s="60"/>
      <c r="L242" s="60"/>
      <c r="V242" s="1" t="s">
        <v>616</v>
      </c>
      <c r="W242" s="1" t="s">
        <v>4666</v>
      </c>
      <c r="X242" s="1" t="s">
        <v>4667</v>
      </c>
      <c r="Y242" s="1" t="s">
        <v>56</v>
      </c>
      <c r="Z242" s="1" t="s">
        <v>795</v>
      </c>
      <c r="AA242" s="1" t="s">
        <v>60</v>
      </c>
      <c r="AC242" t="s">
        <v>4668</v>
      </c>
      <c r="AI242">
        <v>49.99</v>
      </c>
      <c r="AJ242">
        <v>1</v>
      </c>
      <c r="AK242">
        <v>6</v>
      </c>
    </row>
    <row r="243" spans="1:37" ht="30" x14ac:dyDescent="0.25">
      <c r="A243" t="s">
        <v>4669</v>
      </c>
      <c r="B243" s="1" t="s">
        <v>4597</v>
      </c>
      <c r="C243" s="26" t="s">
        <v>350</v>
      </c>
      <c r="D243">
        <v>1</v>
      </c>
      <c r="E243">
        <v>304.60000000000002</v>
      </c>
      <c r="F243">
        <v>304.60000000000002</v>
      </c>
      <c r="G243">
        <v>304.60000000000002</v>
      </c>
      <c r="J243">
        <v>5</v>
      </c>
      <c r="K243" s="60" t="s">
        <v>4670</v>
      </c>
      <c r="L243" s="60"/>
      <c r="Y243" t="s">
        <v>56</v>
      </c>
      <c r="Z243" s="1" t="s">
        <v>644</v>
      </c>
      <c r="AA243" s="1" t="s">
        <v>60</v>
      </c>
      <c r="AC243" t="s">
        <v>4671</v>
      </c>
      <c r="AI243">
        <v>304.60000000000002</v>
      </c>
      <c r="AJ243">
        <v>4</v>
      </c>
      <c r="AK243">
        <v>5</v>
      </c>
    </row>
    <row r="244" spans="1:37" ht="60" x14ac:dyDescent="0.25">
      <c r="A244" s="1" t="s">
        <v>4672</v>
      </c>
      <c r="B244" s="1" t="s">
        <v>4598</v>
      </c>
      <c r="C244" s="26" t="s">
        <v>350</v>
      </c>
      <c r="D244">
        <v>1</v>
      </c>
      <c r="E244">
        <v>19.190000000000001</v>
      </c>
      <c r="F244">
        <v>19.190000000000001</v>
      </c>
      <c r="G244">
        <v>19.190000000000001</v>
      </c>
      <c r="J244">
        <v>3</v>
      </c>
      <c r="K244" s="60"/>
      <c r="L244" s="60"/>
      <c r="V244" s="1" t="s">
        <v>109</v>
      </c>
      <c r="X244" s="1" t="s">
        <v>4673</v>
      </c>
      <c r="Y244" t="s">
        <v>56</v>
      </c>
      <c r="Z244" s="1" t="s">
        <v>644</v>
      </c>
      <c r="AA244" s="1" t="s">
        <v>60</v>
      </c>
      <c r="AC244" t="s">
        <v>3683</v>
      </c>
      <c r="AI244">
        <v>19.190000000000001</v>
      </c>
      <c r="AJ244">
        <v>1</v>
      </c>
      <c r="AK244">
        <v>3</v>
      </c>
    </row>
    <row r="245" spans="1:37" ht="30" x14ac:dyDescent="0.25">
      <c r="A245" s="1" t="s">
        <v>4599</v>
      </c>
      <c r="B245" s="1" t="s">
        <v>4599</v>
      </c>
      <c r="C245" s="26" t="s">
        <v>350</v>
      </c>
      <c r="D245">
        <v>1</v>
      </c>
      <c r="E245">
        <v>900</v>
      </c>
      <c r="F245">
        <v>900</v>
      </c>
      <c r="G245">
        <v>900</v>
      </c>
      <c r="J245">
        <v>1</v>
      </c>
      <c r="K245" s="60"/>
      <c r="L245" s="60"/>
      <c r="Y245" t="s">
        <v>56</v>
      </c>
      <c r="AA245" s="1" t="s">
        <v>60</v>
      </c>
      <c r="AC245" t="s">
        <v>3683</v>
      </c>
      <c r="AI245">
        <v>900</v>
      </c>
      <c r="AJ245">
        <v>1</v>
      </c>
      <c r="AK245">
        <v>1</v>
      </c>
    </row>
    <row r="246" spans="1:37" ht="30" x14ac:dyDescent="0.25">
      <c r="A246" s="1" t="s">
        <v>4600</v>
      </c>
      <c r="B246" s="1" t="s">
        <v>4600</v>
      </c>
      <c r="C246" s="26" t="s">
        <v>350</v>
      </c>
      <c r="D246">
        <v>1</v>
      </c>
      <c r="E246">
        <v>39.6</v>
      </c>
      <c r="F246">
        <v>39.6</v>
      </c>
      <c r="G246">
        <v>39.6</v>
      </c>
      <c r="J246">
        <v>15</v>
      </c>
      <c r="K246" s="60"/>
      <c r="L246" s="60"/>
      <c r="Y246" t="s">
        <v>56</v>
      </c>
      <c r="AA246" s="1" t="s">
        <v>60</v>
      </c>
      <c r="AC246" t="s">
        <v>3683</v>
      </c>
      <c r="AI246">
        <v>39.6</v>
      </c>
      <c r="AJ246">
        <v>2</v>
      </c>
      <c r="AK246">
        <v>15</v>
      </c>
    </row>
    <row r="247" spans="1:37" ht="75" x14ac:dyDescent="0.25">
      <c r="A247" s="69" t="s">
        <v>4674</v>
      </c>
      <c r="B247" s="1" t="s">
        <v>4601</v>
      </c>
      <c r="C247" s="26" t="s">
        <v>350</v>
      </c>
      <c r="D247">
        <v>1</v>
      </c>
      <c r="E247">
        <v>250</v>
      </c>
      <c r="F247">
        <v>250</v>
      </c>
      <c r="G247">
        <v>250</v>
      </c>
      <c r="J247">
        <v>5</v>
      </c>
      <c r="K247" s="60"/>
      <c r="L247" s="60"/>
      <c r="W247" s="1" t="s">
        <v>4675</v>
      </c>
      <c r="X247" s="1" t="s">
        <v>4676</v>
      </c>
      <c r="Y247" t="s">
        <v>56</v>
      </c>
      <c r="AA247" s="1" t="s">
        <v>60</v>
      </c>
      <c r="AC247" t="s">
        <v>4677</v>
      </c>
      <c r="AI247">
        <v>250</v>
      </c>
      <c r="AJ247">
        <v>1</v>
      </c>
      <c r="AK247">
        <v>5</v>
      </c>
    </row>
    <row r="248" spans="1:37" ht="90" x14ac:dyDescent="0.25">
      <c r="A248" s="1" t="s">
        <v>4678</v>
      </c>
      <c r="B248" s="1" t="s">
        <v>4602</v>
      </c>
      <c r="C248" s="26" t="s">
        <v>350</v>
      </c>
      <c r="D248">
        <v>1</v>
      </c>
      <c r="E248">
        <v>19.350000000000001</v>
      </c>
      <c r="F248">
        <v>19.350000000000001</v>
      </c>
      <c r="G248">
        <v>19.350000000000001</v>
      </c>
      <c r="H248" s="26">
        <v>50</v>
      </c>
      <c r="J248">
        <v>15</v>
      </c>
      <c r="K248" s="60" t="s">
        <v>4680</v>
      </c>
      <c r="L248" s="60">
        <v>0</v>
      </c>
      <c r="M248" s="60">
        <v>0</v>
      </c>
      <c r="N248" s="26">
        <v>100</v>
      </c>
      <c r="O248" s="26">
        <v>0</v>
      </c>
      <c r="P248" s="60">
        <v>0</v>
      </c>
      <c r="S248" s="26">
        <v>1</v>
      </c>
      <c r="V248" s="1" t="s">
        <v>1128</v>
      </c>
      <c r="W248" t="s">
        <v>4681</v>
      </c>
      <c r="Y248" t="s">
        <v>197</v>
      </c>
      <c r="Z248" s="1" t="s">
        <v>673</v>
      </c>
      <c r="AA248" s="1" t="s">
        <v>60</v>
      </c>
      <c r="AB248" t="s">
        <v>4679</v>
      </c>
      <c r="AC248" t="s">
        <v>3683</v>
      </c>
      <c r="AI248">
        <v>19.350000000000001</v>
      </c>
      <c r="AJ248">
        <v>1</v>
      </c>
      <c r="AK248">
        <v>5</v>
      </c>
    </row>
    <row r="249" spans="1:37" ht="120" x14ac:dyDescent="0.25">
      <c r="A249" s="1" t="s">
        <v>4683</v>
      </c>
      <c r="B249" s="1" t="s">
        <v>4602</v>
      </c>
      <c r="C249" s="26" t="s">
        <v>350</v>
      </c>
      <c r="D249">
        <v>1</v>
      </c>
      <c r="E249">
        <v>75</v>
      </c>
      <c r="F249">
        <v>75</v>
      </c>
      <c r="G249">
        <v>75</v>
      </c>
      <c r="J249">
        <v>8</v>
      </c>
      <c r="K249" s="60" t="s">
        <v>4686</v>
      </c>
      <c r="L249" s="60">
        <v>0</v>
      </c>
      <c r="M249" s="26">
        <v>0</v>
      </c>
      <c r="N249" s="26">
        <v>0</v>
      </c>
      <c r="O249" s="26">
        <v>100</v>
      </c>
      <c r="P249" s="26">
        <v>0</v>
      </c>
      <c r="T249" s="26">
        <v>1</v>
      </c>
      <c r="V249" s="1" t="s">
        <v>4685</v>
      </c>
      <c r="W249" s="1" t="s">
        <v>4683</v>
      </c>
      <c r="X249" s="1" t="s">
        <v>4684</v>
      </c>
      <c r="Y249" s="1" t="s">
        <v>56</v>
      </c>
      <c r="AA249" s="1" t="s">
        <v>60</v>
      </c>
      <c r="AC249" t="s">
        <v>4682</v>
      </c>
      <c r="AI249">
        <v>75</v>
      </c>
      <c r="AJ249">
        <v>1</v>
      </c>
      <c r="AK249">
        <v>8</v>
      </c>
    </row>
    <row r="250" spans="1:37" ht="30" x14ac:dyDescent="0.25">
      <c r="A250" s="1" t="s">
        <v>4603</v>
      </c>
      <c r="B250" s="1" t="s">
        <v>4603</v>
      </c>
      <c r="C250" s="26" t="s">
        <v>350</v>
      </c>
      <c r="D250">
        <v>1</v>
      </c>
      <c r="E250">
        <v>6</v>
      </c>
      <c r="F250">
        <v>6</v>
      </c>
      <c r="G250">
        <v>6</v>
      </c>
      <c r="J250">
        <v>5</v>
      </c>
      <c r="K250" s="60"/>
      <c r="L250" s="60"/>
      <c r="Y250" t="s">
        <v>56</v>
      </c>
      <c r="AA250" s="1" t="s">
        <v>60</v>
      </c>
      <c r="AC250" t="s">
        <v>3683</v>
      </c>
      <c r="AI250">
        <v>6</v>
      </c>
      <c r="AJ250">
        <v>1</v>
      </c>
      <c r="AK250">
        <v>5</v>
      </c>
    </row>
    <row r="251" spans="1:37" ht="30" x14ac:dyDescent="0.25">
      <c r="A251" s="1" t="s">
        <v>4604</v>
      </c>
      <c r="B251" s="1" t="s">
        <v>4604</v>
      </c>
      <c r="C251" s="26" t="s">
        <v>350</v>
      </c>
      <c r="D251">
        <v>1</v>
      </c>
      <c r="E251">
        <v>171</v>
      </c>
      <c r="F251">
        <v>171</v>
      </c>
      <c r="G251">
        <v>171</v>
      </c>
      <c r="J251">
        <v>15</v>
      </c>
      <c r="K251" s="60"/>
      <c r="L251" s="60"/>
      <c r="Y251" t="s">
        <v>56</v>
      </c>
      <c r="AA251" s="1" t="s">
        <v>60</v>
      </c>
      <c r="AC251" t="s">
        <v>3683</v>
      </c>
      <c r="AI251">
        <v>171</v>
      </c>
      <c r="AJ251">
        <v>2</v>
      </c>
      <c r="AK251">
        <v>15</v>
      </c>
    </row>
    <row r="252" spans="1:37" ht="60" x14ac:dyDescent="0.25">
      <c r="A252" s="1" t="s">
        <v>4690</v>
      </c>
      <c r="B252" s="1" t="s">
        <v>4605</v>
      </c>
      <c r="C252" s="60" t="s">
        <v>354</v>
      </c>
      <c r="D252">
        <v>1</v>
      </c>
      <c r="E252">
        <v>20.25</v>
      </c>
      <c r="F252">
        <v>20.25</v>
      </c>
      <c r="G252">
        <v>20.25</v>
      </c>
      <c r="J252">
        <v>8</v>
      </c>
      <c r="K252" s="60" t="s">
        <v>4689</v>
      </c>
      <c r="L252" s="60">
        <v>100</v>
      </c>
      <c r="M252" s="26">
        <v>0</v>
      </c>
      <c r="N252" s="26">
        <v>0</v>
      </c>
      <c r="O252" s="26">
        <v>0</v>
      </c>
      <c r="P252" s="26">
        <v>0</v>
      </c>
      <c r="Q252" s="26">
        <v>1</v>
      </c>
      <c r="V252" s="1" t="s">
        <v>771</v>
      </c>
      <c r="W252" s="1" t="s">
        <v>4688</v>
      </c>
      <c r="X252" s="1" t="s">
        <v>4691</v>
      </c>
      <c r="Y252" t="s">
        <v>56</v>
      </c>
      <c r="AA252" s="1" t="s">
        <v>60</v>
      </c>
      <c r="AC252" t="s">
        <v>4687</v>
      </c>
      <c r="AI252">
        <v>20.25</v>
      </c>
      <c r="AJ252">
        <v>1</v>
      </c>
      <c r="AK252">
        <v>4</v>
      </c>
    </row>
    <row r="253" spans="1:37" ht="45" x14ac:dyDescent="0.25">
      <c r="A253" s="1" t="s">
        <v>4606</v>
      </c>
      <c r="B253" s="1" t="s">
        <v>4606</v>
      </c>
      <c r="C253" s="60" t="s">
        <v>354</v>
      </c>
      <c r="D253">
        <v>1</v>
      </c>
      <c r="E253">
        <v>99.63</v>
      </c>
      <c r="F253">
        <v>99.63</v>
      </c>
      <c r="G253">
        <v>99.63</v>
      </c>
      <c r="J253">
        <v>2</v>
      </c>
      <c r="K253" s="60"/>
      <c r="L253" s="60"/>
      <c r="V253" s="1" t="s">
        <v>771</v>
      </c>
      <c r="Y253" t="s">
        <v>56</v>
      </c>
      <c r="AA253" s="1" t="s">
        <v>60</v>
      </c>
      <c r="AC253" t="s">
        <v>4692</v>
      </c>
      <c r="AI253">
        <v>99.63</v>
      </c>
      <c r="AJ253">
        <v>1</v>
      </c>
      <c r="AK253">
        <v>2</v>
      </c>
    </row>
    <row r="254" spans="1:37" ht="30" x14ac:dyDescent="0.25">
      <c r="A254" s="1" t="s">
        <v>4607</v>
      </c>
      <c r="B254" s="1" t="s">
        <v>4607</v>
      </c>
      <c r="C254" s="60" t="s">
        <v>352</v>
      </c>
      <c r="D254">
        <v>1</v>
      </c>
      <c r="E254">
        <v>93.6</v>
      </c>
      <c r="F254">
        <v>93.6</v>
      </c>
      <c r="G254">
        <v>93.6</v>
      </c>
      <c r="J254">
        <v>2</v>
      </c>
      <c r="K254" s="60"/>
      <c r="L254" s="60"/>
      <c r="Y254" t="s">
        <v>56</v>
      </c>
      <c r="AA254" s="1" t="s">
        <v>60</v>
      </c>
      <c r="AC254" t="s">
        <v>3683</v>
      </c>
      <c r="AI254">
        <v>93.6</v>
      </c>
      <c r="AJ254">
        <v>1</v>
      </c>
      <c r="AK254">
        <v>2</v>
      </c>
    </row>
    <row r="255" spans="1:37" ht="75" x14ac:dyDescent="0.25">
      <c r="A255" s="1" t="s">
        <v>4608</v>
      </c>
      <c r="B255" s="1" t="s">
        <v>4608</v>
      </c>
      <c r="C255" s="60" t="s">
        <v>352</v>
      </c>
      <c r="D255">
        <v>1</v>
      </c>
      <c r="E255">
        <v>19.600000000000001</v>
      </c>
      <c r="F255">
        <v>19.600000000000001</v>
      </c>
      <c r="G255">
        <v>19.600000000000001</v>
      </c>
      <c r="J255">
        <v>16</v>
      </c>
      <c r="K255" s="60" t="s">
        <v>4697</v>
      </c>
      <c r="L255" s="60">
        <v>0</v>
      </c>
      <c r="M255" s="26">
        <v>0</v>
      </c>
      <c r="N255" s="26">
        <v>0</v>
      </c>
      <c r="O255" s="26">
        <v>0</v>
      </c>
      <c r="P255">
        <v>100</v>
      </c>
      <c r="U255">
        <v>1</v>
      </c>
      <c r="V255" s="1" t="s">
        <v>928</v>
      </c>
      <c r="W255" s="1" t="s">
        <v>4694</v>
      </c>
      <c r="X255" s="1" t="s">
        <v>4695</v>
      </c>
      <c r="Y255" s="1" t="s">
        <v>56</v>
      </c>
      <c r="AA255" s="1" t="s">
        <v>60</v>
      </c>
      <c r="AB255" t="s">
        <v>4693</v>
      </c>
      <c r="AC255" t="s">
        <v>4696</v>
      </c>
      <c r="AI255">
        <v>19.600000000000001</v>
      </c>
      <c r="AJ255">
        <v>1</v>
      </c>
      <c r="AK255">
        <v>16</v>
      </c>
    </row>
    <row r="256" spans="1:37" ht="60" x14ac:dyDescent="0.25">
      <c r="A256" s="1" t="s">
        <v>4609</v>
      </c>
      <c r="B256" s="1" t="s">
        <v>4699</v>
      </c>
      <c r="C256" s="60" t="s">
        <v>353</v>
      </c>
      <c r="D256">
        <v>1</v>
      </c>
      <c r="E256">
        <v>200</v>
      </c>
      <c r="F256">
        <v>200</v>
      </c>
      <c r="G256">
        <v>200</v>
      </c>
      <c r="J256">
        <v>7</v>
      </c>
      <c r="K256" s="60"/>
      <c r="L256" s="60"/>
      <c r="V256" s="1" t="s">
        <v>4698</v>
      </c>
      <c r="Y256" t="s">
        <v>56</v>
      </c>
      <c r="AA256" s="1" t="s">
        <v>60</v>
      </c>
      <c r="AC256" t="s">
        <v>3683</v>
      </c>
      <c r="AI256">
        <v>200</v>
      </c>
      <c r="AJ256">
        <v>2</v>
      </c>
      <c r="AK256">
        <v>7</v>
      </c>
    </row>
    <row r="257" spans="1:37" ht="30" x14ac:dyDescent="0.25">
      <c r="A257" s="1" t="s">
        <v>4610</v>
      </c>
      <c r="B257" s="1" t="s">
        <v>4610</v>
      </c>
      <c r="C257" s="60" t="s">
        <v>353</v>
      </c>
      <c r="D257">
        <v>1</v>
      </c>
      <c r="E257">
        <v>182.25</v>
      </c>
      <c r="F257">
        <v>182.25</v>
      </c>
      <c r="G257">
        <v>182.25</v>
      </c>
      <c r="J257">
        <v>2</v>
      </c>
      <c r="K257" s="60"/>
      <c r="L257" s="60"/>
      <c r="Y257" t="s">
        <v>56</v>
      </c>
      <c r="AA257" s="1" t="s">
        <v>60</v>
      </c>
      <c r="AC257" t="s">
        <v>3683</v>
      </c>
      <c r="AI257">
        <v>182.25</v>
      </c>
      <c r="AJ257">
        <v>1</v>
      </c>
      <c r="AK257">
        <v>2</v>
      </c>
    </row>
    <row r="258" spans="1:37" ht="77.25" customHeight="1" x14ac:dyDescent="0.25">
      <c r="A258" s="1" t="s">
        <v>4611</v>
      </c>
      <c r="B258" s="1" t="s">
        <v>4611</v>
      </c>
      <c r="C258" s="60" t="s">
        <v>353</v>
      </c>
      <c r="D258">
        <v>1</v>
      </c>
      <c r="E258">
        <v>39.06</v>
      </c>
      <c r="F258">
        <v>39.06</v>
      </c>
      <c r="G258">
        <v>39.06</v>
      </c>
      <c r="H258" s="26">
        <v>59</v>
      </c>
      <c r="J258">
        <v>2</v>
      </c>
      <c r="K258" s="60" t="s">
        <v>4700</v>
      </c>
      <c r="L258" s="60">
        <v>100</v>
      </c>
      <c r="M258" s="26">
        <v>0</v>
      </c>
      <c r="N258" s="26">
        <v>0</v>
      </c>
      <c r="O258" s="26">
        <v>0</v>
      </c>
      <c r="P258" s="26">
        <v>0</v>
      </c>
      <c r="Q258" s="26">
        <v>1</v>
      </c>
      <c r="X258" s="1" t="s">
        <v>4702</v>
      </c>
      <c r="Y258" t="s">
        <v>197</v>
      </c>
      <c r="AA258" s="1" t="s">
        <v>60</v>
      </c>
      <c r="AC258" t="s">
        <v>4701</v>
      </c>
      <c r="AI258">
        <v>39.06</v>
      </c>
      <c r="AJ258">
        <v>1</v>
      </c>
      <c r="AK258">
        <v>2</v>
      </c>
    </row>
    <row r="259" spans="1:37" ht="90" x14ac:dyDescent="0.25">
      <c r="A259" s="1" t="s">
        <v>4703</v>
      </c>
      <c r="B259" s="1" t="s">
        <v>4612</v>
      </c>
      <c r="C259" s="60" t="s">
        <v>353</v>
      </c>
      <c r="D259">
        <v>1</v>
      </c>
      <c r="E259">
        <v>200</v>
      </c>
      <c r="F259">
        <v>200</v>
      </c>
      <c r="G259">
        <v>200</v>
      </c>
      <c r="J259">
        <v>27</v>
      </c>
      <c r="K259" s="60" t="s">
        <v>5299</v>
      </c>
      <c r="L259" s="60">
        <v>0</v>
      </c>
      <c r="M259" s="26">
        <v>0</v>
      </c>
      <c r="N259" s="26">
        <v>100</v>
      </c>
      <c r="O259" s="26">
        <v>0</v>
      </c>
      <c r="P259" s="26">
        <v>0</v>
      </c>
      <c r="S259" s="26">
        <v>27</v>
      </c>
      <c r="V259" s="1" t="s">
        <v>4708</v>
      </c>
      <c r="W259" s="1" t="s">
        <v>4704</v>
      </c>
      <c r="X259" s="1" t="s">
        <v>4705</v>
      </c>
      <c r="Y259" t="s">
        <v>56</v>
      </c>
      <c r="Z259" s="1" t="s">
        <v>795</v>
      </c>
      <c r="AA259" s="1" t="s">
        <v>60</v>
      </c>
      <c r="AB259" t="s">
        <v>4707</v>
      </c>
      <c r="AC259" t="s">
        <v>4706</v>
      </c>
      <c r="AI259">
        <v>36</v>
      </c>
      <c r="AJ259">
        <v>1</v>
      </c>
      <c r="AK259">
        <v>2</v>
      </c>
    </row>
    <row r="260" spans="1:37" ht="60" x14ac:dyDescent="0.25">
      <c r="A260" s="1" t="s">
        <v>4709</v>
      </c>
      <c r="B260" s="1" t="s">
        <v>4613</v>
      </c>
      <c r="C260" s="60" t="s">
        <v>354</v>
      </c>
      <c r="D260">
        <v>1</v>
      </c>
      <c r="E260">
        <v>180</v>
      </c>
      <c r="F260">
        <v>180</v>
      </c>
      <c r="G260">
        <v>180</v>
      </c>
      <c r="J260">
        <v>5</v>
      </c>
      <c r="K260" s="60"/>
      <c r="L260" s="60"/>
      <c r="Y260" t="s">
        <v>56</v>
      </c>
      <c r="Z260" s="1" t="s">
        <v>795</v>
      </c>
      <c r="AA260" s="1" t="s">
        <v>60</v>
      </c>
      <c r="AB260" t="s">
        <v>4710</v>
      </c>
      <c r="AC260" t="s">
        <v>4711</v>
      </c>
      <c r="AI260">
        <v>180</v>
      </c>
      <c r="AJ260">
        <v>2</v>
      </c>
      <c r="AK260">
        <v>5</v>
      </c>
    </row>
    <row r="261" spans="1:37" ht="30" x14ac:dyDescent="0.25">
      <c r="A261" s="1" t="s">
        <v>4614</v>
      </c>
      <c r="B261" s="1" t="s">
        <v>4614</v>
      </c>
      <c r="C261" s="60" t="s">
        <v>352</v>
      </c>
      <c r="D261">
        <v>1</v>
      </c>
      <c r="E261">
        <v>5.81</v>
      </c>
      <c r="F261">
        <v>5.81</v>
      </c>
      <c r="G261">
        <v>5.81</v>
      </c>
      <c r="J261">
        <v>2</v>
      </c>
      <c r="K261" s="60"/>
      <c r="L261" s="60"/>
      <c r="Y261" t="s">
        <v>56</v>
      </c>
      <c r="AA261" s="1" t="s">
        <v>60</v>
      </c>
      <c r="AC261" t="s">
        <v>3683</v>
      </c>
      <c r="AI261">
        <v>5.81</v>
      </c>
      <c r="AJ261">
        <v>1</v>
      </c>
      <c r="AK261">
        <v>2</v>
      </c>
    </row>
    <row r="262" spans="1:37" ht="30" x14ac:dyDescent="0.25">
      <c r="A262" s="1" t="s">
        <v>4615</v>
      </c>
      <c r="B262" s="1" t="s">
        <v>4615</v>
      </c>
      <c r="C262" s="60" t="s">
        <v>352</v>
      </c>
      <c r="D262">
        <v>1</v>
      </c>
      <c r="E262">
        <v>69.3</v>
      </c>
      <c r="F262">
        <v>69.3</v>
      </c>
      <c r="G262">
        <v>69.3</v>
      </c>
      <c r="J262">
        <v>1</v>
      </c>
      <c r="K262" s="60"/>
      <c r="L262" s="60"/>
      <c r="Y262" t="s">
        <v>56</v>
      </c>
      <c r="AA262" s="1" t="s">
        <v>60</v>
      </c>
      <c r="AC262" t="s">
        <v>3683</v>
      </c>
      <c r="AI262">
        <v>69.3</v>
      </c>
      <c r="AJ262">
        <v>1</v>
      </c>
      <c r="AK262">
        <v>1</v>
      </c>
    </row>
    <row r="263" spans="1:37" ht="30" x14ac:dyDescent="0.25">
      <c r="A263" s="1" t="s">
        <v>4616</v>
      </c>
      <c r="B263" s="1" t="s">
        <v>4616</v>
      </c>
      <c r="C263" s="60" t="s">
        <v>352</v>
      </c>
      <c r="D263">
        <v>1</v>
      </c>
      <c r="E263">
        <v>19.84</v>
      </c>
      <c r="F263">
        <v>19.84</v>
      </c>
      <c r="G263">
        <v>19.84</v>
      </c>
      <c r="J263">
        <v>3</v>
      </c>
      <c r="K263" s="60"/>
      <c r="L263" s="60"/>
      <c r="Y263" t="s">
        <v>56</v>
      </c>
      <c r="AA263" s="1" t="s">
        <v>60</v>
      </c>
      <c r="AC263" t="s">
        <v>3683</v>
      </c>
      <c r="AI263">
        <v>19.84</v>
      </c>
      <c r="AJ263">
        <v>1</v>
      </c>
      <c r="AK263">
        <v>3</v>
      </c>
    </row>
    <row r="264" spans="1:37" ht="75" x14ac:dyDescent="0.25">
      <c r="A264" s="1" t="s">
        <v>4617</v>
      </c>
      <c r="B264" s="1" t="s">
        <v>4617</v>
      </c>
      <c r="C264" s="60" t="s">
        <v>352</v>
      </c>
      <c r="D264">
        <v>1</v>
      </c>
      <c r="E264">
        <v>90.2</v>
      </c>
      <c r="F264">
        <v>90.2</v>
      </c>
      <c r="G264">
        <v>90.2</v>
      </c>
      <c r="J264">
        <v>4</v>
      </c>
      <c r="K264" s="60"/>
      <c r="L264" s="60"/>
      <c r="W264" s="1" t="s">
        <v>4712</v>
      </c>
      <c r="Y264" t="s">
        <v>56</v>
      </c>
      <c r="Z264" s="1" t="s">
        <v>644</v>
      </c>
      <c r="AA264" s="1" t="s">
        <v>60</v>
      </c>
      <c r="AC264" t="s">
        <v>4713</v>
      </c>
      <c r="AI264">
        <v>90.2</v>
      </c>
      <c r="AJ264">
        <v>1</v>
      </c>
      <c r="AK264">
        <v>4</v>
      </c>
    </row>
    <row r="265" spans="1:37" ht="30" x14ac:dyDescent="0.25">
      <c r="A265" s="1" t="s">
        <v>4618</v>
      </c>
      <c r="B265" s="1" t="s">
        <v>4618</v>
      </c>
      <c r="C265" s="60" t="s">
        <v>352</v>
      </c>
      <c r="D265">
        <v>1</v>
      </c>
      <c r="E265">
        <v>26.4</v>
      </c>
      <c r="F265">
        <v>26.4</v>
      </c>
      <c r="G265">
        <v>26.4</v>
      </c>
      <c r="J265">
        <v>3</v>
      </c>
      <c r="K265" s="60"/>
      <c r="L265" s="60"/>
      <c r="Y265" t="s">
        <v>56</v>
      </c>
      <c r="AA265" s="1" t="s">
        <v>60</v>
      </c>
      <c r="AC265" t="s">
        <v>3683</v>
      </c>
      <c r="AI265">
        <v>26.4</v>
      </c>
      <c r="AJ265">
        <v>1</v>
      </c>
      <c r="AK265">
        <v>3</v>
      </c>
    </row>
    <row r="266" spans="1:37" ht="30" x14ac:dyDescent="0.25">
      <c r="A266" s="1" t="s">
        <v>4619</v>
      </c>
      <c r="B266" s="1" t="s">
        <v>4619</v>
      </c>
      <c r="C266" s="60" t="s">
        <v>352</v>
      </c>
      <c r="D266">
        <v>1</v>
      </c>
      <c r="E266">
        <v>99.19</v>
      </c>
      <c r="F266">
        <v>99.19</v>
      </c>
      <c r="G266">
        <v>99.19</v>
      </c>
      <c r="J266">
        <v>2</v>
      </c>
      <c r="K266" s="60"/>
      <c r="L266" s="60"/>
      <c r="Y266" t="s">
        <v>56</v>
      </c>
      <c r="AA266" s="1" t="s">
        <v>60</v>
      </c>
      <c r="AC266" t="s">
        <v>3683</v>
      </c>
      <c r="AI266">
        <v>99.19</v>
      </c>
      <c r="AJ266">
        <v>1</v>
      </c>
      <c r="AK266">
        <v>2</v>
      </c>
    </row>
    <row r="267" spans="1:37" ht="60" x14ac:dyDescent="0.25">
      <c r="A267" s="1" t="s">
        <v>4620</v>
      </c>
      <c r="B267" s="1" t="s">
        <v>4620</v>
      </c>
      <c r="C267" s="60" t="s">
        <v>352</v>
      </c>
      <c r="D267">
        <v>1</v>
      </c>
      <c r="E267">
        <v>12</v>
      </c>
      <c r="F267">
        <v>12</v>
      </c>
      <c r="G267">
        <v>12</v>
      </c>
      <c r="J267">
        <v>4</v>
      </c>
      <c r="K267" s="60"/>
      <c r="L267" s="60"/>
      <c r="W267" s="1" t="s">
        <v>4714</v>
      </c>
      <c r="Y267" t="s">
        <v>56</v>
      </c>
      <c r="AA267" s="1" t="s">
        <v>60</v>
      </c>
      <c r="AC267" t="s">
        <v>3683</v>
      </c>
      <c r="AI267">
        <v>12</v>
      </c>
      <c r="AJ267">
        <v>2</v>
      </c>
      <c r="AK267">
        <v>4</v>
      </c>
    </row>
    <row r="268" spans="1:37" ht="45" x14ac:dyDescent="0.25">
      <c r="A268" s="1" t="s">
        <v>4621</v>
      </c>
      <c r="B268" s="1" t="s">
        <v>4621</v>
      </c>
      <c r="C268" s="60" t="s">
        <v>352</v>
      </c>
      <c r="D268">
        <v>1</v>
      </c>
      <c r="E268">
        <v>19.98</v>
      </c>
      <c r="F268">
        <v>19.98</v>
      </c>
      <c r="G268">
        <v>19.98</v>
      </c>
      <c r="J268">
        <v>3</v>
      </c>
      <c r="K268" s="60" t="s">
        <v>4716</v>
      </c>
      <c r="L268" s="60">
        <v>100</v>
      </c>
      <c r="M268" s="26">
        <v>0</v>
      </c>
      <c r="N268" s="26">
        <v>0</v>
      </c>
      <c r="O268" s="26">
        <v>0</v>
      </c>
      <c r="P268" s="26">
        <v>0</v>
      </c>
      <c r="V268" s="1" t="s">
        <v>1128</v>
      </c>
      <c r="W268" s="1" t="s">
        <v>4715</v>
      </c>
      <c r="X268" t="s">
        <v>4717</v>
      </c>
      <c r="Y268" t="s">
        <v>56</v>
      </c>
      <c r="AA268" s="1" t="s">
        <v>60</v>
      </c>
      <c r="AC268" t="s">
        <v>4718</v>
      </c>
      <c r="AI268">
        <v>19.98</v>
      </c>
      <c r="AJ268">
        <v>1</v>
      </c>
      <c r="AK268">
        <v>3</v>
      </c>
    </row>
    <row r="269" spans="1:37" ht="45" customHeight="1" x14ac:dyDescent="0.25">
      <c r="A269" s="1" t="s">
        <v>4622</v>
      </c>
      <c r="B269" s="1" t="s">
        <v>4622</v>
      </c>
      <c r="C269" s="60" t="s">
        <v>352</v>
      </c>
      <c r="D269">
        <v>2</v>
      </c>
      <c r="E269">
        <f>10.1+10.1</f>
        <v>20.2</v>
      </c>
      <c r="F269">
        <f>10.1+10.1</f>
        <v>20.2</v>
      </c>
      <c r="G269">
        <v>10.1</v>
      </c>
      <c r="J269">
        <f>4+7</f>
        <v>11</v>
      </c>
      <c r="K269" s="60" t="s">
        <v>4721</v>
      </c>
      <c r="L269" s="60">
        <v>100</v>
      </c>
      <c r="M269" s="26">
        <v>0</v>
      </c>
      <c r="N269" s="26">
        <v>0</v>
      </c>
      <c r="O269" s="26">
        <v>0</v>
      </c>
      <c r="P269" s="26">
        <v>0</v>
      </c>
      <c r="Q269" s="26">
        <v>2</v>
      </c>
      <c r="V269" s="1" t="s">
        <v>4723</v>
      </c>
      <c r="W269" s="1" t="s">
        <v>4719</v>
      </c>
      <c r="X269" s="1" t="s">
        <v>4720</v>
      </c>
      <c r="Y269" t="s">
        <v>56</v>
      </c>
      <c r="AA269" s="1" t="s">
        <v>60</v>
      </c>
      <c r="AC269" t="s">
        <v>4722</v>
      </c>
      <c r="AI269">
        <f>10.1+10.1</f>
        <v>20.2</v>
      </c>
      <c r="AJ269">
        <v>2</v>
      </c>
      <c r="AK269">
        <f>4+7</f>
        <v>11</v>
      </c>
    </row>
    <row r="270" spans="1:37" ht="180" x14ac:dyDescent="0.25">
      <c r="A270" s="1" t="s">
        <v>4730</v>
      </c>
      <c r="B270" s="1" t="s">
        <v>4623</v>
      </c>
      <c r="C270" s="60" t="s">
        <v>3684</v>
      </c>
      <c r="D270">
        <v>1</v>
      </c>
      <c r="E270">
        <v>66.8</v>
      </c>
      <c r="F270">
        <v>66.8</v>
      </c>
      <c r="G270">
        <v>66.8</v>
      </c>
      <c r="I270" s="26">
        <v>36</v>
      </c>
      <c r="J270">
        <v>34</v>
      </c>
      <c r="K270" s="60" t="s">
        <v>4728</v>
      </c>
      <c r="L270" s="60">
        <v>100</v>
      </c>
      <c r="M270" s="26">
        <v>0</v>
      </c>
      <c r="N270" s="26">
        <v>0</v>
      </c>
      <c r="O270" s="26">
        <v>0</v>
      </c>
      <c r="P270" s="26">
        <v>0</v>
      </c>
      <c r="Q270" s="26">
        <v>1</v>
      </c>
      <c r="V270" s="1" t="s">
        <v>4725</v>
      </c>
      <c r="W270" s="1" t="s">
        <v>4724</v>
      </c>
      <c r="X270" s="1" t="s">
        <v>4726</v>
      </c>
      <c r="Y270" t="s">
        <v>197</v>
      </c>
      <c r="AA270" s="1" t="s">
        <v>60</v>
      </c>
      <c r="AB270" t="s">
        <v>4727</v>
      </c>
      <c r="AC270" t="s">
        <v>4729</v>
      </c>
      <c r="AD270">
        <v>145000</v>
      </c>
      <c r="AI270">
        <v>66.8</v>
      </c>
      <c r="AJ270">
        <v>1</v>
      </c>
      <c r="AK270">
        <v>30</v>
      </c>
    </row>
    <row r="271" spans="1:37" ht="30" x14ac:dyDescent="0.25">
      <c r="A271" s="1" t="s">
        <v>4624</v>
      </c>
      <c r="B271" s="1" t="s">
        <v>4624</v>
      </c>
      <c r="C271" s="60" t="s">
        <v>3684</v>
      </c>
      <c r="D271">
        <v>1</v>
      </c>
      <c r="E271">
        <v>10</v>
      </c>
      <c r="F271">
        <v>10</v>
      </c>
      <c r="G271">
        <v>10</v>
      </c>
      <c r="J271">
        <v>4</v>
      </c>
      <c r="K271" s="60"/>
      <c r="L271" s="60"/>
      <c r="W271" s="1" t="s">
        <v>4731</v>
      </c>
      <c r="X271" s="1" t="s">
        <v>4732</v>
      </c>
      <c r="Y271" t="s">
        <v>56</v>
      </c>
      <c r="AA271" s="1" t="s">
        <v>60</v>
      </c>
      <c r="AC271" t="s">
        <v>4733</v>
      </c>
      <c r="AI271">
        <v>10</v>
      </c>
      <c r="AJ271">
        <v>1</v>
      </c>
      <c r="AK271">
        <v>4</v>
      </c>
    </row>
    <row r="272" spans="1:37" ht="45" x14ac:dyDescent="0.25">
      <c r="A272" s="1" t="s">
        <v>4625</v>
      </c>
      <c r="B272" s="1" t="s">
        <v>4625</v>
      </c>
      <c r="C272" s="60" t="s">
        <v>3684</v>
      </c>
      <c r="D272">
        <v>1</v>
      </c>
      <c r="E272">
        <v>9.8000000000000007</v>
      </c>
      <c r="F272">
        <v>9.8000000000000007</v>
      </c>
      <c r="G272">
        <v>9.8000000000000007</v>
      </c>
      <c r="J272">
        <v>3</v>
      </c>
      <c r="K272" s="60"/>
      <c r="L272" s="60"/>
      <c r="V272" s="1" t="s">
        <v>4734</v>
      </c>
      <c r="Y272" t="s">
        <v>56</v>
      </c>
      <c r="AA272" s="1" t="s">
        <v>60</v>
      </c>
      <c r="AC272" t="s">
        <v>4735</v>
      </c>
      <c r="AI272">
        <v>9.8000000000000007</v>
      </c>
      <c r="AJ272">
        <v>1</v>
      </c>
      <c r="AK272">
        <v>3</v>
      </c>
    </row>
    <row r="273" spans="1:37" ht="30" x14ac:dyDescent="0.25">
      <c r="A273" s="1" t="s">
        <v>4626</v>
      </c>
      <c r="B273" s="1" t="s">
        <v>4626</v>
      </c>
      <c r="C273" s="60" t="s">
        <v>356</v>
      </c>
      <c r="D273">
        <v>1</v>
      </c>
      <c r="E273">
        <v>6</v>
      </c>
      <c r="F273">
        <v>6</v>
      </c>
      <c r="G273">
        <v>6</v>
      </c>
      <c r="J273">
        <v>19</v>
      </c>
      <c r="K273" s="60"/>
      <c r="L273" s="60"/>
      <c r="Y273" t="s">
        <v>56</v>
      </c>
      <c r="AA273" s="1" t="s">
        <v>60</v>
      </c>
      <c r="AC273" t="s">
        <v>3683</v>
      </c>
      <c r="AI273">
        <v>6</v>
      </c>
      <c r="AJ273">
        <v>1</v>
      </c>
      <c r="AK273">
        <v>19</v>
      </c>
    </row>
    <row r="274" spans="1:37" ht="30" x14ac:dyDescent="0.25">
      <c r="A274" s="1" t="s">
        <v>4736</v>
      </c>
      <c r="B274" s="1" t="s">
        <v>4736</v>
      </c>
      <c r="C274" s="60" t="s">
        <v>356</v>
      </c>
      <c r="D274">
        <v>1</v>
      </c>
      <c r="E274">
        <v>39.76</v>
      </c>
      <c r="F274">
        <v>39.76</v>
      </c>
      <c r="G274">
        <v>39.76</v>
      </c>
      <c r="J274">
        <v>6</v>
      </c>
      <c r="K274" s="60"/>
      <c r="L274" s="60"/>
      <c r="V274" s="1" t="s">
        <v>616</v>
      </c>
      <c r="Y274" t="s">
        <v>56</v>
      </c>
      <c r="AA274" s="1" t="s">
        <v>60</v>
      </c>
      <c r="AB274" t="s">
        <v>4737</v>
      </c>
      <c r="AC274" t="s">
        <v>4738</v>
      </c>
      <c r="AI274">
        <v>39.76</v>
      </c>
      <c r="AJ274">
        <v>3</v>
      </c>
      <c r="AK274">
        <v>6</v>
      </c>
    </row>
    <row r="275" spans="1:37" ht="30" x14ac:dyDescent="0.25">
      <c r="A275" s="1" t="s">
        <v>4627</v>
      </c>
      <c r="B275" s="1" t="s">
        <v>4627</v>
      </c>
      <c r="C275" s="60" t="s">
        <v>356</v>
      </c>
      <c r="D275">
        <v>1</v>
      </c>
      <c r="E275">
        <v>999.99</v>
      </c>
      <c r="F275">
        <v>999.99</v>
      </c>
      <c r="G275">
        <v>999.99</v>
      </c>
      <c r="J275">
        <v>2</v>
      </c>
      <c r="K275" s="60"/>
      <c r="L275" s="60"/>
      <c r="Y275" t="s">
        <v>56</v>
      </c>
      <c r="AA275" s="1" t="s">
        <v>60</v>
      </c>
      <c r="AC275" t="s">
        <v>3683</v>
      </c>
      <c r="AI275">
        <v>999.99</v>
      </c>
      <c r="AJ275">
        <v>1</v>
      </c>
      <c r="AK275">
        <v>2</v>
      </c>
    </row>
    <row r="276" spans="1:37" ht="30" x14ac:dyDescent="0.25">
      <c r="A276" s="1" t="s">
        <v>4739</v>
      </c>
      <c r="B276" s="1" t="s">
        <v>4628</v>
      </c>
      <c r="C276" s="60" t="s">
        <v>356</v>
      </c>
      <c r="D276">
        <v>1</v>
      </c>
      <c r="E276">
        <v>1000</v>
      </c>
      <c r="F276">
        <v>1000</v>
      </c>
      <c r="G276">
        <v>1000</v>
      </c>
      <c r="J276"/>
      <c r="K276" s="60" t="s">
        <v>4744</v>
      </c>
      <c r="L276" s="60">
        <v>0</v>
      </c>
      <c r="M276" s="26">
        <v>0</v>
      </c>
      <c r="N276" s="26">
        <v>0</v>
      </c>
      <c r="O276" s="26">
        <v>0</v>
      </c>
      <c r="P276" s="26">
        <v>100</v>
      </c>
      <c r="U276">
        <v>1</v>
      </c>
      <c r="X276" s="1" t="s">
        <v>4740</v>
      </c>
      <c r="Y276" s="1" t="s">
        <v>4743</v>
      </c>
      <c r="AA276" s="1" t="s">
        <v>60</v>
      </c>
      <c r="AC276" s="51" t="s">
        <v>4741</v>
      </c>
    </row>
    <row r="277" spans="1:37" ht="45" x14ac:dyDescent="0.25">
      <c r="A277" s="2" t="s">
        <v>4748</v>
      </c>
      <c r="B277" s="1" t="s">
        <v>4628</v>
      </c>
      <c r="C277" s="60" t="s">
        <v>356</v>
      </c>
      <c r="D277">
        <v>1</v>
      </c>
      <c r="E277" s="26">
        <v>10</v>
      </c>
      <c r="F277" s="26">
        <v>10</v>
      </c>
      <c r="G277" s="26">
        <v>10</v>
      </c>
      <c r="J277">
        <v>4</v>
      </c>
      <c r="K277" s="2" t="s">
        <v>4745</v>
      </c>
      <c r="L277" s="26">
        <v>100</v>
      </c>
      <c r="M277" s="26">
        <v>0</v>
      </c>
      <c r="N277" s="26">
        <v>0</v>
      </c>
      <c r="O277" s="26">
        <v>0</v>
      </c>
      <c r="P277" s="26">
        <v>0</v>
      </c>
      <c r="Q277" s="26">
        <v>1</v>
      </c>
      <c r="W277" s="1" t="s">
        <v>4747</v>
      </c>
      <c r="X277" t="s">
        <v>4746</v>
      </c>
      <c r="Y277" t="s">
        <v>56</v>
      </c>
      <c r="AA277" s="1" t="s">
        <v>61</v>
      </c>
      <c r="AC277" s="51" t="s">
        <v>4742</v>
      </c>
      <c r="AI277">
        <v>10</v>
      </c>
      <c r="AJ277">
        <v>1</v>
      </c>
      <c r="AK277">
        <v>4</v>
      </c>
    </row>
    <row r="278" spans="1:37" ht="30" x14ac:dyDescent="0.25">
      <c r="A278" s="1" t="s">
        <v>4629</v>
      </c>
      <c r="B278" s="1" t="s">
        <v>4629</v>
      </c>
      <c r="C278" s="60" t="s">
        <v>356</v>
      </c>
      <c r="D278">
        <v>1</v>
      </c>
      <c r="E278">
        <v>36.799999999999997</v>
      </c>
      <c r="F278">
        <v>36.799999999999997</v>
      </c>
      <c r="G278">
        <v>36.799999999999997</v>
      </c>
      <c r="J278">
        <v>3</v>
      </c>
      <c r="K278" s="60"/>
      <c r="L278" s="60"/>
      <c r="Y278" t="s">
        <v>56</v>
      </c>
      <c r="AA278" s="1" t="s">
        <v>60</v>
      </c>
      <c r="AC278" s="51" t="s">
        <v>3683</v>
      </c>
      <c r="AI278">
        <v>36.799999999999997</v>
      </c>
      <c r="AJ278">
        <v>2</v>
      </c>
      <c r="AK278">
        <v>3</v>
      </c>
    </row>
    <row r="279" spans="1:37" ht="75" x14ac:dyDescent="0.25">
      <c r="A279" s="1" t="s">
        <v>4749</v>
      </c>
      <c r="B279" s="1" t="s">
        <v>4750</v>
      </c>
      <c r="C279" s="60" t="s">
        <v>356</v>
      </c>
      <c r="D279">
        <v>1</v>
      </c>
      <c r="E279">
        <v>25.8</v>
      </c>
      <c r="F279">
        <v>25.8</v>
      </c>
      <c r="G279">
        <v>25.8</v>
      </c>
      <c r="J279">
        <v>16</v>
      </c>
      <c r="K279" s="60"/>
      <c r="L279" s="60"/>
      <c r="V279" s="1" t="s">
        <v>616</v>
      </c>
      <c r="Y279" t="s">
        <v>56</v>
      </c>
      <c r="Z279" s="1" t="s">
        <v>644</v>
      </c>
      <c r="AA279" s="1" t="s">
        <v>60</v>
      </c>
      <c r="AC279" t="s">
        <v>4751</v>
      </c>
      <c r="AI279">
        <v>25.8</v>
      </c>
      <c r="AJ279">
        <v>2</v>
      </c>
      <c r="AK279">
        <v>16</v>
      </c>
    </row>
    <row r="280" spans="1:37" ht="30" x14ac:dyDescent="0.25">
      <c r="A280" s="1" t="s">
        <v>4752</v>
      </c>
      <c r="B280" s="1" t="s">
        <v>4630</v>
      </c>
      <c r="C280" s="60" t="s">
        <v>356</v>
      </c>
      <c r="D280">
        <v>1</v>
      </c>
      <c r="E280">
        <v>6</v>
      </c>
      <c r="F280">
        <v>6</v>
      </c>
      <c r="G280">
        <v>6</v>
      </c>
      <c r="J280">
        <v>3</v>
      </c>
      <c r="Y280" t="s">
        <v>56</v>
      </c>
      <c r="AA280" s="1" t="s">
        <v>60</v>
      </c>
      <c r="AC280" t="s">
        <v>4753</v>
      </c>
      <c r="AI280">
        <v>6</v>
      </c>
      <c r="AJ280">
        <v>1</v>
      </c>
      <c r="AK280">
        <v>3</v>
      </c>
    </row>
    <row r="281" spans="1:37" ht="45" x14ac:dyDescent="0.25">
      <c r="A281" s="1" t="s">
        <v>4631</v>
      </c>
      <c r="B281" s="1" t="s">
        <v>4631</v>
      </c>
      <c r="C281" s="60" t="s">
        <v>356</v>
      </c>
      <c r="D281">
        <v>1</v>
      </c>
      <c r="E281">
        <v>12</v>
      </c>
      <c r="F281">
        <v>12</v>
      </c>
      <c r="G281">
        <v>12</v>
      </c>
      <c r="J281">
        <v>12</v>
      </c>
      <c r="W281" s="1" t="s">
        <v>4754</v>
      </c>
      <c r="Y281" t="s">
        <v>56</v>
      </c>
      <c r="Z281" s="1" t="s">
        <v>644</v>
      </c>
      <c r="AA281" s="1" t="s">
        <v>60</v>
      </c>
      <c r="AC281" t="s">
        <v>4755</v>
      </c>
      <c r="AI281">
        <v>12</v>
      </c>
      <c r="AJ281">
        <v>1</v>
      </c>
      <c r="AK281">
        <v>12</v>
      </c>
    </row>
    <row r="282" spans="1:37" ht="120" x14ac:dyDescent="0.25">
      <c r="A282" s="1" t="s">
        <v>4329</v>
      </c>
      <c r="B282" s="26" t="s">
        <v>931</v>
      </c>
      <c r="C282" s="26" t="s">
        <v>350</v>
      </c>
      <c r="D282" s="26">
        <v>1</v>
      </c>
      <c r="E282" s="26">
        <v>23</v>
      </c>
      <c r="F282" s="26">
        <v>23</v>
      </c>
      <c r="G282" s="26">
        <v>23</v>
      </c>
      <c r="J282" s="26">
        <v>15</v>
      </c>
      <c r="K282" s="2" t="s">
        <v>4761</v>
      </c>
      <c r="L282" s="26">
        <v>0</v>
      </c>
      <c r="M282" s="26">
        <v>100</v>
      </c>
      <c r="N282" s="26">
        <v>0</v>
      </c>
      <c r="O282" s="26">
        <v>0</v>
      </c>
      <c r="P282" s="26">
        <v>0</v>
      </c>
      <c r="R282" s="26">
        <v>5</v>
      </c>
      <c r="V282" s="1" t="s">
        <v>928</v>
      </c>
      <c r="W282" s="1" t="s">
        <v>278</v>
      </c>
      <c r="X282" s="1" t="s">
        <v>4759</v>
      </c>
      <c r="Y282" s="1" t="s">
        <v>56</v>
      </c>
      <c r="Z282" s="1" t="s">
        <v>795</v>
      </c>
      <c r="AA282" s="1" t="s">
        <v>60</v>
      </c>
      <c r="AB282" t="s">
        <v>4763</v>
      </c>
      <c r="AC282" s="65" t="s">
        <v>4760</v>
      </c>
      <c r="AE282" t="s">
        <v>4762</v>
      </c>
    </row>
    <row r="283" spans="1:37" ht="60" x14ac:dyDescent="0.25">
      <c r="A283" s="1" t="s">
        <v>4333</v>
      </c>
      <c r="B283" s="26" t="s">
        <v>4764</v>
      </c>
      <c r="C283" s="26" t="s">
        <v>350</v>
      </c>
      <c r="D283" s="26">
        <v>1</v>
      </c>
      <c r="E283" s="26">
        <v>36</v>
      </c>
      <c r="F283" s="26">
        <v>36</v>
      </c>
      <c r="G283" s="26">
        <v>36</v>
      </c>
      <c r="K283" s="2" t="s">
        <v>4767</v>
      </c>
      <c r="L283" s="26">
        <v>100</v>
      </c>
      <c r="M283" s="26">
        <v>0</v>
      </c>
      <c r="N283" s="26">
        <v>0</v>
      </c>
      <c r="O283" s="26">
        <v>0</v>
      </c>
      <c r="P283" s="26">
        <v>0</v>
      </c>
      <c r="Q283" s="26">
        <v>4</v>
      </c>
      <c r="V283" s="1" t="s">
        <v>109</v>
      </c>
      <c r="W283" s="1" t="s">
        <v>4769</v>
      </c>
      <c r="X283" t="s">
        <v>4770</v>
      </c>
      <c r="Y283" s="1" t="s">
        <v>56</v>
      </c>
      <c r="Z283" s="1" t="s">
        <v>795</v>
      </c>
      <c r="AA283" s="1" t="s">
        <v>60</v>
      </c>
      <c r="AC283" s="51" t="s">
        <v>4768</v>
      </c>
    </row>
    <row r="284" spans="1:37" ht="166.5" customHeight="1" x14ac:dyDescent="0.25">
      <c r="A284" s="1" t="s">
        <v>4336</v>
      </c>
      <c r="B284" s="26" t="s">
        <v>4765</v>
      </c>
      <c r="C284" s="26" t="s">
        <v>350</v>
      </c>
      <c r="D284" s="26">
        <v>1</v>
      </c>
      <c r="E284" s="26">
        <v>1800</v>
      </c>
      <c r="G284" s="26">
        <f>E284/D284</f>
        <v>1800</v>
      </c>
      <c r="H284" s="26">
        <v>50</v>
      </c>
      <c r="J284" s="26">
        <v>335</v>
      </c>
      <c r="K284" s="2" t="s">
        <v>4776</v>
      </c>
      <c r="V284" s="1" t="s">
        <v>109</v>
      </c>
      <c r="W284" s="1" t="s">
        <v>4337</v>
      </c>
      <c r="X284" s="1" t="s">
        <v>4771</v>
      </c>
      <c r="Y284" s="1" t="s">
        <v>4774</v>
      </c>
      <c r="Z284" s="1" t="s">
        <v>795</v>
      </c>
      <c r="AA284" s="1" t="s">
        <v>61</v>
      </c>
      <c r="AB284" s="1" t="s">
        <v>4775</v>
      </c>
      <c r="AC284" s="51" t="s">
        <v>4772</v>
      </c>
      <c r="AD284">
        <v>1440000</v>
      </c>
      <c r="AE284" t="s">
        <v>4773</v>
      </c>
      <c r="AF284">
        <v>65340</v>
      </c>
      <c r="AG284" s="1">
        <f>312840-AF284</f>
        <v>247500</v>
      </c>
    </row>
    <row r="285" spans="1:37" ht="60" x14ac:dyDescent="0.25">
      <c r="A285" s="1" t="s">
        <v>4343</v>
      </c>
      <c r="B285" s="26" t="s">
        <v>4777</v>
      </c>
      <c r="C285" s="26" t="s">
        <v>350</v>
      </c>
      <c r="D285" s="26">
        <v>1</v>
      </c>
      <c r="E285" s="26">
        <v>2300</v>
      </c>
      <c r="F285" s="26">
        <v>2300</v>
      </c>
      <c r="G285" s="26">
        <v>2300</v>
      </c>
      <c r="H285" s="26">
        <v>50</v>
      </c>
      <c r="J285" s="26">
        <f>378+44+2</f>
        <v>424</v>
      </c>
      <c r="K285" s="2" t="s">
        <v>4779</v>
      </c>
      <c r="V285" s="1" t="s">
        <v>109</v>
      </c>
      <c r="W285" s="1" t="s">
        <v>4766</v>
      </c>
      <c r="X285" t="s">
        <v>4770</v>
      </c>
      <c r="Y285" s="1" t="s">
        <v>4780</v>
      </c>
      <c r="Z285" s="1" t="s">
        <v>795</v>
      </c>
      <c r="AA285" s="1" t="s">
        <v>61</v>
      </c>
      <c r="AB285" t="s">
        <v>4783</v>
      </c>
      <c r="AC285" s="51" t="s">
        <v>4781</v>
      </c>
      <c r="AD285">
        <v>1840000</v>
      </c>
      <c r="AE285" t="s">
        <v>4782</v>
      </c>
      <c r="AF285">
        <v>83490</v>
      </c>
      <c r="AG285" s="1">
        <f>399740-AF285</f>
        <v>316250</v>
      </c>
      <c r="AH285">
        <v>360250</v>
      </c>
    </row>
    <row r="286" spans="1:37" ht="158.25" customHeight="1" x14ac:dyDescent="0.25">
      <c r="A286" s="1" t="s">
        <v>4785</v>
      </c>
      <c r="B286" s="26" t="s">
        <v>4787</v>
      </c>
      <c r="C286" s="26" t="s">
        <v>350</v>
      </c>
      <c r="D286" s="26">
        <v>1</v>
      </c>
      <c r="E286" s="26">
        <v>1000</v>
      </c>
      <c r="F286" s="26">
        <v>1000</v>
      </c>
      <c r="G286" s="26">
        <v>1000</v>
      </c>
      <c r="J286" s="26">
        <v>21</v>
      </c>
      <c r="K286" s="2" t="s">
        <v>4788</v>
      </c>
      <c r="L286" s="26">
        <v>100</v>
      </c>
      <c r="M286" s="26">
        <v>0</v>
      </c>
      <c r="N286" s="26">
        <v>0</v>
      </c>
      <c r="O286" s="26">
        <v>0</v>
      </c>
      <c r="P286" s="26">
        <v>0</v>
      </c>
      <c r="W286" s="1" t="s">
        <v>4350</v>
      </c>
      <c r="X286" s="1" t="s">
        <v>4786</v>
      </c>
      <c r="Y286" s="1" t="s">
        <v>56</v>
      </c>
      <c r="Z286" s="1" t="s">
        <v>795</v>
      </c>
      <c r="AA286" s="1" t="s">
        <v>60</v>
      </c>
      <c r="AC286" s="51" t="s">
        <v>4789</v>
      </c>
    </row>
    <row r="287" spans="1:37" ht="60" x14ac:dyDescent="0.25">
      <c r="A287" s="1" t="s">
        <v>4352</v>
      </c>
      <c r="B287" s="26" t="s">
        <v>4778</v>
      </c>
      <c r="C287" s="26" t="s">
        <v>350</v>
      </c>
      <c r="J287" s="26">
        <v>3</v>
      </c>
      <c r="K287" s="2" t="s">
        <v>4792</v>
      </c>
      <c r="L287" s="26">
        <v>100</v>
      </c>
      <c r="M287" s="26">
        <v>0</v>
      </c>
      <c r="N287" s="26">
        <v>0</v>
      </c>
      <c r="O287" s="26">
        <v>0</v>
      </c>
      <c r="P287" s="26">
        <v>0</v>
      </c>
      <c r="W287" s="1" t="s">
        <v>4353</v>
      </c>
      <c r="X287" s="1" t="s">
        <v>4791</v>
      </c>
      <c r="Y287" s="1" t="s">
        <v>56</v>
      </c>
      <c r="Z287" s="1" t="s">
        <v>795</v>
      </c>
      <c r="AA287" s="1" t="s">
        <v>60</v>
      </c>
      <c r="AB287" t="s">
        <v>4790</v>
      </c>
      <c r="AC287" s="65" t="s">
        <v>4793</v>
      </c>
    </row>
    <row r="288" spans="1:37" ht="169.5" customHeight="1" x14ac:dyDescent="0.25">
      <c r="A288" s="1" t="s">
        <v>4356</v>
      </c>
      <c r="B288" s="2" t="s">
        <v>4794</v>
      </c>
      <c r="C288" s="26" t="s">
        <v>350</v>
      </c>
      <c r="J288" s="26">
        <v>100</v>
      </c>
      <c r="V288" s="1" t="s">
        <v>4796</v>
      </c>
      <c r="W288" s="1" t="s">
        <v>4357</v>
      </c>
      <c r="X288" s="1" t="s">
        <v>4795</v>
      </c>
      <c r="Y288" s="1" t="s">
        <v>56</v>
      </c>
      <c r="Z288" s="1" t="s">
        <v>327</v>
      </c>
      <c r="AA288" s="1" t="s">
        <v>60</v>
      </c>
      <c r="AC288" s="51" t="s">
        <v>4797</v>
      </c>
    </row>
    <row r="289" spans="1:34" ht="105" x14ac:dyDescent="0.25">
      <c r="A289" s="1" t="s">
        <v>4359</v>
      </c>
      <c r="B289" s="26" t="s">
        <v>4798</v>
      </c>
      <c r="C289" s="26" t="s">
        <v>350</v>
      </c>
      <c r="K289" s="2" t="s">
        <v>4800</v>
      </c>
      <c r="V289" s="1" t="s">
        <v>109</v>
      </c>
      <c r="W289" s="1" t="s">
        <v>4799</v>
      </c>
      <c r="X289" s="1" t="s">
        <v>4770</v>
      </c>
      <c r="Z289" s="1" t="s">
        <v>795</v>
      </c>
      <c r="AA289" s="1" t="s">
        <v>60</v>
      </c>
      <c r="AC289" s="51" t="s">
        <v>4801</v>
      </c>
    </row>
    <row r="290" spans="1:34" ht="153.75" x14ac:dyDescent="0.25">
      <c r="A290" s="1" t="s">
        <v>4361</v>
      </c>
      <c r="B290" s="2" t="s">
        <v>4362</v>
      </c>
      <c r="C290" s="26" t="s">
        <v>350</v>
      </c>
      <c r="D290" s="26">
        <v>5</v>
      </c>
      <c r="E290" s="26">
        <f>19.8+80</f>
        <v>99.8</v>
      </c>
      <c r="F290" s="26">
        <f>19.8+80</f>
        <v>99.8</v>
      </c>
      <c r="G290" s="26">
        <f>19.8+80</f>
        <v>99.8</v>
      </c>
      <c r="J290" s="26">
        <v>30</v>
      </c>
      <c r="K290" s="2" t="s">
        <v>5307</v>
      </c>
      <c r="L290" s="26">
        <v>100</v>
      </c>
      <c r="M290" s="26">
        <v>0</v>
      </c>
      <c r="N290" s="26">
        <v>0</v>
      </c>
      <c r="O290" s="26">
        <v>0</v>
      </c>
      <c r="P290" s="26">
        <v>0</v>
      </c>
      <c r="Q290" s="26">
        <v>3</v>
      </c>
      <c r="V290" s="1" t="s">
        <v>109</v>
      </c>
      <c r="W290" s="1" t="s">
        <v>4803</v>
      </c>
      <c r="X290" s="1" t="s">
        <v>4802</v>
      </c>
      <c r="Y290" s="1" t="s">
        <v>56</v>
      </c>
      <c r="Z290" s="1" t="s">
        <v>795</v>
      </c>
      <c r="AA290" s="1" t="s">
        <v>60</v>
      </c>
      <c r="AB290" s="1" t="s">
        <v>977</v>
      </c>
      <c r="AC290" s="51" t="s">
        <v>4804</v>
      </c>
      <c r="AD290">
        <v>177000</v>
      </c>
    </row>
    <row r="291" spans="1:34" ht="60" x14ac:dyDescent="0.25">
      <c r="A291" s="1" t="s">
        <v>4363</v>
      </c>
      <c r="B291" s="26" t="s">
        <v>4805</v>
      </c>
      <c r="C291" s="26" t="s">
        <v>350</v>
      </c>
      <c r="D291" s="26">
        <v>1</v>
      </c>
      <c r="E291" s="26">
        <v>3000</v>
      </c>
      <c r="F291" s="26">
        <v>3000</v>
      </c>
      <c r="G291" s="26">
        <v>3000</v>
      </c>
      <c r="H291" s="26">
        <v>50</v>
      </c>
      <c r="J291" s="26">
        <f>505+42+3</f>
        <v>550</v>
      </c>
      <c r="K291" s="2" t="s">
        <v>4813</v>
      </c>
      <c r="V291" s="1" t="s">
        <v>109</v>
      </c>
      <c r="W291" s="1" t="s">
        <v>4811</v>
      </c>
      <c r="X291" s="1" t="s">
        <v>4770</v>
      </c>
      <c r="Y291" s="1" t="s">
        <v>56</v>
      </c>
      <c r="Z291" s="1" t="s">
        <v>795</v>
      </c>
      <c r="AA291" s="1" t="s">
        <v>61</v>
      </c>
      <c r="AB291" t="s">
        <v>4810</v>
      </c>
      <c r="AD291">
        <v>2400000</v>
      </c>
      <c r="AE291" t="s">
        <v>4809</v>
      </c>
      <c r="AF291">
        <v>108900</v>
      </c>
      <c r="AG291">
        <f>521400-AF291</f>
        <v>412500</v>
      </c>
      <c r="AH291">
        <v>412500</v>
      </c>
    </row>
    <row r="292" spans="1:34" ht="60" x14ac:dyDescent="0.25">
      <c r="A292" s="1" t="s">
        <v>4366</v>
      </c>
      <c r="B292" s="26" t="s">
        <v>4806</v>
      </c>
      <c r="C292" s="26" t="s">
        <v>350</v>
      </c>
      <c r="D292" s="26">
        <v>1</v>
      </c>
      <c r="E292" s="26">
        <v>6900</v>
      </c>
      <c r="F292" s="26">
        <v>6900</v>
      </c>
      <c r="G292" s="26">
        <v>6900</v>
      </c>
      <c r="H292" s="26">
        <v>50</v>
      </c>
      <c r="J292" s="26">
        <f>1151+94+8</f>
        <v>1253</v>
      </c>
      <c r="K292" s="2" t="s">
        <v>4812</v>
      </c>
      <c r="V292" s="1" t="s">
        <v>109</v>
      </c>
      <c r="W292" s="1" t="s">
        <v>4816</v>
      </c>
      <c r="X292" s="1" t="s">
        <v>4770</v>
      </c>
      <c r="Y292" s="1" t="s">
        <v>4814</v>
      </c>
      <c r="Z292" s="1" t="s">
        <v>795</v>
      </c>
      <c r="AA292" s="1" t="s">
        <v>61</v>
      </c>
      <c r="AB292" t="s">
        <v>4818</v>
      </c>
      <c r="AC292" s="51" t="s">
        <v>4815</v>
      </c>
      <c r="AD292">
        <v>5520000</v>
      </c>
      <c r="AE292" t="s">
        <v>4817</v>
      </c>
      <c r="AF292">
        <v>250470</v>
      </c>
      <c r="AG292">
        <f>1199220-AF292</f>
        <v>948750</v>
      </c>
      <c r="AH292">
        <v>948750</v>
      </c>
    </row>
    <row r="293" spans="1:34" ht="75" x14ac:dyDescent="0.25">
      <c r="A293" s="1" t="s">
        <v>4807</v>
      </c>
      <c r="B293" s="2" t="s">
        <v>4822</v>
      </c>
      <c r="C293" s="26" t="s">
        <v>350</v>
      </c>
      <c r="V293" s="1" t="s">
        <v>109</v>
      </c>
      <c r="W293" s="1" t="s">
        <v>4820</v>
      </c>
      <c r="X293" s="1" t="s">
        <v>4821</v>
      </c>
      <c r="Z293" s="1" t="s">
        <v>795</v>
      </c>
      <c r="AA293" s="1" t="s">
        <v>60</v>
      </c>
    </row>
    <row r="294" spans="1:34" ht="165" x14ac:dyDescent="0.25">
      <c r="A294" s="1" t="s">
        <v>4372</v>
      </c>
      <c r="B294" s="26" t="s">
        <v>459</v>
      </c>
      <c r="C294" s="26" t="s">
        <v>350</v>
      </c>
      <c r="D294" s="26">
        <v>2</v>
      </c>
      <c r="E294" s="26">
        <v>2000</v>
      </c>
      <c r="F294" s="26">
        <v>2000</v>
      </c>
      <c r="G294" s="26">
        <f>E294/D294</f>
        <v>1000</v>
      </c>
      <c r="K294" s="2" t="s">
        <v>4827</v>
      </c>
      <c r="V294" s="1" t="s">
        <v>109</v>
      </c>
      <c r="W294" s="1" t="s">
        <v>283</v>
      </c>
      <c r="X294" s="1" t="s">
        <v>4825</v>
      </c>
      <c r="Y294" s="1" t="s">
        <v>56</v>
      </c>
      <c r="Z294" s="1" t="s">
        <v>1336</v>
      </c>
      <c r="AA294" s="1" t="s">
        <v>60</v>
      </c>
      <c r="AC294" s="65" t="s">
        <v>4826</v>
      </c>
    </row>
    <row r="295" spans="1:34" ht="60" x14ac:dyDescent="0.25">
      <c r="A295" s="1" t="s">
        <v>4831</v>
      </c>
      <c r="B295" s="26" t="s">
        <v>459</v>
      </c>
      <c r="C295" s="26" t="s">
        <v>350</v>
      </c>
      <c r="D295" s="26">
        <v>1</v>
      </c>
      <c r="E295" s="26">
        <v>400</v>
      </c>
      <c r="F295" s="26">
        <v>400</v>
      </c>
      <c r="G295" s="26">
        <v>400</v>
      </c>
      <c r="H295" s="26">
        <v>100</v>
      </c>
      <c r="I295" s="26">
        <v>40</v>
      </c>
      <c r="K295" s="2" t="s">
        <v>4829</v>
      </c>
      <c r="L295" s="26">
        <v>0</v>
      </c>
      <c r="M295" s="26">
        <v>0</v>
      </c>
      <c r="N295" s="26">
        <v>100</v>
      </c>
      <c r="O295" s="26">
        <v>0</v>
      </c>
      <c r="P295" s="26">
        <v>0</v>
      </c>
      <c r="S295" s="26">
        <v>1</v>
      </c>
      <c r="V295" s="1" t="s">
        <v>109</v>
      </c>
      <c r="W295" s="1" t="s">
        <v>4378</v>
      </c>
      <c r="X295" s="1" t="s">
        <v>4830</v>
      </c>
      <c r="Y295" s="1" t="s">
        <v>197</v>
      </c>
      <c r="Z295" s="1" t="s">
        <v>795</v>
      </c>
      <c r="AA295" s="1" t="s">
        <v>60</v>
      </c>
      <c r="AC295" s="51" t="s">
        <v>4832</v>
      </c>
      <c r="AE295" t="s">
        <v>4828</v>
      </c>
    </row>
    <row r="296" spans="1:34" ht="180" x14ac:dyDescent="0.25">
      <c r="A296" s="1" t="s">
        <v>4379</v>
      </c>
      <c r="B296" s="26" t="s">
        <v>4808</v>
      </c>
      <c r="C296" s="26" t="s">
        <v>350</v>
      </c>
      <c r="D296" s="26">
        <v>1</v>
      </c>
      <c r="E296" s="26">
        <v>5400</v>
      </c>
      <c r="F296" s="26">
        <v>5400</v>
      </c>
      <c r="G296" s="26">
        <v>5400</v>
      </c>
      <c r="H296" s="26">
        <v>50</v>
      </c>
      <c r="V296" s="1" t="s">
        <v>109</v>
      </c>
      <c r="W296" s="1" t="s">
        <v>4819</v>
      </c>
      <c r="X296" s="1" t="s">
        <v>4770</v>
      </c>
      <c r="Y296" s="1" t="s">
        <v>56</v>
      </c>
      <c r="Z296" s="1" t="s">
        <v>795</v>
      </c>
      <c r="AA296" s="1" t="s">
        <v>61</v>
      </c>
      <c r="AB296" s="1" t="s">
        <v>4834</v>
      </c>
      <c r="AC296" s="51" t="s">
        <v>4835</v>
      </c>
      <c r="AD296">
        <v>4300000</v>
      </c>
      <c r="AE296" t="s">
        <v>4833</v>
      </c>
      <c r="AF296">
        <v>196020</v>
      </c>
      <c r="AG296">
        <f>938520-AF296</f>
        <v>742500</v>
      </c>
      <c r="AH296">
        <v>742500</v>
      </c>
    </row>
    <row r="297" spans="1:34" ht="60" x14ac:dyDescent="0.25">
      <c r="A297" s="1" t="s">
        <v>4381</v>
      </c>
      <c r="B297" s="26" t="s">
        <v>4836</v>
      </c>
      <c r="C297" s="26" t="s">
        <v>350</v>
      </c>
      <c r="D297" s="26">
        <v>1</v>
      </c>
      <c r="E297" s="26">
        <v>1800</v>
      </c>
      <c r="F297" s="26">
        <v>1800</v>
      </c>
      <c r="G297" s="26">
        <v>1800</v>
      </c>
      <c r="H297" s="26">
        <v>50</v>
      </c>
      <c r="J297" s="26">
        <v>341</v>
      </c>
      <c r="K297" s="2" t="s">
        <v>4837</v>
      </c>
      <c r="V297" s="1" t="s">
        <v>109</v>
      </c>
      <c r="W297" s="1" t="s">
        <v>4382</v>
      </c>
      <c r="X297" s="1" t="s">
        <v>4770</v>
      </c>
      <c r="Y297" s="1" t="s">
        <v>56</v>
      </c>
      <c r="Z297" s="1" t="s">
        <v>795</v>
      </c>
      <c r="AA297" s="1" t="s">
        <v>61</v>
      </c>
      <c r="AB297" t="s">
        <v>4839</v>
      </c>
      <c r="AC297" s="51" t="s">
        <v>4845</v>
      </c>
      <c r="AD297">
        <v>1440000</v>
      </c>
      <c r="AE297" t="s">
        <v>4838</v>
      </c>
      <c r="AF297">
        <v>65340</v>
      </c>
      <c r="AG297">
        <f>312840-AF297</f>
        <v>247500</v>
      </c>
      <c r="AH297">
        <v>247500</v>
      </c>
    </row>
    <row r="298" spans="1:34" ht="90" x14ac:dyDescent="0.25">
      <c r="A298" s="1" t="s">
        <v>4384</v>
      </c>
      <c r="B298" s="26" t="s">
        <v>4823</v>
      </c>
      <c r="C298" s="26" t="s">
        <v>350</v>
      </c>
      <c r="D298" s="26">
        <v>1</v>
      </c>
      <c r="E298" s="26">
        <v>16000</v>
      </c>
      <c r="F298" s="26">
        <v>16000</v>
      </c>
      <c r="G298" s="26">
        <v>16000</v>
      </c>
      <c r="H298" s="26">
        <v>50</v>
      </c>
      <c r="J298" s="26">
        <v>3018</v>
      </c>
      <c r="K298" s="2" t="s">
        <v>4841</v>
      </c>
      <c r="V298" s="1" t="s">
        <v>109</v>
      </c>
      <c r="W298" s="1" t="s">
        <v>4840</v>
      </c>
      <c r="X298" s="1" t="s">
        <v>4770</v>
      </c>
      <c r="Y298" s="1" t="s">
        <v>56</v>
      </c>
      <c r="Z298" s="1" t="s">
        <v>795</v>
      </c>
      <c r="AA298" s="1" t="s">
        <v>61</v>
      </c>
      <c r="AB298" s="1" t="s">
        <v>4843</v>
      </c>
      <c r="AC298" s="51" t="s">
        <v>4844</v>
      </c>
      <c r="AD298">
        <v>12800000</v>
      </c>
      <c r="AE298" t="s">
        <v>4842</v>
      </c>
      <c r="AF298">
        <v>580800</v>
      </c>
      <c r="AG298">
        <f>2780800-AF298</f>
        <v>2200000</v>
      </c>
      <c r="AH298">
        <v>2200000</v>
      </c>
    </row>
    <row r="299" spans="1:34" ht="361.5" customHeight="1" x14ac:dyDescent="0.25">
      <c r="A299" s="1" t="s">
        <v>4387</v>
      </c>
      <c r="B299" s="26" t="s">
        <v>4824</v>
      </c>
      <c r="C299" s="26" t="s">
        <v>350</v>
      </c>
      <c r="D299" s="26">
        <v>1</v>
      </c>
      <c r="E299" s="26">
        <v>1800</v>
      </c>
      <c r="F299" s="26">
        <v>1800</v>
      </c>
      <c r="G299" s="26">
        <v>1800</v>
      </c>
      <c r="H299" s="26">
        <v>50</v>
      </c>
      <c r="J299" s="26">
        <v>303</v>
      </c>
      <c r="K299" s="2" t="s">
        <v>4848</v>
      </c>
      <c r="V299" s="1" t="s">
        <v>109</v>
      </c>
      <c r="W299" s="1" t="s">
        <v>4847</v>
      </c>
      <c r="X299" s="1" t="s">
        <v>4770</v>
      </c>
      <c r="Y299" s="1" t="s">
        <v>56</v>
      </c>
      <c r="Z299" s="1" t="s">
        <v>795</v>
      </c>
      <c r="AA299" s="1" t="s">
        <v>61</v>
      </c>
      <c r="AB299" s="1" t="s">
        <v>4851</v>
      </c>
      <c r="AC299" s="51" t="s">
        <v>4849</v>
      </c>
      <c r="AD299">
        <v>1440000</v>
      </c>
      <c r="AE299" t="s">
        <v>4850</v>
      </c>
      <c r="AF299">
        <v>65340</v>
      </c>
      <c r="AG299">
        <f>312800-AF299</f>
        <v>247460</v>
      </c>
      <c r="AH299">
        <v>247500</v>
      </c>
    </row>
    <row r="300" spans="1:34" ht="105" x14ac:dyDescent="0.25">
      <c r="A300" s="1" t="s">
        <v>4389</v>
      </c>
      <c r="B300" s="2" t="s">
        <v>4852</v>
      </c>
      <c r="C300" s="26" t="s">
        <v>350</v>
      </c>
      <c r="D300" s="26">
        <v>1</v>
      </c>
      <c r="E300" s="26">
        <v>1300</v>
      </c>
      <c r="F300" s="26">
        <v>1300</v>
      </c>
      <c r="G300" s="26">
        <v>1300</v>
      </c>
      <c r="H300" s="26">
        <v>50</v>
      </c>
      <c r="J300" s="26">
        <v>229</v>
      </c>
      <c r="K300" s="2" t="s">
        <v>4854</v>
      </c>
      <c r="V300" s="1" t="s">
        <v>109</v>
      </c>
      <c r="W300" s="1" t="s">
        <v>4390</v>
      </c>
      <c r="X300" s="1" t="s">
        <v>4770</v>
      </c>
      <c r="Y300" s="1" t="s">
        <v>56</v>
      </c>
      <c r="Z300" s="1" t="s">
        <v>795</v>
      </c>
      <c r="AA300" s="1" t="s">
        <v>61</v>
      </c>
      <c r="AB300" s="1" t="s">
        <v>4856</v>
      </c>
      <c r="AC300" s="51" t="s">
        <v>4853</v>
      </c>
      <c r="AD300">
        <v>1040000</v>
      </c>
      <c r="AE300" t="s">
        <v>4855</v>
      </c>
      <c r="AF300">
        <v>47190</v>
      </c>
      <c r="AG300">
        <f>225940-AF300</f>
        <v>178750</v>
      </c>
      <c r="AH300">
        <v>178750</v>
      </c>
    </row>
    <row r="301" spans="1:34" ht="68.25" customHeight="1" x14ac:dyDescent="0.25">
      <c r="A301" s="1" t="s">
        <v>4861</v>
      </c>
      <c r="B301" s="26" t="s">
        <v>4857</v>
      </c>
      <c r="C301" s="26" t="s">
        <v>350</v>
      </c>
      <c r="D301" s="26">
        <v>1</v>
      </c>
      <c r="E301" s="26">
        <v>9</v>
      </c>
      <c r="F301" s="26">
        <v>9</v>
      </c>
      <c r="G301" s="26">
        <v>9</v>
      </c>
      <c r="J301" s="26">
        <v>6</v>
      </c>
      <c r="K301" s="2" t="s">
        <v>4864</v>
      </c>
      <c r="L301" s="26">
        <v>0</v>
      </c>
      <c r="M301" s="26">
        <v>0</v>
      </c>
      <c r="N301" s="26">
        <v>0</v>
      </c>
      <c r="O301" s="26">
        <v>100</v>
      </c>
      <c r="P301" s="26">
        <v>0</v>
      </c>
      <c r="T301" s="26">
        <v>1</v>
      </c>
      <c r="V301" s="1" t="s">
        <v>4862</v>
      </c>
      <c r="W301" s="1" t="s">
        <v>278</v>
      </c>
      <c r="X301" s="1" t="s">
        <v>4860</v>
      </c>
      <c r="Y301" s="1" t="s">
        <v>56</v>
      </c>
      <c r="Z301" s="1" t="s">
        <v>795</v>
      </c>
      <c r="AA301" s="1" t="s">
        <v>60</v>
      </c>
      <c r="AC301" s="51" t="s">
        <v>4863</v>
      </c>
      <c r="AG301" s="1" t="s">
        <v>4859</v>
      </c>
    </row>
    <row r="302" spans="1:34" ht="133.5" customHeight="1" x14ac:dyDescent="0.25">
      <c r="A302" s="1" t="s">
        <v>4399</v>
      </c>
      <c r="B302" s="26" t="s">
        <v>4866</v>
      </c>
      <c r="C302" s="26" t="s">
        <v>350</v>
      </c>
      <c r="D302" s="26">
        <v>1</v>
      </c>
      <c r="E302" s="26">
        <v>1900</v>
      </c>
      <c r="F302" s="26">
        <v>1900</v>
      </c>
      <c r="G302" s="26">
        <v>1900</v>
      </c>
      <c r="H302" s="26">
        <v>50</v>
      </c>
      <c r="J302" s="26">
        <v>331</v>
      </c>
      <c r="K302" s="2" t="s">
        <v>4871</v>
      </c>
      <c r="V302" s="1" t="s">
        <v>109</v>
      </c>
      <c r="W302" s="1" t="s">
        <v>4865</v>
      </c>
      <c r="X302" s="1" t="s">
        <v>4770</v>
      </c>
      <c r="Y302" s="1" t="s">
        <v>4870</v>
      </c>
      <c r="Z302" s="1" t="s">
        <v>795</v>
      </c>
      <c r="AA302" s="1" t="s">
        <v>61</v>
      </c>
      <c r="AB302" s="1" t="s">
        <v>4869</v>
      </c>
      <c r="AC302" s="51" t="s">
        <v>4868</v>
      </c>
      <c r="AD302">
        <v>1520000</v>
      </c>
      <c r="AE302" t="s">
        <v>4867</v>
      </c>
      <c r="AF302">
        <v>68970</v>
      </c>
      <c r="AG302">
        <f>330220-AF302</f>
        <v>261250</v>
      </c>
      <c r="AH302">
        <v>261250</v>
      </c>
    </row>
    <row r="303" spans="1:34" ht="270" x14ac:dyDescent="0.25">
      <c r="A303" s="1" t="s">
        <v>4401</v>
      </c>
      <c r="B303" s="26" t="s">
        <v>4858</v>
      </c>
      <c r="C303" s="26" t="s">
        <v>350</v>
      </c>
      <c r="D303" s="26">
        <v>1</v>
      </c>
      <c r="E303" s="26">
        <v>3000</v>
      </c>
      <c r="F303" s="26">
        <v>3000</v>
      </c>
      <c r="G303" s="26">
        <v>3000</v>
      </c>
      <c r="H303" s="26">
        <v>50</v>
      </c>
      <c r="J303" s="26">
        <v>605</v>
      </c>
      <c r="K303" s="2" t="s">
        <v>4872</v>
      </c>
      <c r="V303" s="1" t="s">
        <v>109</v>
      </c>
      <c r="W303" s="1" t="s">
        <v>4846</v>
      </c>
      <c r="X303" s="1" t="s">
        <v>4770</v>
      </c>
      <c r="Y303" s="1" t="s">
        <v>4870</v>
      </c>
      <c r="Z303" s="1" t="s">
        <v>795</v>
      </c>
      <c r="AA303" s="1" t="s">
        <v>61</v>
      </c>
      <c r="AB303" s="1" t="s">
        <v>4875</v>
      </c>
      <c r="AC303" s="52" t="s">
        <v>4873</v>
      </c>
      <c r="AD303">
        <v>2400000</v>
      </c>
      <c r="AE303" t="s">
        <v>4874</v>
      </c>
      <c r="AF303">
        <v>108900</v>
      </c>
      <c r="AG303">
        <f>521400-AF303</f>
        <v>412500</v>
      </c>
      <c r="AH303">
        <v>412500</v>
      </c>
    </row>
    <row r="304" spans="1:34" ht="120" x14ac:dyDescent="0.25">
      <c r="A304" s="1" t="s">
        <v>4403</v>
      </c>
      <c r="B304" s="2" t="s">
        <v>4880</v>
      </c>
      <c r="C304" s="26" t="s">
        <v>350</v>
      </c>
      <c r="D304" s="26">
        <v>1</v>
      </c>
      <c r="E304" s="26">
        <f>100+60</f>
        <v>160</v>
      </c>
      <c r="F304" s="26">
        <f>100+60</f>
        <v>160</v>
      </c>
      <c r="G304" s="26">
        <f>100+60</f>
        <v>160</v>
      </c>
      <c r="J304" s="26">
        <v>107</v>
      </c>
      <c r="K304" s="2" t="s">
        <v>4883</v>
      </c>
      <c r="L304" s="26">
        <v>100</v>
      </c>
      <c r="M304" s="26">
        <v>0</v>
      </c>
      <c r="N304" s="26">
        <v>0</v>
      </c>
      <c r="O304" s="26">
        <v>0</v>
      </c>
      <c r="P304" s="26">
        <v>0</v>
      </c>
      <c r="Q304" s="26">
        <v>2</v>
      </c>
      <c r="V304" s="1" t="s">
        <v>4881</v>
      </c>
      <c r="W304" s="1" t="s">
        <v>4876</v>
      </c>
      <c r="X304" s="1" t="s">
        <v>4877</v>
      </c>
      <c r="Y304" s="1" t="s">
        <v>56</v>
      </c>
      <c r="Z304" s="1" t="s">
        <v>327</v>
      </c>
      <c r="AA304" s="1" t="s">
        <v>60</v>
      </c>
      <c r="AB304" s="1" t="s">
        <v>4882</v>
      </c>
      <c r="AC304" s="51" t="s">
        <v>4878</v>
      </c>
      <c r="AD304">
        <f>100000+65000</f>
        <v>165000</v>
      </c>
      <c r="AE304" s="1" t="s">
        <v>4879</v>
      </c>
      <c r="AF304">
        <f>2000+1000</f>
        <v>3000</v>
      </c>
      <c r="AG304">
        <f>7000+3500</f>
        <v>10500</v>
      </c>
      <c r="AH304">
        <f>3000+3000</f>
        <v>6000</v>
      </c>
    </row>
    <row r="305" spans="1:34" ht="90" x14ac:dyDescent="0.25">
      <c r="A305" s="1" t="s">
        <v>4408</v>
      </c>
      <c r="B305" s="26" t="s">
        <v>4884</v>
      </c>
      <c r="C305" s="26" t="s">
        <v>350</v>
      </c>
      <c r="D305" s="26">
        <v>1</v>
      </c>
      <c r="E305" s="26">
        <v>6800</v>
      </c>
      <c r="F305" s="26">
        <v>6800</v>
      </c>
      <c r="G305" s="26">
        <v>6800</v>
      </c>
      <c r="H305" s="26">
        <v>50</v>
      </c>
      <c r="J305" s="26">
        <f>1130+108+7</f>
        <v>1245</v>
      </c>
      <c r="K305" s="2" t="s">
        <v>4885</v>
      </c>
      <c r="V305" s="1" t="s">
        <v>109</v>
      </c>
      <c r="W305" s="1" t="s">
        <v>4886</v>
      </c>
      <c r="X305" s="1" t="s">
        <v>4770</v>
      </c>
      <c r="Y305" s="1" t="s">
        <v>56</v>
      </c>
      <c r="Z305" s="1" t="s">
        <v>795</v>
      </c>
      <c r="AA305" s="1" t="s">
        <v>61</v>
      </c>
      <c r="AB305" s="1" t="s">
        <v>4888</v>
      </c>
      <c r="AC305" s="51" t="s">
        <v>4889</v>
      </c>
      <c r="AD305">
        <v>5440000</v>
      </c>
      <c r="AE305" t="s">
        <v>4887</v>
      </c>
      <c r="AF305">
        <v>268840</v>
      </c>
      <c r="AG305">
        <f>1181840-AF305</f>
        <v>913000</v>
      </c>
      <c r="AH305">
        <v>935000</v>
      </c>
    </row>
    <row r="306" spans="1:34" ht="120" customHeight="1" x14ac:dyDescent="0.25">
      <c r="A306" s="1" t="s">
        <v>4410</v>
      </c>
      <c r="B306" s="26" t="s">
        <v>4892</v>
      </c>
      <c r="C306" s="26" t="s">
        <v>350</v>
      </c>
      <c r="D306" s="26">
        <v>1</v>
      </c>
      <c r="E306" s="26">
        <v>1000</v>
      </c>
      <c r="F306" s="26">
        <v>1000</v>
      </c>
      <c r="G306" s="26">
        <v>1000</v>
      </c>
      <c r="H306" s="26">
        <v>50</v>
      </c>
      <c r="J306" s="26">
        <f>117+16+1</f>
        <v>134</v>
      </c>
      <c r="K306" s="2" t="s">
        <v>4891</v>
      </c>
      <c r="V306" s="1" t="s">
        <v>109</v>
      </c>
      <c r="W306" s="1" t="s">
        <v>4890</v>
      </c>
      <c r="X306" s="1" t="s">
        <v>4770</v>
      </c>
      <c r="Y306" s="1" t="s">
        <v>56</v>
      </c>
      <c r="Z306" s="1" t="s">
        <v>795</v>
      </c>
      <c r="AA306" s="1" t="s">
        <v>61</v>
      </c>
      <c r="AC306" s="51" t="s">
        <v>4894</v>
      </c>
      <c r="AD306">
        <v>880000</v>
      </c>
      <c r="AE306" t="s">
        <v>4893</v>
      </c>
      <c r="AF306">
        <v>39930</v>
      </c>
      <c r="AG306">
        <f>191180-AF306</f>
        <v>151250</v>
      </c>
      <c r="AH306">
        <v>151250</v>
      </c>
    </row>
    <row r="307" spans="1:34" ht="81" customHeight="1" x14ac:dyDescent="0.25">
      <c r="A307" s="1" t="s">
        <v>4412</v>
      </c>
      <c r="B307" s="2" t="s">
        <v>4895</v>
      </c>
      <c r="C307" s="26" t="s">
        <v>350</v>
      </c>
      <c r="J307" s="26">
        <v>7</v>
      </c>
      <c r="K307" s="2" t="s">
        <v>4896</v>
      </c>
      <c r="V307" s="1" t="s">
        <v>4900</v>
      </c>
      <c r="W307" s="1" t="s">
        <v>4899</v>
      </c>
      <c r="X307" t="s">
        <v>4898</v>
      </c>
      <c r="Z307" s="1" t="s">
        <v>1336</v>
      </c>
      <c r="AA307" s="1" t="s">
        <v>60</v>
      </c>
      <c r="AB307" t="s">
        <v>4906</v>
      </c>
      <c r="AC307" s="51" t="s">
        <v>4897</v>
      </c>
    </row>
    <row r="308" spans="1:34" ht="90.75" customHeight="1" x14ac:dyDescent="0.25">
      <c r="A308" s="1" t="s">
        <v>4931</v>
      </c>
      <c r="B308" s="2" t="s">
        <v>4904</v>
      </c>
      <c r="C308" s="26" t="s">
        <v>350</v>
      </c>
      <c r="J308" s="26">
        <v>9</v>
      </c>
      <c r="K308" s="2" t="s">
        <v>4905</v>
      </c>
      <c r="V308" s="1" t="s">
        <v>4933</v>
      </c>
      <c r="W308" s="1" t="s">
        <v>4903</v>
      </c>
      <c r="X308" t="s">
        <v>4901</v>
      </c>
      <c r="Z308" s="1" t="s">
        <v>1336</v>
      </c>
      <c r="AA308" s="1" t="s">
        <v>60</v>
      </c>
      <c r="AB308" s="1" t="s">
        <v>4906</v>
      </c>
      <c r="AC308" s="52" t="s">
        <v>4907</v>
      </c>
    </row>
    <row r="309" spans="1:34" ht="92.25" customHeight="1" x14ac:dyDescent="0.25">
      <c r="A309" s="1" t="s">
        <v>4416</v>
      </c>
      <c r="B309" s="2" t="s">
        <v>4909</v>
      </c>
      <c r="C309" s="26" t="s">
        <v>350</v>
      </c>
      <c r="K309" s="2" t="s">
        <v>4910</v>
      </c>
      <c r="V309" s="1" t="s">
        <v>5076</v>
      </c>
      <c r="W309" s="1" t="s">
        <v>4908</v>
      </c>
      <c r="X309" s="1" t="s">
        <v>951</v>
      </c>
      <c r="Z309" s="1" t="s">
        <v>562</v>
      </c>
      <c r="AA309" s="1" t="s">
        <v>60</v>
      </c>
      <c r="AC309" s="51" t="s">
        <v>4911</v>
      </c>
    </row>
    <row r="310" spans="1:34" ht="135.75" customHeight="1" x14ac:dyDescent="0.25">
      <c r="A310" s="1" t="s">
        <v>4418</v>
      </c>
      <c r="B310" s="26" t="s">
        <v>4912</v>
      </c>
      <c r="C310" s="26" t="s">
        <v>350</v>
      </c>
      <c r="D310" s="26">
        <v>1</v>
      </c>
      <c r="E310" s="26">
        <v>186.25</v>
      </c>
      <c r="F310" s="26">
        <v>186.25</v>
      </c>
      <c r="G310" s="26">
        <v>186.25</v>
      </c>
      <c r="K310" s="2" t="s">
        <v>4913</v>
      </c>
      <c r="L310" s="26">
        <v>83.4</v>
      </c>
      <c r="M310" s="26">
        <v>16.600000000000001</v>
      </c>
      <c r="N310" s="26">
        <v>0</v>
      </c>
      <c r="O310" s="26">
        <v>0</v>
      </c>
      <c r="P310" s="26">
        <v>0</v>
      </c>
      <c r="Q310" s="26">
        <v>5</v>
      </c>
      <c r="R310" s="26">
        <v>1</v>
      </c>
      <c r="V310" s="1" t="s">
        <v>4933</v>
      </c>
      <c r="W310" s="1" t="s">
        <v>4419</v>
      </c>
      <c r="X310" s="1" t="s">
        <v>406</v>
      </c>
      <c r="Y310" s="1" t="s">
        <v>56</v>
      </c>
      <c r="Z310" s="1" t="s">
        <v>795</v>
      </c>
      <c r="AA310" s="1" t="s">
        <v>60</v>
      </c>
      <c r="AC310" s="51" t="s">
        <v>4914</v>
      </c>
    </row>
    <row r="311" spans="1:34" ht="122.25" customHeight="1" x14ac:dyDescent="0.25">
      <c r="A311" s="1" t="s">
        <v>4422</v>
      </c>
      <c r="B311" s="2" t="s">
        <v>4916</v>
      </c>
      <c r="C311" s="26" t="s">
        <v>350</v>
      </c>
      <c r="J311" s="26">
        <v>4</v>
      </c>
      <c r="V311" s="1" t="s">
        <v>4933</v>
      </c>
      <c r="W311" s="1" t="s">
        <v>4902</v>
      </c>
      <c r="X311" s="1" t="s">
        <v>4915</v>
      </c>
      <c r="Z311" s="1" t="s">
        <v>1336</v>
      </c>
      <c r="AA311" s="1" t="s">
        <v>60</v>
      </c>
      <c r="AC311" s="51" t="s">
        <v>4917</v>
      </c>
    </row>
    <row r="312" spans="1:34" ht="92.25" customHeight="1" x14ac:dyDescent="0.25">
      <c r="A312" s="1" t="s">
        <v>4929</v>
      </c>
      <c r="B312" s="2" t="s">
        <v>4919</v>
      </c>
      <c r="C312" s="26" t="s">
        <v>350</v>
      </c>
      <c r="J312" s="26">
        <v>10</v>
      </c>
      <c r="K312" s="2" t="s">
        <v>4920</v>
      </c>
      <c r="V312" s="1" t="s">
        <v>4933</v>
      </c>
      <c r="W312" s="1" t="s">
        <v>4903</v>
      </c>
      <c r="X312" s="1" t="s">
        <v>4921</v>
      </c>
      <c r="Z312" s="1" t="s">
        <v>1336</v>
      </c>
      <c r="AA312" s="1" t="s">
        <v>60</v>
      </c>
      <c r="AC312" s="51" t="s">
        <v>4918</v>
      </c>
    </row>
    <row r="313" spans="1:34" ht="240" x14ac:dyDescent="0.25">
      <c r="A313" s="1" t="s">
        <v>4930</v>
      </c>
      <c r="B313" s="2" t="s">
        <v>4922</v>
      </c>
      <c r="C313" s="26" t="s">
        <v>350</v>
      </c>
      <c r="J313" s="26">
        <v>10</v>
      </c>
      <c r="K313" s="2" t="s">
        <v>4924</v>
      </c>
      <c r="V313" s="1" t="s">
        <v>4933</v>
      </c>
      <c r="W313" s="1" t="s">
        <v>4903</v>
      </c>
      <c r="X313" s="1" t="s">
        <v>4923</v>
      </c>
      <c r="Z313" s="1" t="s">
        <v>1336</v>
      </c>
      <c r="AA313" s="1" t="s">
        <v>60</v>
      </c>
      <c r="AC313" s="52" t="s">
        <v>4925</v>
      </c>
    </row>
    <row r="314" spans="1:34" ht="90" x14ac:dyDescent="0.25">
      <c r="A314" s="1" t="s">
        <v>4928</v>
      </c>
      <c r="B314" s="2" t="s">
        <v>4926</v>
      </c>
      <c r="C314" s="26" t="s">
        <v>350</v>
      </c>
      <c r="J314" s="26">
        <v>9</v>
      </c>
      <c r="K314" s="2" t="s">
        <v>4927</v>
      </c>
      <c r="V314" s="1" t="s">
        <v>4933</v>
      </c>
      <c r="W314" s="1" t="s">
        <v>4903</v>
      </c>
      <c r="X314" s="1" t="s">
        <v>4923</v>
      </c>
      <c r="Z314" s="1" t="s">
        <v>1336</v>
      </c>
      <c r="AA314" s="1" t="s">
        <v>60</v>
      </c>
      <c r="AC314" s="52" t="s">
        <v>4932</v>
      </c>
    </row>
    <row r="315" spans="1:34" ht="90" x14ac:dyDescent="0.25">
      <c r="A315" s="1" t="s">
        <v>4430</v>
      </c>
      <c r="B315" s="2" t="s">
        <v>4934</v>
      </c>
      <c r="C315" s="26" t="s">
        <v>350</v>
      </c>
      <c r="J315" s="26">
        <v>4</v>
      </c>
      <c r="K315" s="2" t="s">
        <v>4937</v>
      </c>
      <c r="V315" s="1" t="s">
        <v>4933</v>
      </c>
      <c r="W315" s="1" t="s">
        <v>4899</v>
      </c>
      <c r="X315" s="1" t="s">
        <v>4935</v>
      </c>
      <c r="Z315" s="1" t="s">
        <v>1336</v>
      </c>
      <c r="AA315" s="1" t="s">
        <v>60</v>
      </c>
      <c r="AC315" s="52" t="s">
        <v>4936</v>
      </c>
    </row>
    <row r="316" spans="1:34" ht="60" x14ac:dyDescent="0.25">
      <c r="A316" s="1" t="s">
        <v>4432</v>
      </c>
      <c r="B316" s="26" t="s">
        <v>4938</v>
      </c>
      <c r="C316" s="26" t="s">
        <v>350</v>
      </c>
      <c r="D316" s="26">
        <v>1</v>
      </c>
      <c r="E316" s="26">
        <v>500</v>
      </c>
      <c r="F316" s="26">
        <v>500</v>
      </c>
      <c r="G316" s="26">
        <v>500</v>
      </c>
      <c r="H316" s="26">
        <v>50</v>
      </c>
      <c r="K316" s="2" t="s">
        <v>4941</v>
      </c>
      <c r="V316" s="1" t="s">
        <v>109</v>
      </c>
      <c r="W316" s="1" t="s">
        <v>4940</v>
      </c>
      <c r="X316" s="1" t="s">
        <v>4770</v>
      </c>
      <c r="Y316" t="s">
        <v>56</v>
      </c>
      <c r="Z316" s="1" t="s">
        <v>795</v>
      </c>
      <c r="AA316" s="1" t="s">
        <v>60</v>
      </c>
      <c r="AB316" t="s">
        <v>4944</v>
      </c>
      <c r="AC316" s="51" t="s">
        <v>4942</v>
      </c>
      <c r="AD316">
        <v>400000</v>
      </c>
      <c r="AE316" t="s">
        <v>4943</v>
      </c>
      <c r="AF316">
        <v>18150</v>
      </c>
      <c r="AG316">
        <f>86900-AF316</f>
        <v>68750</v>
      </c>
      <c r="AH316">
        <v>68750</v>
      </c>
    </row>
    <row r="317" spans="1:34" ht="60" x14ac:dyDescent="0.25">
      <c r="A317" s="1" t="s">
        <v>4435</v>
      </c>
      <c r="B317" s="26" t="s">
        <v>4945</v>
      </c>
      <c r="C317" s="26" t="s">
        <v>350</v>
      </c>
      <c r="V317" s="1" t="s">
        <v>109</v>
      </c>
      <c r="W317" s="1" t="s">
        <v>4939</v>
      </c>
      <c r="X317" s="1" t="s">
        <v>4770</v>
      </c>
      <c r="Z317" s="1" t="s">
        <v>795</v>
      </c>
      <c r="AA317" s="1" t="s">
        <v>60</v>
      </c>
      <c r="AC317" s="51" t="s">
        <v>4801</v>
      </c>
    </row>
    <row r="318" spans="1:34" ht="75" x14ac:dyDescent="0.25">
      <c r="A318" s="1" t="s">
        <v>4437</v>
      </c>
      <c r="B318" s="2" t="s">
        <v>4947</v>
      </c>
      <c r="C318" s="26" t="s">
        <v>350</v>
      </c>
      <c r="J318" s="26">
        <v>6</v>
      </c>
      <c r="K318" s="2" t="s">
        <v>4948</v>
      </c>
      <c r="V318" s="1" t="s">
        <v>5076</v>
      </c>
      <c r="W318" s="1" t="s">
        <v>5075</v>
      </c>
      <c r="X318" s="1" t="s">
        <v>5073</v>
      </c>
      <c r="Z318" s="1" t="s">
        <v>562</v>
      </c>
      <c r="AA318" s="1" t="s">
        <v>60</v>
      </c>
      <c r="AB318" s="1" t="s">
        <v>4950</v>
      </c>
      <c r="AC318" t="s">
        <v>4949</v>
      </c>
    </row>
    <row r="319" spans="1:34" ht="120" x14ac:dyDescent="0.25">
      <c r="A319" s="1" t="s">
        <v>4439</v>
      </c>
      <c r="B319" s="2" t="s">
        <v>4951</v>
      </c>
      <c r="C319" s="26" t="s">
        <v>350</v>
      </c>
      <c r="D319" s="26">
        <v>4</v>
      </c>
      <c r="J319" s="26">
        <v>6</v>
      </c>
      <c r="K319" s="2" t="s">
        <v>4953</v>
      </c>
      <c r="V319" s="1" t="s">
        <v>109</v>
      </c>
      <c r="X319" s="1" t="s">
        <v>4952</v>
      </c>
      <c r="Y319" s="1" t="s">
        <v>4954</v>
      </c>
      <c r="Z319" s="1" t="s">
        <v>1336</v>
      </c>
      <c r="AA319" s="1" t="s">
        <v>60</v>
      </c>
      <c r="AC319" t="s">
        <v>4955</v>
      </c>
    </row>
    <row r="320" spans="1:34" ht="90" x14ac:dyDescent="0.25">
      <c r="A320" s="1" t="s">
        <v>4442</v>
      </c>
      <c r="B320" s="26" t="s">
        <v>4946</v>
      </c>
      <c r="C320" s="26" t="s">
        <v>350</v>
      </c>
      <c r="D320" s="26">
        <v>1</v>
      </c>
      <c r="J320" s="26">
        <v>6</v>
      </c>
      <c r="K320" s="2" t="s">
        <v>4959</v>
      </c>
      <c r="V320" s="1" t="s">
        <v>231</v>
      </c>
      <c r="W320" s="1" t="s">
        <v>4958</v>
      </c>
      <c r="X320" s="1" t="s">
        <v>4960</v>
      </c>
      <c r="Z320" s="1" t="s">
        <v>1336</v>
      </c>
      <c r="AA320" s="1" t="s">
        <v>60</v>
      </c>
      <c r="AC320" s="65" t="s">
        <v>4445</v>
      </c>
    </row>
    <row r="321" spans="1:34" ht="90" x14ac:dyDescent="0.25">
      <c r="A321" s="1" t="s">
        <v>4446</v>
      </c>
      <c r="B321" s="26" t="s">
        <v>4961</v>
      </c>
      <c r="C321" s="26" t="s">
        <v>350</v>
      </c>
      <c r="D321" s="26">
        <v>2</v>
      </c>
      <c r="E321" s="26">
        <v>16900</v>
      </c>
      <c r="F321" s="26">
        <v>16900</v>
      </c>
      <c r="G321" s="26">
        <f>E321/D321</f>
        <v>8450</v>
      </c>
      <c r="H321" s="26">
        <v>50</v>
      </c>
      <c r="J321" s="26">
        <f>2500+500+25</f>
        <v>3025</v>
      </c>
      <c r="K321" s="2" t="s">
        <v>4965</v>
      </c>
      <c r="V321" s="1" t="s">
        <v>109</v>
      </c>
      <c r="W321" s="1" t="s">
        <v>4962</v>
      </c>
      <c r="X321" s="1" t="s">
        <v>4770</v>
      </c>
      <c r="Y321" t="s">
        <v>56</v>
      </c>
      <c r="Z321" s="1" t="s">
        <v>795</v>
      </c>
      <c r="AA321" s="1" t="s">
        <v>61</v>
      </c>
      <c r="AB321" s="1" t="s">
        <v>4964</v>
      </c>
      <c r="AC321" s="51" t="s">
        <v>4966</v>
      </c>
      <c r="AD321">
        <v>13520000</v>
      </c>
      <c r="AE321" t="s">
        <v>4963</v>
      </c>
      <c r="AF321">
        <v>613470</v>
      </c>
      <c r="AG321">
        <f>2937220-AF321</f>
        <v>2323750</v>
      </c>
      <c r="AH321">
        <v>2323750</v>
      </c>
    </row>
    <row r="322" spans="1:34" ht="60.75" thickBot="1" x14ac:dyDescent="0.3">
      <c r="A322" s="1" t="s">
        <v>4449</v>
      </c>
      <c r="B322" s="26" t="s">
        <v>4956</v>
      </c>
      <c r="C322" s="26" t="s">
        <v>350</v>
      </c>
      <c r="D322" s="26">
        <v>1</v>
      </c>
      <c r="E322" s="26">
        <v>4300</v>
      </c>
      <c r="F322" s="26">
        <v>4300</v>
      </c>
      <c r="G322" s="26">
        <v>4300</v>
      </c>
      <c r="H322" s="26">
        <v>50</v>
      </c>
      <c r="K322" s="2" t="s">
        <v>4967</v>
      </c>
      <c r="V322" s="1" t="s">
        <v>109</v>
      </c>
      <c r="W322" s="1" t="s">
        <v>4968</v>
      </c>
      <c r="X322" s="1" t="s">
        <v>4770</v>
      </c>
      <c r="Y322" t="s">
        <v>56</v>
      </c>
      <c r="Z322" s="1" t="s">
        <v>795</v>
      </c>
      <c r="AA322" s="1" t="s">
        <v>61</v>
      </c>
      <c r="AB322" t="s">
        <v>4971</v>
      </c>
      <c r="AC322" t="s">
        <v>4969</v>
      </c>
      <c r="AD322">
        <v>3440000</v>
      </c>
      <c r="AE322" t="s">
        <v>4970</v>
      </c>
      <c r="AF322">
        <v>156090</v>
      </c>
      <c r="AG322">
        <f>747340-AF322</f>
        <v>591250</v>
      </c>
      <c r="AH322">
        <v>591250</v>
      </c>
    </row>
    <row r="323" spans="1:34" ht="60" x14ac:dyDescent="0.25">
      <c r="A323" s="71" t="s">
        <v>4452</v>
      </c>
      <c r="B323" s="26" t="s">
        <v>4957</v>
      </c>
      <c r="C323" s="26" t="s">
        <v>350</v>
      </c>
      <c r="D323" s="26">
        <v>1</v>
      </c>
      <c r="E323" s="26">
        <v>2300</v>
      </c>
      <c r="F323" s="26">
        <v>2300</v>
      </c>
      <c r="G323" s="26">
        <v>2300</v>
      </c>
      <c r="H323" s="26">
        <v>50</v>
      </c>
      <c r="J323" s="26">
        <f>387+34+2</f>
        <v>423</v>
      </c>
      <c r="K323" s="2" t="s">
        <v>4973</v>
      </c>
      <c r="V323" s="1" t="s">
        <v>109</v>
      </c>
      <c r="W323" s="1" t="s">
        <v>4972</v>
      </c>
      <c r="X323" s="1" t="s">
        <v>4770</v>
      </c>
      <c r="Y323" t="s">
        <v>56</v>
      </c>
      <c r="Z323" s="1" t="s">
        <v>795</v>
      </c>
      <c r="AA323" s="1" t="s">
        <v>61</v>
      </c>
      <c r="AB323" t="s">
        <v>4976</v>
      </c>
      <c r="AC323" t="s">
        <v>4974</v>
      </c>
      <c r="AD323">
        <v>1840000</v>
      </c>
      <c r="AE323" t="s">
        <v>4975</v>
      </c>
      <c r="AF323">
        <v>83490</v>
      </c>
      <c r="AG323">
        <f>399740-AF323</f>
        <v>316250</v>
      </c>
      <c r="AH323">
        <v>316250</v>
      </c>
    </row>
    <row r="324" spans="1:34" ht="60" x14ac:dyDescent="0.25">
      <c r="A324" s="1" t="s">
        <v>4454</v>
      </c>
      <c r="B324" s="26" t="s">
        <v>4978</v>
      </c>
      <c r="C324" s="26" t="s">
        <v>350</v>
      </c>
      <c r="D324" s="26">
        <v>1</v>
      </c>
      <c r="E324" s="26">
        <v>10300</v>
      </c>
      <c r="F324" s="26">
        <v>10300</v>
      </c>
      <c r="G324" s="26">
        <v>10300</v>
      </c>
      <c r="H324" s="26">
        <v>50</v>
      </c>
      <c r="J324" s="26">
        <v>1712</v>
      </c>
      <c r="K324" s="2" t="s">
        <v>4981</v>
      </c>
      <c r="V324" s="1" t="s">
        <v>109</v>
      </c>
      <c r="W324" s="1" t="s">
        <v>4977</v>
      </c>
      <c r="X324" s="1" t="s">
        <v>4770</v>
      </c>
      <c r="Y324" t="s">
        <v>56</v>
      </c>
      <c r="Z324" s="1" t="s">
        <v>795</v>
      </c>
      <c r="AA324" s="1" t="s">
        <v>61</v>
      </c>
      <c r="AB324" t="s">
        <v>4983</v>
      </c>
      <c r="AC324" t="s">
        <v>4984</v>
      </c>
      <c r="AD324">
        <v>8240000</v>
      </c>
      <c r="AE324" t="s">
        <v>4982</v>
      </c>
      <c r="AF324">
        <v>373890</v>
      </c>
      <c r="AG324">
        <f>1790140-AF324</f>
        <v>1416250</v>
      </c>
      <c r="AH324">
        <v>1416250</v>
      </c>
    </row>
    <row r="325" spans="1:34" ht="60" x14ac:dyDescent="0.25">
      <c r="A325" s="1" t="s">
        <v>4457</v>
      </c>
      <c r="B325" s="26" t="s">
        <v>4979</v>
      </c>
      <c r="C325" s="26" t="s">
        <v>350</v>
      </c>
      <c r="D325" s="26">
        <v>1</v>
      </c>
      <c r="E325" s="26">
        <v>26</v>
      </c>
      <c r="F325" s="26">
        <v>26</v>
      </c>
      <c r="G325" s="26">
        <v>26</v>
      </c>
      <c r="K325" s="2" t="s">
        <v>4986</v>
      </c>
      <c r="L325" s="26">
        <v>100</v>
      </c>
      <c r="M325" s="26">
        <v>0</v>
      </c>
      <c r="N325" s="26">
        <v>0</v>
      </c>
      <c r="O325" s="26">
        <v>0</v>
      </c>
      <c r="P325" s="26">
        <v>0</v>
      </c>
      <c r="Q325" s="26">
        <v>1</v>
      </c>
      <c r="V325" s="1" t="s">
        <v>109</v>
      </c>
      <c r="W325" s="1" t="s">
        <v>4985</v>
      </c>
      <c r="X325" s="1" t="s">
        <v>4770</v>
      </c>
      <c r="Y325" t="s">
        <v>56</v>
      </c>
      <c r="Z325" s="1" t="s">
        <v>795</v>
      </c>
      <c r="AA325" s="1" t="s">
        <v>61</v>
      </c>
      <c r="AC325" s="51" t="s">
        <v>4987</v>
      </c>
    </row>
    <row r="326" spans="1:34" ht="60" x14ac:dyDescent="0.25">
      <c r="A326" s="1" t="s">
        <v>4459</v>
      </c>
      <c r="B326" s="26" t="s">
        <v>4980</v>
      </c>
      <c r="C326" s="26" t="s">
        <v>350</v>
      </c>
      <c r="D326" s="26">
        <v>1</v>
      </c>
      <c r="E326" s="26">
        <v>5800</v>
      </c>
      <c r="F326" s="26">
        <v>5800</v>
      </c>
      <c r="G326" s="26">
        <v>5800</v>
      </c>
      <c r="H326" s="26">
        <v>50</v>
      </c>
      <c r="J326" s="26">
        <f>970+120+4</f>
        <v>1094</v>
      </c>
      <c r="K326" s="2" t="s">
        <v>4990</v>
      </c>
      <c r="V326" s="1" t="s">
        <v>109</v>
      </c>
      <c r="W326" s="1" t="s">
        <v>4989</v>
      </c>
      <c r="X326" s="1" t="s">
        <v>4770</v>
      </c>
      <c r="Y326" t="s">
        <v>56</v>
      </c>
      <c r="Z326" s="1" t="s">
        <v>795</v>
      </c>
      <c r="AA326" s="1" t="s">
        <v>61</v>
      </c>
      <c r="AB326" t="s">
        <v>4993</v>
      </c>
      <c r="AC326" t="s">
        <v>4992</v>
      </c>
      <c r="AD326">
        <v>4640000</v>
      </c>
      <c r="AE326" t="s">
        <v>4991</v>
      </c>
      <c r="AF326">
        <v>210540</v>
      </c>
      <c r="AG326">
        <f>1008040-AF326</f>
        <v>797500</v>
      </c>
      <c r="AH326">
        <v>797500</v>
      </c>
    </row>
    <row r="327" spans="1:34" ht="102.75" x14ac:dyDescent="0.25">
      <c r="A327" s="1" t="s">
        <v>4462</v>
      </c>
      <c r="B327" s="2" t="s">
        <v>4994</v>
      </c>
      <c r="C327" s="26" t="s">
        <v>350</v>
      </c>
      <c r="D327" s="26">
        <v>2</v>
      </c>
      <c r="J327" s="26">
        <v>13</v>
      </c>
      <c r="K327" s="2" t="s">
        <v>4995</v>
      </c>
      <c r="V327" s="1" t="s">
        <v>5076</v>
      </c>
      <c r="W327" s="1" t="s">
        <v>4996</v>
      </c>
      <c r="X327" s="1" t="s">
        <v>951</v>
      </c>
      <c r="Z327" s="1" t="s">
        <v>562</v>
      </c>
      <c r="AA327" s="1" t="s">
        <v>60</v>
      </c>
      <c r="AC327" t="s">
        <v>4997</v>
      </c>
    </row>
    <row r="328" spans="1:34" ht="60" x14ac:dyDescent="0.25">
      <c r="A328" s="1" t="s">
        <v>4465</v>
      </c>
      <c r="B328" s="26" t="s">
        <v>4988</v>
      </c>
      <c r="C328" s="26" t="s">
        <v>350</v>
      </c>
      <c r="D328" s="26">
        <v>1</v>
      </c>
      <c r="E328" s="26">
        <v>2000</v>
      </c>
      <c r="F328" s="26">
        <v>2000</v>
      </c>
      <c r="G328" s="26">
        <v>2000</v>
      </c>
      <c r="H328" s="26">
        <v>50</v>
      </c>
      <c r="V328" s="1" t="s">
        <v>109</v>
      </c>
      <c r="W328" s="1" t="s">
        <v>4998</v>
      </c>
      <c r="X328" s="1" t="s">
        <v>4770</v>
      </c>
      <c r="Y328" t="s">
        <v>56</v>
      </c>
      <c r="Z328" s="1" t="s">
        <v>795</v>
      </c>
      <c r="AA328" s="1" t="s">
        <v>61</v>
      </c>
      <c r="AB328" t="s">
        <v>5005</v>
      </c>
      <c r="AC328" s="51" t="s">
        <v>5003</v>
      </c>
      <c r="AD328">
        <v>1600000</v>
      </c>
      <c r="AE328" t="s">
        <v>5004</v>
      </c>
      <c r="AF328">
        <v>72600</v>
      </c>
      <c r="AG328">
        <f>347600-AF328</f>
        <v>275000</v>
      </c>
      <c r="AH328">
        <v>275000</v>
      </c>
    </row>
    <row r="329" spans="1:34" ht="60" x14ac:dyDescent="0.25">
      <c r="A329" s="1" t="s">
        <v>4468</v>
      </c>
      <c r="B329" s="26" t="s">
        <v>5008</v>
      </c>
      <c r="C329" s="26" t="s">
        <v>350</v>
      </c>
      <c r="D329" s="26">
        <v>1</v>
      </c>
      <c r="E329" s="26">
        <v>5900</v>
      </c>
      <c r="G329" s="26">
        <v>5900</v>
      </c>
      <c r="H329" s="26">
        <v>50</v>
      </c>
      <c r="J329" s="26">
        <v>985</v>
      </c>
      <c r="K329" s="2" t="s">
        <v>5007</v>
      </c>
      <c r="V329" s="1" t="s">
        <v>109</v>
      </c>
      <c r="W329" s="1" t="s">
        <v>5006</v>
      </c>
      <c r="X329" s="1" t="s">
        <v>4770</v>
      </c>
      <c r="Y329" s="1" t="s">
        <v>5012</v>
      </c>
      <c r="Z329" s="1" t="s">
        <v>795</v>
      </c>
      <c r="AA329" s="1" t="s">
        <v>61</v>
      </c>
      <c r="AB329" t="s">
        <v>5015</v>
      </c>
      <c r="AC329" t="s">
        <v>5013</v>
      </c>
      <c r="AD329">
        <v>4720000</v>
      </c>
      <c r="AE329" t="s">
        <v>5014</v>
      </c>
      <c r="AF329">
        <v>214170</v>
      </c>
      <c r="AG329">
        <f>1025420-AF329</f>
        <v>811250</v>
      </c>
      <c r="AH329">
        <f>811250</f>
        <v>811250</v>
      </c>
    </row>
    <row r="330" spans="1:34" ht="60" x14ac:dyDescent="0.25">
      <c r="A330" s="1" t="s">
        <v>4470</v>
      </c>
      <c r="B330" s="26" t="s">
        <v>4999</v>
      </c>
      <c r="C330" s="26" t="s">
        <v>350</v>
      </c>
      <c r="D330" s="26">
        <v>1</v>
      </c>
      <c r="E330" s="26">
        <v>1000</v>
      </c>
      <c r="F330" s="26">
        <v>1000</v>
      </c>
      <c r="G330" s="26">
        <v>1000</v>
      </c>
      <c r="H330" s="26">
        <v>50</v>
      </c>
      <c r="J330" s="26">
        <f>189+19+1</f>
        <v>209</v>
      </c>
      <c r="K330" s="2" t="s">
        <v>5016</v>
      </c>
      <c r="V330" s="1" t="s">
        <v>109</v>
      </c>
      <c r="W330" s="1" t="s">
        <v>4471</v>
      </c>
      <c r="X330" s="1" t="s">
        <v>4770</v>
      </c>
      <c r="Y330" s="1" t="s">
        <v>4870</v>
      </c>
      <c r="Z330" s="1" t="s">
        <v>795</v>
      </c>
      <c r="AA330" s="1" t="s">
        <v>61</v>
      </c>
      <c r="AB330" t="s">
        <v>5019</v>
      </c>
      <c r="AC330" s="51" t="s">
        <v>5017</v>
      </c>
      <c r="AD330">
        <v>880000</v>
      </c>
      <c r="AE330" t="s">
        <v>5018</v>
      </c>
      <c r="AF330">
        <v>39930</v>
      </c>
      <c r="AG330">
        <f>191180-AF330</f>
        <v>151250</v>
      </c>
      <c r="AH330">
        <v>151250</v>
      </c>
    </row>
    <row r="331" spans="1:34" ht="75" x14ac:dyDescent="0.25">
      <c r="A331" s="1" t="s">
        <v>4472</v>
      </c>
      <c r="B331" s="2" t="s">
        <v>5022</v>
      </c>
      <c r="C331" s="26" t="s">
        <v>350</v>
      </c>
      <c r="D331" s="26">
        <v>1</v>
      </c>
      <c r="E331" s="26">
        <v>8800</v>
      </c>
      <c r="F331" s="26">
        <v>8800</v>
      </c>
      <c r="G331" s="26">
        <v>8800</v>
      </c>
      <c r="H331" s="26">
        <v>50</v>
      </c>
      <c r="J331" s="26">
        <v>1656</v>
      </c>
      <c r="V331" s="1" t="s">
        <v>109</v>
      </c>
      <c r="W331" s="1" t="s">
        <v>5020</v>
      </c>
      <c r="X331" s="1" t="s">
        <v>4770</v>
      </c>
      <c r="Y331" s="1" t="s">
        <v>4870</v>
      </c>
      <c r="Z331" s="1" t="s">
        <v>795</v>
      </c>
      <c r="AA331" s="1" t="s">
        <v>61</v>
      </c>
      <c r="AB331" t="s">
        <v>5023</v>
      </c>
      <c r="AC331" t="s">
        <v>5021</v>
      </c>
      <c r="AD331">
        <v>7040000</v>
      </c>
      <c r="AE331" t="s">
        <v>5024</v>
      </c>
      <c r="AF331">
        <v>319440</v>
      </c>
      <c r="AG331">
        <f>1529440-AF331</f>
        <v>1210000</v>
      </c>
      <c r="AH331">
        <v>1210000</v>
      </c>
    </row>
    <row r="332" spans="1:34" ht="60" x14ac:dyDescent="0.25">
      <c r="A332" s="1" t="s">
        <v>4475</v>
      </c>
      <c r="B332" s="26" t="s">
        <v>5009</v>
      </c>
      <c r="C332" s="26" t="s">
        <v>350</v>
      </c>
      <c r="D332" s="26">
        <v>1</v>
      </c>
      <c r="E332" s="26">
        <v>3500</v>
      </c>
      <c r="F332" s="26">
        <v>3500</v>
      </c>
      <c r="G332" s="26">
        <v>3500</v>
      </c>
      <c r="H332" s="26">
        <v>50</v>
      </c>
      <c r="J332" s="26">
        <f>580+60+4</f>
        <v>644</v>
      </c>
      <c r="K332" s="2" t="s">
        <v>5030</v>
      </c>
      <c r="V332" s="1" t="s">
        <v>109</v>
      </c>
      <c r="W332" s="1" t="s">
        <v>5025</v>
      </c>
      <c r="X332" s="1" t="s">
        <v>4770</v>
      </c>
      <c r="Y332" s="1" t="s">
        <v>4814</v>
      </c>
      <c r="Z332" s="1" t="s">
        <v>795</v>
      </c>
      <c r="AA332" s="1" t="s">
        <v>61</v>
      </c>
      <c r="AB332" t="s">
        <v>5033</v>
      </c>
      <c r="AC332" t="s">
        <v>5031</v>
      </c>
      <c r="AD332">
        <v>2800000</v>
      </c>
      <c r="AE332" t="s">
        <v>5032</v>
      </c>
      <c r="AF332">
        <v>127050</v>
      </c>
      <c r="AG332">
        <f>608300-AF332</f>
        <v>481250</v>
      </c>
      <c r="AH332">
        <v>481250</v>
      </c>
    </row>
    <row r="333" spans="1:34" ht="60" x14ac:dyDescent="0.25">
      <c r="A333" s="1" t="s">
        <v>4477</v>
      </c>
      <c r="B333" s="26" t="s">
        <v>5000</v>
      </c>
      <c r="C333" s="26" t="s">
        <v>350</v>
      </c>
      <c r="D333" s="26">
        <v>1</v>
      </c>
      <c r="E333" s="26">
        <v>2200</v>
      </c>
      <c r="F333" s="26">
        <v>2200</v>
      </c>
      <c r="G333" s="26">
        <v>2200</v>
      </c>
      <c r="H333" s="26">
        <v>50</v>
      </c>
      <c r="J333" s="26">
        <v>398</v>
      </c>
      <c r="V333" s="1" t="s">
        <v>109</v>
      </c>
      <c r="W333" s="1" t="s">
        <v>5010</v>
      </c>
      <c r="X333" s="1" t="s">
        <v>4770</v>
      </c>
      <c r="Y333" s="1" t="s">
        <v>4870</v>
      </c>
      <c r="Z333" s="1" t="s">
        <v>795</v>
      </c>
      <c r="AA333" s="1" t="s">
        <v>61</v>
      </c>
      <c r="AB333" t="s">
        <v>5036</v>
      </c>
      <c r="AC333" t="s">
        <v>5037</v>
      </c>
      <c r="AD333">
        <v>1760000</v>
      </c>
      <c r="AE333" t="s">
        <v>5035</v>
      </c>
      <c r="AF333">
        <v>79860</v>
      </c>
      <c r="AG333">
        <f>382360-AF333</f>
        <v>302500</v>
      </c>
      <c r="AH333">
        <v>302500</v>
      </c>
    </row>
    <row r="334" spans="1:34" ht="60" x14ac:dyDescent="0.25">
      <c r="A334" s="1" t="s">
        <v>4480</v>
      </c>
      <c r="B334" s="26" t="s">
        <v>5001</v>
      </c>
      <c r="C334" s="26" t="s">
        <v>350</v>
      </c>
      <c r="D334" s="26">
        <v>1</v>
      </c>
      <c r="E334" s="26">
        <v>1800</v>
      </c>
      <c r="F334" s="26">
        <v>1800</v>
      </c>
      <c r="G334" s="26">
        <v>1800</v>
      </c>
      <c r="H334" s="26">
        <v>50</v>
      </c>
      <c r="J334" s="26">
        <v>334</v>
      </c>
      <c r="V334" s="1" t="s">
        <v>109</v>
      </c>
      <c r="W334" s="1" t="s">
        <v>5038</v>
      </c>
      <c r="X334" s="1" t="s">
        <v>4770</v>
      </c>
      <c r="Y334" s="1" t="s">
        <v>4814</v>
      </c>
      <c r="Z334" s="1" t="s">
        <v>795</v>
      </c>
      <c r="AA334" s="1" t="s">
        <v>61</v>
      </c>
      <c r="AB334" t="s">
        <v>5041</v>
      </c>
      <c r="AC334" t="s">
        <v>5039</v>
      </c>
      <c r="AD334">
        <v>1440000</v>
      </c>
      <c r="AE334" t="s">
        <v>5040</v>
      </c>
      <c r="AF334">
        <v>65340</v>
      </c>
      <c r="AG334">
        <f>312840-AF334</f>
        <v>247500</v>
      </c>
      <c r="AH334">
        <v>247500</v>
      </c>
    </row>
    <row r="335" spans="1:34" ht="60" x14ac:dyDescent="0.25">
      <c r="A335" s="1" t="s">
        <v>4483</v>
      </c>
      <c r="B335" s="26" t="s">
        <v>5002</v>
      </c>
      <c r="C335" s="26" t="s">
        <v>350</v>
      </c>
      <c r="D335" s="26">
        <v>1</v>
      </c>
      <c r="E335" s="26">
        <v>6000</v>
      </c>
      <c r="F335" s="26">
        <v>6000</v>
      </c>
      <c r="G335" s="26">
        <v>6000</v>
      </c>
      <c r="H335" s="26">
        <v>50</v>
      </c>
      <c r="J335" s="26">
        <v>1150</v>
      </c>
      <c r="K335" s="2" t="s">
        <v>5044</v>
      </c>
      <c r="V335" s="1" t="s">
        <v>109</v>
      </c>
      <c r="W335" s="1" t="s">
        <v>5011</v>
      </c>
      <c r="X335" s="1" t="s">
        <v>4770</v>
      </c>
      <c r="Y335" s="1" t="s">
        <v>4870</v>
      </c>
      <c r="Z335" s="1" t="s">
        <v>795</v>
      </c>
      <c r="AA335" s="1" t="s">
        <v>61</v>
      </c>
      <c r="AB335" t="s">
        <v>5046</v>
      </c>
      <c r="AC335" t="s">
        <v>5047</v>
      </c>
      <c r="AD335">
        <v>4800000</v>
      </c>
      <c r="AE335" t="s">
        <v>5045</v>
      </c>
      <c r="AF335">
        <v>217800</v>
      </c>
      <c r="AG335">
        <f>1042800-AF335</f>
        <v>825000</v>
      </c>
      <c r="AH335">
        <v>825000</v>
      </c>
    </row>
    <row r="336" spans="1:34" ht="60" x14ac:dyDescent="0.25">
      <c r="A336" s="1" t="s">
        <v>4486</v>
      </c>
      <c r="B336" s="26" t="s">
        <v>5034</v>
      </c>
      <c r="C336" s="26" t="s">
        <v>350</v>
      </c>
      <c r="D336" s="26">
        <v>1</v>
      </c>
      <c r="E336" s="26">
        <v>5000</v>
      </c>
      <c r="F336" s="26">
        <v>5000</v>
      </c>
      <c r="G336" s="26">
        <v>5000</v>
      </c>
      <c r="H336" s="26">
        <v>50</v>
      </c>
      <c r="J336" s="26">
        <f>828+115+5</f>
        <v>948</v>
      </c>
      <c r="K336" s="2" t="s">
        <v>5048</v>
      </c>
      <c r="V336" s="1" t="s">
        <v>109</v>
      </c>
      <c r="W336" s="1" t="s">
        <v>5026</v>
      </c>
      <c r="X336" s="1" t="s">
        <v>4770</v>
      </c>
      <c r="Y336" s="1" t="s">
        <v>5049</v>
      </c>
      <c r="Z336" s="1" t="s">
        <v>795</v>
      </c>
      <c r="AA336" s="1" t="s">
        <v>61</v>
      </c>
      <c r="AB336" t="s">
        <v>5052</v>
      </c>
      <c r="AC336" t="s">
        <v>5050</v>
      </c>
      <c r="AD336">
        <v>4000000</v>
      </c>
      <c r="AE336" t="s">
        <v>5051</v>
      </c>
      <c r="AF336">
        <v>181500</v>
      </c>
      <c r="AG336">
        <f>869000-AF336</f>
        <v>687500</v>
      </c>
      <c r="AH336">
        <v>687500</v>
      </c>
    </row>
    <row r="337" spans="1:34" ht="60" x14ac:dyDescent="0.25">
      <c r="A337" s="1" t="s">
        <v>4489</v>
      </c>
      <c r="B337" s="26" t="s">
        <v>5027</v>
      </c>
      <c r="C337" s="26" t="s">
        <v>350</v>
      </c>
      <c r="D337" s="26">
        <v>1</v>
      </c>
      <c r="V337" s="1" t="s">
        <v>109</v>
      </c>
      <c r="W337" s="1" t="s">
        <v>4490</v>
      </c>
      <c r="Z337" s="1" t="s">
        <v>795</v>
      </c>
      <c r="AA337" s="1" t="s">
        <v>60</v>
      </c>
      <c r="AC337" t="s">
        <v>5053</v>
      </c>
    </row>
    <row r="338" spans="1:34" ht="75" x14ac:dyDescent="0.25">
      <c r="A338" s="1" t="s">
        <v>4491</v>
      </c>
      <c r="B338" s="26" t="s">
        <v>5028</v>
      </c>
      <c r="C338" s="26" t="s">
        <v>350</v>
      </c>
      <c r="V338" s="1" t="s">
        <v>109</v>
      </c>
      <c r="W338" s="1" t="s">
        <v>5056</v>
      </c>
      <c r="X338" s="1" t="s">
        <v>5057</v>
      </c>
      <c r="Z338" s="1" t="s">
        <v>795</v>
      </c>
      <c r="AA338" s="1" t="s">
        <v>61</v>
      </c>
      <c r="AC338" t="s">
        <v>4801</v>
      </c>
    </row>
    <row r="339" spans="1:34" ht="60" x14ac:dyDescent="0.25">
      <c r="A339" s="1" t="s">
        <v>4493</v>
      </c>
      <c r="B339" s="26" t="s">
        <v>5029</v>
      </c>
      <c r="C339" s="26" t="s">
        <v>350</v>
      </c>
      <c r="D339" s="26">
        <v>1</v>
      </c>
      <c r="E339" s="26">
        <v>9200</v>
      </c>
      <c r="F339" s="26">
        <v>9200</v>
      </c>
      <c r="G339" s="26">
        <v>9200</v>
      </c>
      <c r="H339" s="26">
        <v>50</v>
      </c>
      <c r="J339" s="26">
        <f>1541+168+10</f>
        <v>1719</v>
      </c>
      <c r="K339" s="2" t="s">
        <v>5059</v>
      </c>
      <c r="V339" s="1" t="s">
        <v>109</v>
      </c>
      <c r="W339" s="1" t="s">
        <v>5058</v>
      </c>
      <c r="X339" s="1" t="s">
        <v>4770</v>
      </c>
      <c r="Y339" s="1" t="s">
        <v>4814</v>
      </c>
      <c r="Z339" s="1" t="s">
        <v>795</v>
      </c>
      <c r="AA339" s="1" t="s">
        <v>61</v>
      </c>
      <c r="AB339" t="s">
        <v>5062</v>
      </c>
      <c r="AC339" t="s">
        <v>5061</v>
      </c>
      <c r="AD339">
        <v>7360000</v>
      </c>
      <c r="AE339" t="s">
        <v>5060</v>
      </c>
      <c r="AF339">
        <v>333960</v>
      </c>
      <c r="AG339">
        <f>1598960-AF339</f>
        <v>1265000</v>
      </c>
      <c r="AH339">
        <v>1265000</v>
      </c>
    </row>
    <row r="340" spans="1:34" ht="75" x14ac:dyDescent="0.25">
      <c r="A340" s="1" t="s">
        <v>4495</v>
      </c>
      <c r="B340" s="26" t="s">
        <v>5042</v>
      </c>
      <c r="C340" s="26" t="s">
        <v>350</v>
      </c>
      <c r="D340" s="26">
        <v>1</v>
      </c>
      <c r="E340" s="26">
        <v>1900</v>
      </c>
      <c r="F340" s="26">
        <v>1900</v>
      </c>
      <c r="G340" s="26">
        <v>1900</v>
      </c>
      <c r="H340" s="26">
        <v>50</v>
      </c>
      <c r="J340" s="26">
        <f>319+33+2</f>
        <v>354</v>
      </c>
      <c r="K340" s="2" t="s">
        <v>5063</v>
      </c>
      <c r="V340" s="1" t="s">
        <v>109</v>
      </c>
      <c r="W340" s="1" t="s">
        <v>5054</v>
      </c>
      <c r="X340" s="1" t="s">
        <v>5057</v>
      </c>
      <c r="Y340" s="1" t="s">
        <v>4814</v>
      </c>
      <c r="Z340" s="1" t="s">
        <v>795</v>
      </c>
      <c r="AA340" s="1" t="s">
        <v>61</v>
      </c>
      <c r="AB340" t="s">
        <v>5066</v>
      </c>
      <c r="AC340" t="s">
        <v>5064</v>
      </c>
      <c r="AE340" t="s">
        <v>5065</v>
      </c>
      <c r="AF340">
        <v>68970</v>
      </c>
      <c r="AG340">
        <f>330220-AF340</f>
        <v>261250</v>
      </c>
      <c r="AH340">
        <v>261250</v>
      </c>
    </row>
    <row r="341" spans="1:34" ht="75" x14ac:dyDescent="0.25">
      <c r="A341" s="1" t="s">
        <v>4498</v>
      </c>
      <c r="B341" s="26" t="s">
        <v>5043</v>
      </c>
      <c r="C341" s="26" t="s">
        <v>350</v>
      </c>
      <c r="D341" s="26">
        <v>1</v>
      </c>
      <c r="E341" s="26">
        <v>15000</v>
      </c>
      <c r="F341" s="26">
        <v>15000</v>
      </c>
      <c r="G341" s="26">
        <v>15000</v>
      </c>
      <c r="H341" s="26">
        <v>50</v>
      </c>
      <c r="J341" s="26">
        <f>2338+328+16</f>
        <v>2682</v>
      </c>
      <c r="K341" s="2" t="s">
        <v>5067</v>
      </c>
      <c r="V341" s="1" t="s">
        <v>1111</v>
      </c>
      <c r="W341" s="1" t="s">
        <v>5055</v>
      </c>
      <c r="X341" s="1" t="s">
        <v>5057</v>
      </c>
      <c r="Y341" s="1" t="s">
        <v>5068</v>
      </c>
      <c r="Z341" s="1" t="s">
        <v>795</v>
      </c>
      <c r="AA341" s="1" t="s">
        <v>61</v>
      </c>
      <c r="AB341" t="s">
        <v>5015</v>
      </c>
      <c r="AC341" t="s">
        <v>5070</v>
      </c>
      <c r="AD341">
        <v>12000000</v>
      </c>
      <c r="AE341" t="s">
        <v>5069</v>
      </c>
      <c r="AF341">
        <v>544500</v>
      </c>
      <c r="AG341">
        <f>2607000-AF341</f>
        <v>2062500</v>
      </c>
      <c r="AH341">
        <v>2062500</v>
      </c>
    </row>
    <row r="342" spans="1:34" ht="75.75" thickBot="1" x14ac:dyDescent="0.3">
      <c r="A342" s="1" t="s">
        <v>4501</v>
      </c>
      <c r="B342" s="2" t="s">
        <v>5071</v>
      </c>
      <c r="C342" s="26" t="s">
        <v>350</v>
      </c>
      <c r="D342" s="26">
        <v>2</v>
      </c>
      <c r="J342" s="26">
        <v>15</v>
      </c>
      <c r="K342" s="2" t="s">
        <v>5072</v>
      </c>
      <c r="V342" s="1" t="s">
        <v>5076</v>
      </c>
      <c r="W342" s="1" t="s">
        <v>4996</v>
      </c>
      <c r="X342" s="1" t="s">
        <v>5073</v>
      </c>
      <c r="Z342" s="1" t="s">
        <v>562</v>
      </c>
      <c r="AA342" s="1" t="s">
        <v>60</v>
      </c>
      <c r="AC342" t="s">
        <v>5074</v>
      </c>
    </row>
    <row r="343" spans="1:34" ht="60.75" thickBot="1" x14ac:dyDescent="0.3">
      <c r="A343" s="72" t="s">
        <v>4504</v>
      </c>
      <c r="B343" s="26" t="s">
        <v>5079</v>
      </c>
      <c r="C343" s="26" t="s">
        <v>350</v>
      </c>
      <c r="D343" s="26">
        <v>1</v>
      </c>
      <c r="E343" s="26">
        <v>1200</v>
      </c>
      <c r="F343" s="26">
        <v>1200</v>
      </c>
      <c r="G343" s="26">
        <v>1200</v>
      </c>
      <c r="H343" s="26">
        <v>50</v>
      </c>
      <c r="J343" s="26">
        <v>228</v>
      </c>
      <c r="K343" s="2" t="s">
        <v>5078</v>
      </c>
      <c r="V343" s="1" t="s">
        <v>109</v>
      </c>
      <c r="W343" s="1" t="s">
        <v>5077</v>
      </c>
      <c r="X343" s="1" t="s">
        <v>4770</v>
      </c>
      <c r="Y343" s="1" t="s">
        <v>4870</v>
      </c>
      <c r="Z343" s="1" t="s">
        <v>795</v>
      </c>
      <c r="AA343" s="1" t="s">
        <v>61</v>
      </c>
      <c r="AB343" t="s">
        <v>5082</v>
      </c>
      <c r="AC343" t="s">
        <v>5080</v>
      </c>
      <c r="AD343">
        <v>960000</v>
      </c>
      <c r="AE343" t="s">
        <v>5081</v>
      </c>
      <c r="AF343">
        <v>43560</v>
      </c>
      <c r="AG343">
        <f>208560-AF343</f>
        <v>165000</v>
      </c>
      <c r="AH343">
        <v>165000</v>
      </c>
    </row>
    <row r="344" spans="1:34" ht="75" x14ac:dyDescent="0.25">
      <c r="A344" s="1" t="s">
        <v>4507</v>
      </c>
      <c r="B344" s="26" t="s">
        <v>5083</v>
      </c>
      <c r="C344" s="26" t="s">
        <v>350</v>
      </c>
      <c r="D344" s="26">
        <v>1</v>
      </c>
      <c r="E344" s="26">
        <v>2200</v>
      </c>
      <c r="F344" s="26">
        <v>2200</v>
      </c>
      <c r="G344" s="26">
        <v>2200</v>
      </c>
      <c r="H344" s="26">
        <v>50</v>
      </c>
      <c r="J344" s="26">
        <v>410</v>
      </c>
      <c r="K344" s="2" t="s">
        <v>5084</v>
      </c>
      <c r="V344" s="1" t="s">
        <v>109</v>
      </c>
      <c r="W344" s="1" t="s">
        <v>5085</v>
      </c>
      <c r="X344" s="1" t="s">
        <v>4770</v>
      </c>
      <c r="Y344" s="1" t="s">
        <v>5086</v>
      </c>
      <c r="Z344" s="1" t="s">
        <v>795</v>
      </c>
      <c r="AA344" s="1" t="s">
        <v>61</v>
      </c>
      <c r="AB344" t="s">
        <v>5089</v>
      </c>
      <c r="AC344" t="s">
        <v>5087</v>
      </c>
      <c r="AD344">
        <v>1760000</v>
      </c>
      <c r="AE344" t="s">
        <v>5088</v>
      </c>
      <c r="AF344">
        <v>79860</v>
      </c>
      <c r="AG344">
        <f>382360-AF344</f>
        <v>302500</v>
      </c>
      <c r="AH344">
        <v>302500</v>
      </c>
    </row>
    <row r="345" spans="1:34" ht="60" x14ac:dyDescent="0.25">
      <c r="A345" s="1" t="s">
        <v>4509</v>
      </c>
      <c r="B345" s="26" t="s">
        <v>5091</v>
      </c>
      <c r="C345" s="26" t="s">
        <v>350</v>
      </c>
      <c r="D345" s="26">
        <v>1</v>
      </c>
      <c r="E345" s="26">
        <v>4000</v>
      </c>
      <c r="F345" s="26">
        <v>4000</v>
      </c>
      <c r="G345" s="26">
        <v>4000</v>
      </c>
      <c r="H345" s="26">
        <v>50</v>
      </c>
      <c r="J345" s="26">
        <f>669+90+4</f>
        <v>763</v>
      </c>
      <c r="K345" s="2" t="s">
        <v>5098</v>
      </c>
      <c r="V345" s="1" t="s">
        <v>109</v>
      </c>
      <c r="W345" s="1" t="s">
        <v>5099</v>
      </c>
      <c r="X345" s="1" t="s">
        <v>4770</v>
      </c>
      <c r="Y345" s="1" t="s">
        <v>5049</v>
      </c>
      <c r="Z345" s="1" t="s">
        <v>795</v>
      </c>
      <c r="AA345" s="1" t="s">
        <v>61</v>
      </c>
      <c r="AB345" t="s">
        <v>5102</v>
      </c>
      <c r="AC345" t="s">
        <v>5101</v>
      </c>
      <c r="AD345">
        <v>3200000</v>
      </c>
      <c r="AE345" t="s">
        <v>5100</v>
      </c>
      <c r="AF345">
        <v>145200</v>
      </c>
      <c r="AG345">
        <f>695200-AF345</f>
        <v>550000</v>
      </c>
      <c r="AH345">
        <v>550000</v>
      </c>
    </row>
    <row r="346" spans="1:34" ht="60" x14ac:dyDescent="0.25">
      <c r="A346" s="1" t="s">
        <v>4511</v>
      </c>
      <c r="B346" s="26" t="s">
        <v>5092</v>
      </c>
      <c r="C346" s="26" t="s">
        <v>350</v>
      </c>
      <c r="D346" s="26">
        <v>1</v>
      </c>
      <c r="E346" s="26">
        <v>2300</v>
      </c>
      <c r="F346" s="26">
        <v>2300</v>
      </c>
      <c r="G346" s="26">
        <v>2300</v>
      </c>
      <c r="H346" s="26">
        <v>50</v>
      </c>
      <c r="J346" s="26">
        <f>389+36+2</f>
        <v>427</v>
      </c>
      <c r="K346" s="2" t="s">
        <v>5104</v>
      </c>
      <c r="V346" s="1" t="s">
        <v>109</v>
      </c>
      <c r="W346" s="1" t="s">
        <v>5103</v>
      </c>
      <c r="X346" s="1" t="s">
        <v>4770</v>
      </c>
      <c r="Y346" s="1" t="s">
        <v>4814</v>
      </c>
      <c r="Z346" s="1" t="s">
        <v>795</v>
      </c>
      <c r="AA346" s="1" t="s">
        <v>61</v>
      </c>
      <c r="AB346" t="s">
        <v>5107</v>
      </c>
      <c r="AC346" t="s">
        <v>5105</v>
      </c>
      <c r="AD346">
        <v>1840000</v>
      </c>
      <c r="AE346" t="s">
        <v>5106</v>
      </c>
      <c r="AF346">
        <v>83490</v>
      </c>
      <c r="AG346">
        <f>399740-AF346</f>
        <v>316250</v>
      </c>
      <c r="AH346">
        <v>316250</v>
      </c>
    </row>
    <row r="347" spans="1:34" ht="60" x14ac:dyDescent="0.25">
      <c r="A347" s="1" t="s">
        <v>4513</v>
      </c>
      <c r="B347" s="26" t="s">
        <v>5093</v>
      </c>
      <c r="C347" s="26" t="s">
        <v>350</v>
      </c>
      <c r="D347" s="26">
        <v>1</v>
      </c>
      <c r="E347" s="26">
        <v>4200</v>
      </c>
      <c r="F347" s="26">
        <v>4200</v>
      </c>
      <c r="G347" s="26">
        <v>4200</v>
      </c>
      <c r="H347" s="26">
        <v>50</v>
      </c>
      <c r="J347" s="26">
        <f>703+85+5</f>
        <v>793</v>
      </c>
      <c r="K347" s="2" t="s">
        <v>5109</v>
      </c>
      <c r="V347" s="1" t="s">
        <v>109</v>
      </c>
      <c r="W347" s="1" t="s">
        <v>5108</v>
      </c>
      <c r="X347" s="1" t="s">
        <v>4770</v>
      </c>
      <c r="Y347" s="1" t="s">
        <v>4814</v>
      </c>
      <c r="Z347" s="1" t="s">
        <v>795</v>
      </c>
      <c r="AA347" s="1" t="s">
        <v>61</v>
      </c>
      <c r="AB347" t="s">
        <v>5111</v>
      </c>
      <c r="AC347" t="s">
        <v>5110</v>
      </c>
      <c r="AD347">
        <v>3360000</v>
      </c>
      <c r="AE347" t="s">
        <v>5112</v>
      </c>
      <c r="AF347">
        <v>152460</v>
      </c>
      <c r="AG347">
        <f>729960-AF347</f>
        <v>577500</v>
      </c>
      <c r="AH347">
        <v>577500</v>
      </c>
    </row>
    <row r="348" spans="1:34" ht="60" x14ac:dyDescent="0.25">
      <c r="A348" s="1" t="s">
        <v>4516</v>
      </c>
      <c r="B348" s="26" t="s">
        <v>5094</v>
      </c>
      <c r="C348" s="26" t="s">
        <v>350</v>
      </c>
      <c r="D348" s="26">
        <v>1</v>
      </c>
      <c r="E348" s="26">
        <v>6700</v>
      </c>
      <c r="F348" s="26">
        <v>6700</v>
      </c>
      <c r="G348" s="26">
        <v>6700</v>
      </c>
      <c r="H348" s="26">
        <v>50</v>
      </c>
      <c r="J348" s="26">
        <f>1122+120+7</f>
        <v>1249</v>
      </c>
      <c r="K348" s="2" t="s">
        <v>5114</v>
      </c>
      <c r="V348" s="1" t="s">
        <v>109</v>
      </c>
      <c r="W348" s="1" t="s">
        <v>5113</v>
      </c>
      <c r="X348" s="1" t="s">
        <v>4770</v>
      </c>
      <c r="Y348" s="1" t="s">
        <v>5049</v>
      </c>
      <c r="Z348" s="1" t="s">
        <v>795</v>
      </c>
      <c r="AA348" s="1" t="s">
        <v>61</v>
      </c>
      <c r="AB348" t="s">
        <v>5116</v>
      </c>
      <c r="AC348" t="s">
        <v>5115</v>
      </c>
      <c r="AD348">
        <v>5360000</v>
      </c>
      <c r="AE348" t="s">
        <v>5117</v>
      </c>
      <c r="AF348">
        <v>243210</v>
      </c>
      <c r="AG348">
        <f>1164460-AF348</f>
        <v>921250</v>
      </c>
      <c r="AH348">
        <f>921250</f>
        <v>921250</v>
      </c>
    </row>
    <row r="349" spans="1:34" ht="60" x14ac:dyDescent="0.25">
      <c r="A349" s="1" t="s">
        <v>4519</v>
      </c>
      <c r="B349" s="26" t="s">
        <v>5095</v>
      </c>
      <c r="C349" s="26" t="s">
        <v>350</v>
      </c>
      <c r="D349" s="26">
        <v>1</v>
      </c>
      <c r="E349" s="26">
        <v>14700</v>
      </c>
      <c r="F349" s="26">
        <v>14700</v>
      </c>
      <c r="G349" s="26">
        <v>14700</v>
      </c>
      <c r="H349" s="26">
        <v>50</v>
      </c>
      <c r="J349" s="26">
        <f>2445+278+7</f>
        <v>2730</v>
      </c>
      <c r="K349" s="2" t="s">
        <v>5119</v>
      </c>
      <c r="V349" s="1" t="s">
        <v>109</v>
      </c>
      <c r="W349" s="1" t="s">
        <v>5118</v>
      </c>
      <c r="X349" s="1" t="s">
        <v>4770</v>
      </c>
      <c r="Y349" s="1" t="s">
        <v>5049</v>
      </c>
      <c r="Z349" s="1" t="s">
        <v>795</v>
      </c>
      <c r="AA349" s="1" t="s">
        <v>61</v>
      </c>
      <c r="AB349" t="s">
        <v>5082</v>
      </c>
      <c r="AC349" t="s">
        <v>5120</v>
      </c>
      <c r="AD349">
        <v>11760000</v>
      </c>
      <c r="AE349" t="s">
        <v>5121</v>
      </c>
      <c r="AF349">
        <v>533610</v>
      </c>
      <c r="AG349">
        <f>2554860-AF349</f>
        <v>2021250</v>
      </c>
      <c r="AH349">
        <v>2021250</v>
      </c>
    </row>
    <row r="350" spans="1:34" ht="60" x14ac:dyDescent="0.25">
      <c r="A350" s="1" t="s">
        <v>4522</v>
      </c>
      <c r="B350" s="26" t="s">
        <v>5096</v>
      </c>
      <c r="C350" s="26" t="s">
        <v>350</v>
      </c>
      <c r="D350" s="26">
        <v>1</v>
      </c>
      <c r="E350" s="26">
        <v>3700</v>
      </c>
      <c r="F350" s="26">
        <v>3700</v>
      </c>
      <c r="G350" s="26">
        <v>3700</v>
      </c>
      <c r="H350" s="26">
        <v>50</v>
      </c>
      <c r="V350" s="1" t="s">
        <v>109</v>
      </c>
      <c r="W350" s="1" t="s">
        <v>5122</v>
      </c>
      <c r="X350" s="1" t="s">
        <v>4770</v>
      </c>
      <c r="Y350" s="1" t="s">
        <v>56</v>
      </c>
      <c r="Z350" s="1" t="s">
        <v>795</v>
      </c>
      <c r="AA350" s="1" t="s">
        <v>61</v>
      </c>
      <c r="AB350" t="s">
        <v>5082</v>
      </c>
      <c r="AC350" t="s">
        <v>5123</v>
      </c>
      <c r="AD350">
        <v>2960000</v>
      </c>
      <c r="AE350" t="s">
        <v>5124</v>
      </c>
      <c r="AF350">
        <v>134310</v>
      </c>
      <c r="AG350">
        <f>643060-AF350</f>
        <v>508750</v>
      </c>
      <c r="AH350">
        <v>508750</v>
      </c>
    </row>
    <row r="351" spans="1:34" ht="60" x14ac:dyDescent="0.25">
      <c r="A351" s="1" t="s">
        <v>4525</v>
      </c>
      <c r="B351" s="26" t="s">
        <v>5097</v>
      </c>
      <c r="C351" s="26" t="s">
        <v>350</v>
      </c>
      <c r="D351" s="26">
        <v>1</v>
      </c>
      <c r="E351" s="26">
        <v>12121</v>
      </c>
      <c r="F351" s="26">
        <v>12121</v>
      </c>
      <c r="G351" s="26">
        <v>12121</v>
      </c>
      <c r="H351" s="26">
        <v>50</v>
      </c>
      <c r="J351" s="26">
        <f>1608+226+11</f>
        <v>1845</v>
      </c>
      <c r="K351" s="2" t="s">
        <v>5126</v>
      </c>
      <c r="V351" s="1" t="s">
        <v>109</v>
      </c>
      <c r="W351" s="1" t="s">
        <v>5125</v>
      </c>
      <c r="X351" s="1" t="s">
        <v>4770</v>
      </c>
      <c r="Y351" s="1" t="s">
        <v>5127</v>
      </c>
      <c r="Z351" s="1" t="s">
        <v>795</v>
      </c>
      <c r="AA351" s="1" t="s">
        <v>61</v>
      </c>
      <c r="AB351" t="s">
        <v>5129</v>
      </c>
      <c r="AC351" t="s">
        <v>5128</v>
      </c>
      <c r="AD351">
        <v>14545200</v>
      </c>
      <c r="AE351" t="s">
        <v>5130</v>
      </c>
      <c r="AF351">
        <v>439992.3</v>
      </c>
      <c r="AG351">
        <f>2106629.8-AF351</f>
        <v>1666637.4999999998</v>
      </c>
      <c r="AH351">
        <v>1666637.5</v>
      </c>
    </row>
    <row r="352" spans="1:34" ht="60" x14ac:dyDescent="0.25">
      <c r="A352" s="1" t="s">
        <v>4528</v>
      </c>
      <c r="B352" s="26" t="s">
        <v>5132</v>
      </c>
      <c r="C352" s="26" t="s">
        <v>350</v>
      </c>
      <c r="D352" s="26">
        <v>1</v>
      </c>
      <c r="E352" s="26">
        <v>4800</v>
      </c>
      <c r="F352" s="26">
        <v>4800</v>
      </c>
      <c r="G352" s="26">
        <v>4800</v>
      </c>
      <c r="H352" s="26">
        <v>50</v>
      </c>
      <c r="J352" s="26">
        <v>960</v>
      </c>
      <c r="K352" s="2" t="s">
        <v>5133</v>
      </c>
      <c r="V352" s="1" t="s">
        <v>109</v>
      </c>
      <c r="W352" s="1" t="s">
        <v>5131</v>
      </c>
      <c r="X352" s="1" t="s">
        <v>4770</v>
      </c>
      <c r="Y352" s="1" t="s">
        <v>4814</v>
      </c>
      <c r="Z352" s="1" t="s">
        <v>795</v>
      </c>
      <c r="AA352" s="1" t="s">
        <v>61</v>
      </c>
      <c r="AB352" t="s">
        <v>5135</v>
      </c>
      <c r="AC352" t="s">
        <v>5134</v>
      </c>
      <c r="AD352">
        <v>3840000</v>
      </c>
      <c r="AE352" t="s">
        <v>5136</v>
      </c>
      <c r="AF352">
        <v>174240</v>
      </c>
      <c r="AG352">
        <f>834240-AF352</f>
        <v>660000</v>
      </c>
      <c r="AH352">
        <v>660000</v>
      </c>
    </row>
    <row r="353" spans="1:34" ht="60" x14ac:dyDescent="0.25">
      <c r="A353" s="1" t="s">
        <v>4530</v>
      </c>
      <c r="B353" s="26" t="s">
        <v>5137</v>
      </c>
      <c r="C353" s="26" t="s">
        <v>350</v>
      </c>
      <c r="D353" s="26">
        <v>1</v>
      </c>
      <c r="E353" s="26">
        <v>1400</v>
      </c>
      <c r="F353" s="26">
        <v>1400</v>
      </c>
      <c r="G353" s="26">
        <v>1400</v>
      </c>
      <c r="H353" s="26">
        <v>50</v>
      </c>
      <c r="J353" s="26">
        <f>241+23+1</f>
        <v>265</v>
      </c>
      <c r="K353" s="2" t="s">
        <v>5140</v>
      </c>
      <c r="V353" s="1" t="s">
        <v>109</v>
      </c>
      <c r="W353" s="1" t="s">
        <v>5139</v>
      </c>
      <c r="X353" s="1" t="s">
        <v>4770</v>
      </c>
      <c r="Y353" s="1" t="s">
        <v>5086</v>
      </c>
      <c r="Z353" s="1" t="s">
        <v>795</v>
      </c>
      <c r="AA353" s="1" t="s">
        <v>61</v>
      </c>
      <c r="AB353" t="s">
        <v>5142</v>
      </c>
      <c r="AC353" t="s">
        <v>5141</v>
      </c>
      <c r="AD353">
        <v>1120000</v>
      </c>
      <c r="AE353" t="s">
        <v>5143</v>
      </c>
      <c r="AF353">
        <v>50820</v>
      </c>
      <c r="AG353">
        <f>243320-AF353</f>
        <v>192500</v>
      </c>
      <c r="AH353">
        <v>192500</v>
      </c>
    </row>
    <row r="354" spans="1:34" ht="60" x14ac:dyDescent="0.25">
      <c r="A354" s="1" t="s">
        <v>4533</v>
      </c>
      <c r="B354" s="26" t="s">
        <v>5145</v>
      </c>
      <c r="C354" s="26" t="s">
        <v>350</v>
      </c>
      <c r="D354" s="26">
        <v>1</v>
      </c>
      <c r="V354" s="1" t="s">
        <v>109</v>
      </c>
      <c r="W354" s="1" t="s">
        <v>5144</v>
      </c>
      <c r="X354" s="1" t="s">
        <v>4770</v>
      </c>
      <c r="Z354" s="1" t="s">
        <v>795</v>
      </c>
      <c r="AA354" s="1" t="s">
        <v>61</v>
      </c>
      <c r="AC354" t="s">
        <v>5147</v>
      </c>
    </row>
    <row r="355" spans="1:34" ht="60" x14ac:dyDescent="0.25">
      <c r="A355" s="1" t="s">
        <v>4535</v>
      </c>
      <c r="B355" s="26" t="s">
        <v>5146</v>
      </c>
      <c r="C355" s="26" t="s">
        <v>350</v>
      </c>
      <c r="D355" s="26">
        <v>1</v>
      </c>
      <c r="E355" s="26">
        <v>6800</v>
      </c>
      <c r="F355" s="26">
        <v>6800</v>
      </c>
      <c r="G355" s="26">
        <v>6800</v>
      </c>
      <c r="H355" s="26">
        <v>50</v>
      </c>
      <c r="J355" s="26">
        <f>1125+129+8</f>
        <v>1262</v>
      </c>
      <c r="K355" s="2" t="s">
        <v>5149</v>
      </c>
      <c r="V355" s="1" t="s">
        <v>109</v>
      </c>
      <c r="W355" s="1" t="s">
        <v>5138</v>
      </c>
      <c r="X355" s="1" t="s">
        <v>4770</v>
      </c>
      <c r="Y355" s="1" t="s">
        <v>4814</v>
      </c>
      <c r="Z355" s="1" t="s">
        <v>795</v>
      </c>
      <c r="AA355" s="1" t="s">
        <v>61</v>
      </c>
      <c r="AB355" t="s">
        <v>5151</v>
      </c>
      <c r="AC355" s="73" t="s">
        <v>5148</v>
      </c>
      <c r="AD355">
        <v>5440000</v>
      </c>
      <c r="AE355" t="s">
        <v>5150</v>
      </c>
      <c r="AF355">
        <v>246840</v>
      </c>
      <c r="AG355">
        <f>1181840-AF355</f>
        <v>935000</v>
      </c>
      <c r="AH355">
        <v>935000</v>
      </c>
    </row>
    <row r="356" spans="1:34" ht="90" x14ac:dyDescent="0.25">
      <c r="A356" s="1" t="s">
        <v>4538</v>
      </c>
      <c r="B356" s="2" t="s">
        <v>5154</v>
      </c>
      <c r="C356" s="26" t="s">
        <v>350</v>
      </c>
      <c r="D356" s="26">
        <v>2</v>
      </c>
      <c r="J356" s="26">
        <v>14</v>
      </c>
      <c r="K356" s="2" t="s">
        <v>5152</v>
      </c>
      <c r="V356" s="1" t="s">
        <v>5076</v>
      </c>
      <c r="W356" s="1" t="s">
        <v>4908</v>
      </c>
      <c r="X356" s="1" t="s">
        <v>5073</v>
      </c>
      <c r="Z356" s="1" t="s">
        <v>562</v>
      </c>
      <c r="AA356" s="1" t="s">
        <v>60</v>
      </c>
      <c r="AC356" s="73" t="s">
        <v>5153</v>
      </c>
    </row>
    <row r="357" spans="1:34" ht="60" x14ac:dyDescent="0.25">
      <c r="A357" s="1" t="s">
        <v>4541</v>
      </c>
      <c r="B357" s="26" t="s">
        <v>5155</v>
      </c>
      <c r="C357" s="26" t="s">
        <v>350</v>
      </c>
      <c r="D357" s="26">
        <v>1</v>
      </c>
      <c r="E357" s="26">
        <v>1000</v>
      </c>
      <c r="F357" s="26">
        <v>1000</v>
      </c>
      <c r="G357" s="26">
        <v>1000</v>
      </c>
      <c r="H357" s="26">
        <v>50</v>
      </c>
      <c r="J357" s="26">
        <v>164</v>
      </c>
      <c r="K357" s="2" t="s">
        <v>5157</v>
      </c>
      <c r="V357" s="1" t="s">
        <v>109</v>
      </c>
      <c r="W357" s="1" t="s">
        <v>5156</v>
      </c>
      <c r="X357" s="1" t="s">
        <v>4770</v>
      </c>
      <c r="Y357" s="1" t="s">
        <v>5086</v>
      </c>
      <c r="Z357" s="1" t="s">
        <v>795</v>
      </c>
      <c r="AA357" s="1" t="s">
        <v>61</v>
      </c>
      <c r="AB357" t="s">
        <v>5160</v>
      </c>
      <c r="AC357" t="s">
        <v>5158</v>
      </c>
      <c r="AD357">
        <v>800000</v>
      </c>
      <c r="AE357" t="s">
        <v>5159</v>
      </c>
      <c r="AF357">
        <v>36300</v>
      </c>
      <c r="AG357">
        <f>173800-AF357</f>
        <v>137500</v>
      </c>
      <c r="AH357">
        <v>137500</v>
      </c>
    </row>
    <row r="358" spans="1:34" ht="60" x14ac:dyDescent="0.25">
      <c r="A358" s="1" t="s">
        <v>4543</v>
      </c>
      <c r="B358" s="26" t="s">
        <v>5161</v>
      </c>
      <c r="C358" s="26" t="s">
        <v>350</v>
      </c>
      <c r="D358" s="26">
        <v>1</v>
      </c>
      <c r="V358" s="1" t="s">
        <v>109</v>
      </c>
      <c r="W358" s="1" t="s">
        <v>5163</v>
      </c>
      <c r="X358" s="1" t="s">
        <v>4770</v>
      </c>
      <c r="Z358" s="1" t="s">
        <v>795</v>
      </c>
      <c r="AA358" s="1" t="s">
        <v>61</v>
      </c>
      <c r="AC358" t="s">
        <v>5162</v>
      </c>
    </row>
    <row r="359" spans="1:34" ht="75" x14ac:dyDescent="0.25">
      <c r="A359" s="1" t="s">
        <v>4545</v>
      </c>
      <c r="B359" s="2" t="s">
        <v>5165</v>
      </c>
      <c r="C359" s="26" t="s">
        <v>350</v>
      </c>
      <c r="D359" s="26">
        <v>3</v>
      </c>
      <c r="J359" s="26">
        <v>16</v>
      </c>
      <c r="K359" s="2" t="s">
        <v>5166</v>
      </c>
      <c r="V359" s="1" t="s">
        <v>5076</v>
      </c>
      <c r="W359" s="1" t="s">
        <v>4908</v>
      </c>
      <c r="X359" s="1" t="s">
        <v>5073</v>
      </c>
      <c r="Z359" s="1" t="s">
        <v>562</v>
      </c>
      <c r="AA359" s="1" t="s">
        <v>60</v>
      </c>
      <c r="AC359" t="s">
        <v>5164</v>
      </c>
    </row>
    <row r="360" spans="1:34" ht="60" x14ac:dyDescent="0.25">
      <c r="A360" s="1" t="s">
        <v>4548</v>
      </c>
      <c r="B360" s="26" t="s">
        <v>5168</v>
      </c>
      <c r="C360" s="26" t="s">
        <v>350</v>
      </c>
      <c r="D360" s="26">
        <v>1</v>
      </c>
      <c r="V360" s="1" t="s">
        <v>109</v>
      </c>
      <c r="W360" s="1" t="s">
        <v>5167</v>
      </c>
      <c r="X360" s="1" t="s">
        <v>4770</v>
      </c>
      <c r="Z360" s="1" t="s">
        <v>795</v>
      </c>
      <c r="AA360" s="1" t="s">
        <v>61</v>
      </c>
      <c r="AC360" t="s">
        <v>5169</v>
      </c>
    </row>
    <row r="361" spans="1:34" ht="60" x14ac:dyDescent="0.25">
      <c r="A361" s="1" t="s">
        <v>4551</v>
      </c>
      <c r="B361" s="26" t="s">
        <v>5170</v>
      </c>
      <c r="C361" s="26" t="s">
        <v>350</v>
      </c>
      <c r="K361" s="2" t="s">
        <v>5172</v>
      </c>
      <c r="L361" s="26">
        <v>100</v>
      </c>
      <c r="M361" s="26">
        <v>0</v>
      </c>
      <c r="N361" s="26">
        <v>0</v>
      </c>
      <c r="O361" s="26">
        <v>0</v>
      </c>
      <c r="P361" s="26">
        <v>0</v>
      </c>
      <c r="Q361" s="26">
        <v>4</v>
      </c>
      <c r="V361" s="1" t="s">
        <v>616</v>
      </c>
      <c r="W361" s="1" t="s">
        <v>4552</v>
      </c>
      <c r="X361" s="1" t="s">
        <v>406</v>
      </c>
      <c r="Z361" s="1" t="s">
        <v>795</v>
      </c>
      <c r="AA361" s="1" t="s">
        <v>60</v>
      </c>
      <c r="AC361" t="s">
        <v>5171</v>
      </c>
    </row>
    <row r="362" spans="1:34" ht="60" x14ac:dyDescent="0.25">
      <c r="A362" s="1" t="s">
        <v>4553</v>
      </c>
      <c r="B362" s="26" t="s">
        <v>5173</v>
      </c>
      <c r="C362" s="26" t="s">
        <v>350</v>
      </c>
      <c r="J362" s="26">
        <v>30</v>
      </c>
      <c r="V362" s="1" t="s">
        <v>616</v>
      </c>
      <c r="W362" s="1" t="s">
        <v>4554</v>
      </c>
      <c r="X362" s="1" t="s">
        <v>406</v>
      </c>
      <c r="Z362" s="1" t="s">
        <v>795</v>
      </c>
      <c r="AA362" s="1" t="s">
        <v>60</v>
      </c>
      <c r="AC362" t="s">
        <v>5171</v>
      </c>
    </row>
    <row r="363" spans="1:34" ht="45" x14ac:dyDescent="0.25">
      <c r="A363" s="67" t="s">
        <v>4567</v>
      </c>
      <c r="B363" s="26" t="s">
        <v>4591</v>
      </c>
      <c r="C363" s="26" t="s">
        <v>350</v>
      </c>
      <c r="D363" s="26">
        <v>1</v>
      </c>
      <c r="V363" s="1" t="s">
        <v>109</v>
      </c>
      <c r="W363" s="67" t="s">
        <v>5174</v>
      </c>
      <c r="X363" s="1" t="s">
        <v>4770</v>
      </c>
      <c r="Z363" s="67"/>
      <c r="AA363" s="67" t="s">
        <v>61</v>
      </c>
      <c r="AC363" s="62" t="s">
        <v>5175</v>
      </c>
    </row>
    <row r="365" spans="1:34" ht="24" thickBot="1" x14ac:dyDescent="0.4">
      <c r="K365" s="31" t="s">
        <v>454</v>
      </c>
      <c r="L365"/>
      <c r="P365" s="26"/>
      <c r="Q365" s="2"/>
      <c r="U365" s="26"/>
      <c r="V365" s="26"/>
      <c r="W365" s="1"/>
      <c r="X365" s="26"/>
      <c r="Y365" s="26"/>
      <c r="Z365" s="26"/>
    </row>
    <row r="366" spans="1:34" ht="45" customHeight="1" thickBot="1" x14ac:dyDescent="0.35">
      <c r="E366"/>
      <c r="G366"/>
      <c r="H366"/>
      <c r="I366"/>
      <c r="J366"/>
      <c r="K366" s="40"/>
      <c r="L366"/>
      <c r="M366"/>
      <c r="N366" s="78"/>
      <c r="O366" s="79"/>
      <c r="P366" s="79"/>
      <c r="Q366" s="79"/>
      <c r="R366" s="78"/>
      <c r="S366" s="78"/>
      <c r="T366" s="78"/>
      <c r="U366" s="78"/>
      <c r="V366" s="78"/>
      <c r="X366" s="79"/>
      <c r="Y366" s="79"/>
      <c r="Z366" s="80"/>
    </row>
    <row r="367" spans="1:34" ht="27" customHeight="1" thickBot="1" x14ac:dyDescent="0.3">
      <c r="E367"/>
      <c r="G367"/>
      <c r="H367"/>
      <c r="I367"/>
      <c r="J367"/>
      <c r="K367" s="186" t="s">
        <v>345</v>
      </c>
      <c r="L367" s="187"/>
      <c r="M367" s="192" t="s">
        <v>5297</v>
      </c>
      <c r="N367" s="193"/>
      <c r="O367" s="193"/>
      <c r="P367" s="193"/>
      <c r="Q367" s="193"/>
      <c r="R367" s="193"/>
      <c r="S367" s="193"/>
      <c r="T367" s="193"/>
      <c r="U367" s="193"/>
      <c r="V367" s="193"/>
      <c r="W367" s="193"/>
      <c r="X367" s="193"/>
      <c r="Y367" s="193"/>
      <c r="Z367" s="193"/>
      <c r="AA367" s="193"/>
      <c r="AB367" s="193"/>
      <c r="AC367" s="193"/>
      <c r="AD367" s="193"/>
      <c r="AE367" s="193"/>
      <c r="AF367" s="194"/>
    </row>
    <row r="368" spans="1:34" ht="28.5" customHeight="1" thickBot="1" x14ac:dyDescent="0.3">
      <c r="A368" s="125" t="s">
        <v>344</v>
      </c>
      <c r="B368" s="126" t="s">
        <v>345</v>
      </c>
      <c r="D368"/>
      <c r="E368"/>
      <c r="G368"/>
      <c r="H368"/>
      <c r="I368"/>
      <c r="J368"/>
      <c r="K368" s="144" t="s">
        <v>579</v>
      </c>
      <c r="L368" s="140">
        <v>104</v>
      </c>
      <c r="M368" s="149" t="s">
        <v>5296</v>
      </c>
      <c r="N368" s="142">
        <f>9+1+4+12+1+1+1+17+88+288+29+5+1+1+1+20+5+6+1+1+1</f>
        <v>493</v>
      </c>
      <c r="O368" s="150" t="s">
        <v>583</v>
      </c>
      <c r="P368" s="154">
        <v>100</v>
      </c>
      <c r="Q368" s="141" t="s">
        <v>5310</v>
      </c>
      <c r="R368" s="142">
        <v>43</v>
      </c>
      <c r="S368" s="149" t="s">
        <v>5292</v>
      </c>
      <c r="T368" s="151">
        <v>40</v>
      </c>
      <c r="U368" s="149" t="s">
        <v>584</v>
      </c>
      <c r="V368" s="142">
        <v>37</v>
      </c>
      <c r="W368" s="143" t="s">
        <v>5308</v>
      </c>
      <c r="X368" s="155">
        <v>23</v>
      </c>
      <c r="Y368" s="152" t="s">
        <v>591</v>
      </c>
      <c r="Z368" s="142">
        <v>7</v>
      </c>
      <c r="AA368" s="152" t="s">
        <v>5293</v>
      </c>
      <c r="AB368" s="142">
        <v>6</v>
      </c>
      <c r="AC368" s="149" t="s">
        <v>5309</v>
      </c>
      <c r="AD368" s="142">
        <v>4</v>
      </c>
      <c r="AE368" s="153" t="s">
        <v>5294</v>
      </c>
      <c r="AF368" s="142">
        <v>3</v>
      </c>
    </row>
    <row r="369" spans="1:32" ht="60.75" thickBot="1" x14ac:dyDescent="0.3">
      <c r="A369" s="16" t="s">
        <v>598</v>
      </c>
      <c r="B369" s="127">
        <v>300</v>
      </c>
      <c r="D369"/>
      <c r="E369"/>
      <c r="G369"/>
      <c r="H369"/>
      <c r="I369"/>
      <c r="J369"/>
      <c r="K369" s="145" t="s">
        <v>580</v>
      </c>
      <c r="L369" s="146">
        <v>36</v>
      </c>
      <c r="M369" s="164" t="s">
        <v>5296</v>
      </c>
      <c r="N369" s="165">
        <f>11+1+1+1+57+90+302+124+186+50+6+5+5+12+6+3+7+5+18+1+25+1+1+13+4</f>
        <v>935</v>
      </c>
      <c r="O369" s="166" t="s">
        <v>72</v>
      </c>
      <c r="P369" s="167">
        <v>14</v>
      </c>
      <c r="Q369" s="168" t="s">
        <v>5311</v>
      </c>
      <c r="R369" s="169">
        <v>11</v>
      </c>
      <c r="S369" s="168" t="s">
        <v>5312</v>
      </c>
      <c r="T369" s="165">
        <v>2</v>
      </c>
      <c r="AF369" s="157"/>
    </row>
    <row r="370" spans="1:32" ht="60.75" thickBot="1" x14ac:dyDescent="0.3">
      <c r="A370" s="128" t="s">
        <v>5279</v>
      </c>
      <c r="B370" s="127">
        <v>219</v>
      </c>
      <c r="D370"/>
      <c r="E370"/>
      <c r="G370"/>
      <c r="H370"/>
      <c r="I370"/>
      <c r="J370"/>
      <c r="K370" s="147" t="s">
        <v>581</v>
      </c>
      <c r="L370" s="161">
        <v>42</v>
      </c>
      <c r="M370" s="150" t="s">
        <v>585</v>
      </c>
      <c r="N370" s="154">
        <v>23</v>
      </c>
      <c r="O370" s="170" t="s">
        <v>5296</v>
      </c>
      <c r="P370" s="171">
        <v>22</v>
      </c>
      <c r="Q370" s="170" t="s">
        <v>587</v>
      </c>
      <c r="R370" s="172">
        <v>16</v>
      </c>
      <c r="S370" s="173" t="s">
        <v>588</v>
      </c>
      <c r="T370" s="172">
        <v>13</v>
      </c>
      <c r="U370" s="173" t="s">
        <v>586</v>
      </c>
      <c r="V370" s="172">
        <v>12</v>
      </c>
      <c r="W370" s="173" t="s">
        <v>5300</v>
      </c>
      <c r="X370" s="172">
        <v>9</v>
      </c>
      <c r="Y370" s="170" t="s">
        <v>5301</v>
      </c>
      <c r="Z370" s="172">
        <v>2</v>
      </c>
      <c r="AA370" s="170" t="s">
        <v>5302</v>
      </c>
      <c r="AB370" s="172">
        <v>1</v>
      </c>
      <c r="AC370" s="170" t="s">
        <v>5303</v>
      </c>
      <c r="AD370" s="172">
        <v>1</v>
      </c>
      <c r="AF370" s="157"/>
    </row>
    <row r="371" spans="1:32" ht="116.25" thickBot="1" x14ac:dyDescent="0.3">
      <c r="A371" s="128" t="s">
        <v>415</v>
      </c>
      <c r="B371" s="127">
        <v>52</v>
      </c>
      <c r="E371"/>
      <c r="G371"/>
      <c r="H371"/>
      <c r="I371"/>
      <c r="J371"/>
      <c r="K371" s="148" t="s">
        <v>582</v>
      </c>
      <c r="L371" s="162">
        <v>22</v>
      </c>
      <c r="M371" s="174" t="s">
        <v>589</v>
      </c>
      <c r="N371" s="175">
        <v>27</v>
      </c>
      <c r="O371" s="176" t="s">
        <v>590</v>
      </c>
      <c r="P371" s="177">
        <v>17</v>
      </c>
      <c r="Q371" s="176" t="s">
        <v>5296</v>
      </c>
      <c r="R371" s="178">
        <v>7</v>
      </c>
      <c r="S371" s="176" t="s">
        <v>5315</v>
      </c>
      <c r="T371" s="178">
        <v>3</v>
      </c>
      <c r="U371" s="176" t="s">
        <v>591</v>
      </c>
      <c r="V371" s="178">
        <v>2</v>
      </c>
      <c r="W371" s="176" t="s">
        <v>5314</v>
      </c>
      <c r="X371" s="160">
        <v>2</v>
      </c>
      <c r="AF371" s="157"/>
    </row>
    <row r="372" spans="1:32" ht="30.75" thickBot="1" x14ac:dyDescent="0.3">
      <c r="A372" s="128" t="s">
        <v>346</v>
      </c>
      <c r="B372" s="127">
        <v>27</v>
      </c>
      <c r="E372"/>
      <c r="G372"/>
      <c r="H372"/>
      <c r="I372"/>
      <c r="J372"/>
      <c r="K372" s="156" t="s">
        <v>5317</v>
      </c>
      <c r="L372" s="163">
        <f>43+18</f>
        <v>61</v>
      </c>
      <c r="M372" s="174" t="s">
        <v>592</v>
      </c>
      <c r="N372" s="175">
        <f>75-R372</f>
        <v>65</v>
      </c>
      <c r="O372" s="179" t="s">
        <v>5316</v>
      </c>
      <c r="P372" s="180">
        <v>20</v>
      </c>
      <c r="Q372" s="179" t="s">
        <v>593</v>
      </c>
      <c r="R372" s="181">
        <v>10</v>
      </c>
      <c r="S372" s="182" t="s">
        <v>5318</v>
      </c>
      <c r="T372" s="183">
        <v>10</v>
      </c>
      <c r="U372" s="184" t="s">
        <v>5319</v>
      </c>
      <c r="V372" s="185">
        <v>3</v>
      </c>
      <c r="W372" s="182" t="s">
        <v>594</v>
      </c>
      <c r="X372" s="180">
        <v>3</v>
      </c>
      <c r="AE372" s="158"/>
      <c r="AF372" s="159"/>
    </row>
    <row r="373" spans="1:32" ht="15.75" thickBot="1" x14ac:dyDescent="0.3">
      <c r="A373" s="16" t="s">
        <v>347</v>
      </c>
      <c r="B373" s="127">
        <v>82</v>
      </c>
      <c r="K373"/>
      <c r="L373"/>
      <c r="M373"/>
      <c r="N373"/>
      <c r="O373"/>
      <c r="Q373"/>
      <c r="V373" s="26"/>
      <c r="W373" s="26"/>
      <c r="X373" s="26"/>
      <c r="Y373" s="26"/>
    </row>
    <row r="374" spans="1:32" ht="85.5" customHeight="1" thickBot="1" x14ac:dyDescent="0.3">
      <c r="A374" s="14" t="s">
        <v>348</v>
      </c>
      <c r="B374" s="129">
        <v>13</v>
      </c>
      <c r="E374"/>
      <c r="G374"/>
      <c r="H374"/>
      <c r="I374"/>
      <c r="J374"/>
      <c r="K374" s="82" t="s">
        <v>5268</v>
      </c>
      <c r="L374" s="47" t="s">
        <v>5267</v>
      </c>
      <c r="M374" s="105" t="s">
        <v>5218</v>
      </c>
      <c r="N374" s="86" t="s">
        <v>608</v>
      </c>
      <c r="O374" s="86" t="s">
        <v>5266</v>
      </c>
      <c r="P374" s="190" t="s">
        <v>5284</v>
      </c>
      <c r="Q374" s="202"/>
      <c r="R374" s="190" t="s">
        <v>5283</v>
      </c>
      <c r="S374" s="191"/>
      <c r="T374" s="190" t="s">
        <v>5282</v>
      </c>
      <c r="U374" s="191"/>
      <c r="V374" s="190" t="s">
        <v>5281</v>
      </c>
      <c r="W374" s="191"/>
      <c r="X374" s="190" t="s">
        <v>5286</v>
      </c>
      <c r="Y374" s="191"/>
      <c r="Z374" s="190" t="s">
        <v>5285</v>
      </c>
      <c r="AA374" s="191"/>
      <c r="AB374" s="190" t="s">
        <v>5287</v>
      </c>
      <c r="AC374" s="191"/>
      <c r="AD374" s="190" t="s">
        <v>5288</v>
      </c>
      <c r="AE374" s="191"/>
    </row>
    <row r="375" spans="1:32" ht="16.5" thickBot="1" x14ac:dyDescent="0.3">
      <c r="A375" s="130" t="s">
        <v>447</v>
      </c>
      <c r="B375" s="131">
        <v>362</v>
      </c>
      <c r="C375"/>
      <c r="E375"/>
      <c r="G375"/>
      <c r="H375"/>
      <c r="I375"/>
      <c r="J375"/>
      <c r="K375" s="198" t="s">
        <v>5217</v>
      </c>
      <c r="L375" s="198"/>
      <c r="M375" s="198"/>
      <c r="N375" s="198"/>
      <c r="O375" s="198"/>
      <c r="P375" s="119" t="s">
        <v>112</v>
      </c>
      <c r="Q375" s="121">
        <f>AVERAGE(L2:L363)</f>
        <v>44.226086956521748</v>
      </c>
      <c r="R375" s="119" t="s">
        <v>112</v>
      </c>
      <c r="S375" s="123">
        <v>41.539805825242723</v>
      </c>
      <c r="T375" s="119" t="s">
        <v>112</v>
      </c>
      <c r="U375" s="123">
        <v>59</v>
      </c>
      <c r="V375" s="119" t="s">
        <v>112</v>
      </c>
      <c r="W375" s="123">
        <v>35.88095238095238</v>
      </c>
      <c r="X375" s="119" t="s">
        <v>112</v>
      </c>
      <c r="Y375" s="123">
        <v>60</v>
      </c>
      <c r="Z375" s="119" t="s">
        <v>112</v>
      </c>
      <c r="AA375" s="123">
        <v>66.625</v>
      </c>
      <c r="AB375" s="119" t="s">
        <v>112</v>
      </c>
      <c r="AC375" s="123">
        <v>55.555555555555557</v>
      </c>
      <c r="AD375" s="119" t="s">
        <v>112</v>
      </c>
      <c r="AE375" s="123">
        <v>66.666666666666671</v>
      </c>
    </row>
    <row r="376" spans="1:32" ht="15.75" x14ac:dyDescent="0.25">
      <c r="A376" s="132" t="s">
        <v>448</v>
      </c>
      <c r="B376" s="124">
        <v>231</v>
      </c>
      <c r="C376"/>
      <c r="E376"/>
      <c r="G376"/>
      <c r="H376"/>
      <c r="I376"/>
      <c r="J376"/>
      <c r="K376" s="107" t="s">
        <v>599</v>
      </c>
      <c r="L376" s="108" cm="1">
        <f t="array" ref="L376">AVERAGE(Calculations!A2:A97*Calculations!B2:'Calculations'!B97/100)</f>
        <v>520.77372447916662</v>
      </c>
      <c r="M376" s="109">
        <f>AVERAGE(Q2:Q363)</f>
        <v>4.4401927437641726</v>
      </c>
      <c r="N376" s="116">
        <f>L376/M376</f>
        <v>117.28628790057451</v>
      </c>
      <c r="O376" s="199">
        <v>173</v>
      </c>
      <c r="P376" s="119" t="s">
        <v>5289</v>
      </c>
      <c r="Q376" s="121">
        <f>(AVERAGE(M2:M363))</f>
        <v>11.62336956521739</v>
      </c>
      <c r="R376" s="119" t="s">
        <v>5289</v>
      </c>
      <c r="S376" s="123">
        <v>11.210679611650484</v>
      </c>
      <c r="T376" s="119" t="s">
        <v>5289</v>
      </c>
      <c r="U376" s="123">
        <v>11</v>
      </c>
      <c r="V376" s="119" t="s">
        <v>5289</v>
      </c>
      <c r="W376" s="123">
        <v>18.952380952380953</v>
      </c>
      <c r="X376" s="119" t="s">
        <v>5289</v>
      </c>
      <c r="Y376" s="123">
        <v>0</v>
      </c>
      <c r="Z376" s="119" t="s">
        <v>5289</v>
      </c>
      <c r="AA376" s="123">
        <v>8.375</v>
      </c>
      <c r="AB376" s="119" t="s">
        <v>5289</v>
      </c>
      <c r="AC376" s="123">
        <v>0</v>
      </c>
      <c r="AD376" s="119" t="s">
        <v>5289</v>
      </c>
      <c r="AE376" s="123">
        <v>0</v>
      </c>
    </row>
    <row r="377" spans="1:32" ht="15.75" x14ac:dyDescent="0.25">
      <c r="A377" s="132" t="s">
        <v>449</v>
      </c>
      <c r="B377" s="124">
        <v>19</v>
      </c>
      <c r="E377"/>
      <c r="G377"/>
      <c r="H377"/>
      <c r="I377"/>
      <c r="J377"/>
      <c r="K377" s="83" t="s">
        <v>600</v>
      </c>
      <c r="L377" s="44" cm="1">
        <f t="array" ref="L377">AVERAGE(Calculations!C2:C36*Calculations!D2:'Calculations'!D36/100)</f>
        <v>159.17941771428573</v>
      </c>
      <c r="M377" s="48">
        <f>AVERAGE(R2:R363)</f>
        <v>17.691964285714285</v>
      </c>
      <c r="N377" s="117">
        <f>L377/M377</f>
        <v>8.9972721594751466</v>
      </c>
      <c r="O377" s="200"/>
      <c r="P377" s="119" t="s">
        <v>4681</v>
      </c>
      <c r="Q377" s="121">
        <f>AVERAGE(N2:N363)</f>
        <v>18.425000000000001</v>
      </c>
      <c r="R377" s="119" t="s">
        <v>4681</v>
      </c>
      <c r="S377" s="123">
        <v>16.642718446601943</v>
      </c>
      <c r="T377" s="119" t="s">
        <v>4681</v>
      </c>
      <c r="U377" s="123">
        <v>21.90909090909091</v>
      </c>
      <c r="V377" s="119" t="s">
        <v>4681</v>
      </c>
      <c r="W377" s="123">
        <v>21.071428571428573</v>
      </c>
      <c r="X377" s="119" t="s">
        <v>4681</v>
      </c>
      <c r="Y377" s="123">
        <v>0</v>
      </c>
      <c r="Z377" s="119" t="s">
        <v>4681</v>
      </c>
      <c r="AA377" s="123">
        <v>0</v>
      </c>
      <c r="AB377" s="119" t="s">
        <v>4681</v>
      </c>
      <c r="AC377" s="123">
        <v>22.222222222222221</v>
      </c>
      <c r="AD377" s="119" t="s">
        <v>4681</v>
      </c>
      <c r="AE377" s="123">
        <v>33.333333333333336</v>
      </c>
    </row>
    <row r="378" spans="1:32" ht="15.75" x14ac:dyDescent="0.25">
      <c r="A378" s="132" t="s">
        <v>450</v>
      </c>
      <c r="B378" s="124">
        <v>69</v>
      </c>
      <c r="E378"/>
      <c r="G378"/>
      <c r="H378"/>
      <c r="I378"/>
      <c r="J378"/>
      <c r="K378" s="84" t="s">
        <v>601</v>
      </c>
      <c r="L378" s="44" cm="1">
        <f t="array" ref="L378">AVERAGE(Calculations!E2:E44*Calculations!F2:'Calculations'!F44/100)</f>
        <v>280.26567488372092</v>
      </c>
      <c r="M378" s="48">
        <f>AVERAGE(S2:S363)</f>
        <v>2.3111111111111109</v>
      </c>
      <c r="N378" s="117">
        <f>L378/M378</f>
        <v>121.26880163237925</v>
      </c>
      <c r="O378" s="200"/>
      <c r="P378" s="119" t="s">
        <v>5280</v>
      </c>
      <c r="Q378" s="121">
        <f>AVERAGE(O2:O363)</f>
        <v>9.2953804347826097</v>
      </c>
      <c r="R378" s="119" t="s">
        <v>5280</v>
      </c>
      <c r="S378" s="123">
        <v>9.1296116504854368</v>
      </c>
      <c r="T378" s="119" t="s">
        <v>5280</v>
      </c>
      <c r="U378" s="123">
        <v>0</v>
      </c>
      <c r="V378" s="119" t="s">
        <v>5280</v>
      </c>
      <c r="W378" s="123">
        <v>13.571428571428571</v>
      </c>
      <c r="X378" s="119" t="s">
        <v>5280</v>
      </c>
      <c r="Y378" s="123">
        <v>0</v>
      </c>
      <c r="Z378" s="119" t="s">
        <v>5280</v>
      </c>
      <c r="AA378" s="123">
        <v>12.5</v>
      </c>
      <c r="AB378" s="119" t="s">
        <v>5280</v>
      </c>
      <c r="AC378" s="123">
        <v>11.111111111111111</v>
      </c>
      <c r="AD378" s="119" t="s">
        <v>5280</v>
      </c>
      <c r="AE378" s="123">
        <v>0</v>
      </c>
    </row>
    <row r="379" spans="1:32" ht="16.5" thickBot="1" x14ac:dyDescent="0.3">
      <c r="A379" s="132" t="s">
        <v>5278</v>
      </c>
      <c r="B379" s="124">
        <v>4</v>
      </c>
      <c r="E379"/>
      <c r="G379"/>
      <c r="H379"/>
      <c r="I379"/>
      <c r="J379"/>
      <c r="K379" s="84" t="s">
        <v>602</v>
      </c>
      <c r="L379" s="45" cm="1">
        <f t="array" ref="L379">AVERAGE(Calculations!G2:G24*Calculations!H2:'Calculations'!H24/100)</f>
        <v>82.408347826086953</v>
      </c>
      <c r="M379" s="48">
        <f>AVERAGE(T2:T363)</f>
        <v>2.2727272727272729</v>
      </c>
      <c r="N379" s="117">
        <f>L379/M379</f>
        <v>36.259673043478259</v>
      </c>
      <c r="O379" s="200"/>
      <c r="P379" s="120" t="s">
        <v>5290</v>
      </c>
      <c r="Q379" s="122">
        <f>AVERAGE(P2:P363)</f>
        <v>16.43016304347826</v>
      </c>
      <c r="R379" s="120" t="s">
        <v>5290</v>
      </c>
      <c r="S379" s="123">
        <v>21.47718446601942</v>
      </c>
      <c r="T379" s="120" t="s">
        <v>5290</v>
      </c>
      <c r="U379" s="123">
        <v>8.0909090909090917</v>
      </c>
      <c r="V379" s="120" t="s">
        <v>5290</v>
      </c>
      <c r="W379" s="123">
        <v>10.523809523809524</v>
      </c>
      <c r="X379" s="120" t="s">
        <v>5290</v>
      </c>
      <c r="Y379" s="123">
        <v>40</v>
      </c>
      <c r="Z379" s="120" t="s">
        <v>5290</v>
      </c>
      <c r="AA379" s="123">
        <v>12.5</v>
      </c>
      <c r="AB379" s="120" t="s">
        <v>5290</v>
      </c>
      <c r="AC379" s="123">
        <v>11.111111111111111</v>
      </c>
      <c r="AD379" s="120" t="s">
        <v>5290</v>
      </c>
      <c r="AE379" s="123">
        <v>0</v>
      </c>
    </row>
    <row r="380" spans="1:32" ht="16.5" thickBot="1" x14ac:dyDescent="0.3">
      <c r="A380" s="132" t="s">
        <v>451</v>
      </c>
      <c r="B380" s="124">
        <v>13</v>
      </c>
      <c r="K380" s="85" t="s">
        <v>595</v>
      </c>
      <c r="L380" s="87" cm="1">
        <f t="array" ref="L380">AVERAGE(Calculations!I2:I45*Calculations!J2:'Calculations'!J45/100)</f>
        <v>744.0039047727272</v>
      </c>
      <c r="M380" s="111">
        <f>AVERAGE(U2:U363)</f>
        <v>1.7441860465116279</v>
      </c>
      <c r="N380" s="118">
        <f>L380/M380</f>
        <v>426.56223873636361</v>
      </c>
      <c r="O380" s="201"/>
    </row>
    <row r="381" spans="1:32" ht="15.75" thickBot="1" x14ac:dyDescent="0.3">
      <c r="A381" s="132" t="s">
        <v>452</v>
      </c>
      <c r="B381" s="124">
        <v>19</v>
      </c>
      <c r="K381" s="188" t="s">
        <v>5219</v>
      </c>
      <c r="L381" s="189"/>
      <c r="M381" s="189"/>
      <c r="N381" s="189"/>
      <c r="O381" s="112"/>
    </row>
    <row r="382" spans="1:32" ht="16.5" thickBot="1" x14ac:dyDescent="0.3">
      <c r="A382" s="133" t="s">
        <v>453</v>
      </c>
      <c r="B382" s="134">
        <v>7</v>
      </c>
      <c r="K382" s="107" t="s">
        <v>599</v>
      </c>
      <c r="L382" s="113" cm="1">
        <f t="array" ref="L382">AVERAGE(Calculations!L2:L54*Calculations!M2:'Calculations'!M54/100)</f>
        <v>543.45089716981124</v>
      </c>
      <c r="M382" s="114">
        <f t="shared" ref="M382:M386" si="5">M376</f>
        <v>4.4401927437641726</v>
      </c>
      <c r="N382" s="110">
        <f>L382/M382</f>
        <v>122.39353751772065</v>
      </c>
      <c r="O382" s="195">
        <v>97</v>
      </c>
    </row>
    <row r="383" spans="1:32" ht="15.75" x14ac:dyDescent="0.25">
      <c r="A383" s="135" t="s">
        <v>5291</v>
      </c>
      <c r="B383" s="136"/>
      <c r="K383" s="83" t="s">
        <v>600</v>
      </c>
      <c r="L383" s="88" cm="1">
        <f t="array" ref="L383">AVERAGE(Calculations!N22:N22*Calculations!O2:'Calculations'!O22/100)</f>
        <v>93.541845238095249</v>
      </c>
      <c r="M383" s="89">
        <f t="shared" si="5"/>
        <v>17.691964285714285</v>
      </c>
      <c r="N383" s="81">
        <f>L383/M383</f>
        <v>5.2872503995289772</v>
      </c>
      <c r="O383" s="196"/>
    </row>
    <row r="384" spans="1:32" ht="15.75" x14ac:dyDescent="0.25">
      <c r="A384" s="16" t="s">
        <v>350</v>
      </c>
      <c r="B384" s="137">
        <f t="shared" ref="B384:B390" si="6">B376*100/$B$375</f>
        <v>63.812154696132595</v>
      </c>
      <c r="K384" s="84" t="s">
        <v>601</v>
      </c>
      <c r="L384" s="88" cm="1">
        <f t="array" ref="L384">AVERAGE(Calculations!P2:P27*Calculations!Q2:'Calculations'!Q27/100)</f>
        <v>247.34630846153843</v>
      </c>
      <c r="M384" s="89">
        <f t="shared" si="5"/>
        <v>2.3111111111111109</v>
      </c>
      <c r="N384" s="81">
        <f>L384/M384</f>
        <v>107.02484500739645</v>
      </c>
      <c r="O384" s="196"/>
      <c r="AC384" s="18"/>
    </row>
    <row r="385" spans="1:15" ht="15.75" x14ac:dyDescent="0.25">
      <c r="A385" s="16" t="s">
        <v>353</v>
      </c>
      <c r="B385" s="137">
        <f>B377*100/$B$375</f>
        <v>5.2486187845303869</v>
      </c>
      <c r="K385" s="84" t="s">
        <v>602</v>
      </c>
      <c r="L385" s="88" cm="1">
        <f t="array" ref="L385">AVERAGE(Calculations!R2:R15*Calculations!S2:'Calculations'!S15/100)</f>
        <v>104.74228571428571</v>
      </c>
      <c r="M385" s="89">
        <f t="shared" si="5"/>
        <v>2.2727272727272729</v>
      </c>
      <c r="N385" s="81">
        <f>L385/M385</f>
        <v>46.08660571428571</v>
      </c>
      <c r="O385" s="196"/>
    </row>
    <row r="386" spans="1:15" ht="16.5" thickBot="1" x14ac:dyDescent="0.3">
      <c r="A386" s="16" t="s">
        <v>352</v>
      </c>
      <c r="B386" s="137">
        <f t="shared" si="6"/>
        <v>19.060773480662984</v>
      </c>
      <c r="K386" s="85" t="s">
        <v>595</v>
      </c>
      <c r="L386" s="115" cm="1">
        <f t="array" ref="L386">AVERAGE(Calculations!T2:T33*Calculations!U2:'Calculations'!U33/100)</f>
        <v>813.59521281249988</v>
      </c>
      <c r="M386" s="91">
        <f t="shared" si="5"/>
        <v>1.7441860465116279</v>
      </c>
      <c r="N386" s="106">
        <f>L386/M386</f>
        <v>466.46125534583325</v>
      </c>
      <c r="O386" s="197"/>
    </row>
    <row r="387" spans="1:15" ht="15.75" thickBot="1" x14ac:dyDescent="0.3">
      <c r="A387" s="138" t="s">
        <v>3684</v>
      </c>
      <c r="B387" s="137">
        <f t="shared" si="6"/>
        <v>1.1049723756906078</v>
      </c>
      <c r="K387" s="188" t="s">
        <v>5220</v>
      </c>
      <c r="L387" s="189"/>
      <c r="M387" s="189"/>
      <c r="N387" s="189"/>
      <c r="O387" s="112"/>
    </row>
    <row r="388" spans="1:15" ht="15.75" x14ac:dyDescent="0.25">
      <c r="A388" s="16" t="s">
        <v>354</v>
      </c>
      <c r="B388" s="137">
        <f t="shared" si="6"/>
        <v>3.5911602209944751</v>
      </c>
      <c r="K388" s="107" t="s">
        <v>599</v>
      </c>
      <c r="L388" s="113" cm="1">
        <f t="array" ref="L388">AVERAGE(Calculations!W2:W9*Calculations!X2:'Calculations'!X9/100)</f>
        <v>1267.5074999999999</v>
      </c>
      <c r="M388" s="114">
        <f t="shared" ref="M388:M392" si="7">M376</f>
        <v>4.4401927437641726</v>
      </c>
      <c r="N388" s="110">
        <f>L388/M388</f>
        <v>285.46227002872644</v>
      </c>
      <c r="O388" s="195">
        <v>11</v>
      </c>
    </row>
    <row r="389" spans="1:15" ht="15.75" x14ac:dyDescent="0.25">
      <c r="A389" s="16" t="s">
        <v>356</v>
      </c>
      <c r="B389" s="137">
        <f t="shared" si="6"/>
        <v>5.2486187845303869</v>
      </c>
      <c r="K389" s="83" t="s">
        <v>600</v>
      </c>
      <c r="L389" s="88" cm="1">
        <f t="array" ref="L389">AVERAGE(Calculations!Y2:Y5*Calculations!Z2:'Calculations'!Z5/100)</f>
        <v>942</v>
      </c>
      <c r="M389" s="89">
        <f t="shared" si="7"/>
        <v>17.691964285714285</v>
      </c>
      <c r="N389" s="81">
        <f>L389/M389</f>
        <v>53.244511733535205</v>
      </c>
      <c r="O389" s="196"/>
    </row>
    <row r="390" spans="1:15" ht="16.5" thickBot="1" x14ac:dyDescent="0.3">
      <c r="A390" s="14" t="s">
        <v>357</v>
      </c>
      <c r="B390" s="139">
        <f t="shared" si="6"/>
        <v>1.9337016574585635</v>
      </c>
      <c r="K390" s="84" t="s">
        <v>601</v>
      </c>
      <c r="L390" s="88" cm="1">
        <f t="array" ref="L390">AVERAGE(Calculations!AA2:AA5*Calculations!AB2:'Calculations'!AB5/100)</f>
        <v>211.0675</v>
      </c>
      <c r="M390" s="89">
        <f t="shared" si="7"/>
        <v>2.3111111111111109</v>
      </c>
      <c r="N390" s="81">
        <f>L390/M390</f>
        <v>91.327283653846166</v>
      </c>
      <c r="O390" s="196"/>
    </row>
    <row r="391" spans="1:15" ht="15.75" x14ac:dyDescent="0.25">
      <c r="K391" s="84" t="s">
        <v>602</v>
      </c>
      <c r="L391" s="90">
        <v>0</v>
      </c>
      <c r="M391" s="89">
        <f t="shared" si="7"/>
        <v>2.2727272727272729</v>
      </c>
      <c r="N391" s="81">
        <v>0</v>
      </c>
      <c r="O391" s="196"/>
    </row>
    <row r="392" spans="1:15" ht="16.5" thickBot="1" x14ac:dyDescent="0.3">
      <c r="K392" s="85" t="s">
        <v>595</v>
      </c>
      <c r="L392" s="87">
        <f>Calculations!AE2*Calculations!AF2/100</f>
        <v>762.73</v>
      </c>
      <c r="M392" s="91">
        <f t="shared" si="7"/>
        <v>1.7441860465116279</v>
      </c>
      <c r="N392" s="106">
        <f>L392/M392</f>
        <v>437.29853333333335</v>
      </c>
      <c r="O392" s="197"/>
    </row>
    <row r="393" spans="1:15" ht="15.75" thickBot="1" x14ac:dyDescent="0.3">
      <c r="K393" s="188" t="s">
        <v>5221</v>
      </c>
      <c r="L393" s="189"/>
      <c r="M393" s="189"/>
      <c r="N393" s="189"/>
      <c r="O393" s="112"/>
    </row>
    <row r="394" spans="1:15" ht="15.75" x14ac:dyDescent="0.25">
      <c r="K394" s="107" t="s">
        <v>599</v>
      </c>
      <c r="L394" s="113" cm="1">
        <f t="array" ref="L394">AVERAGE(Calculations!AH2:AH20*Calculations!AI2:'Calculations'!AI20/100)</f>
        <v>532.26157894736843</v>
      </c>
      <c r="M394" s="114">
        <f t="shared" ref="M394:M398" si="8">M376</f>
        <v>4.4401927437641726</v>
      </c>
      <c r="N394" s="110">
        <f>L394/M394</f>
        <v>119.87353019638147</v>
      </c>
      <c r="O394" s="195">
        <v>42</v>
      </c>
    </row>
    <row r="395" spans="1:15" ht="15.75" x14ac:dyDescent="0.25">
      <c r="K395" s="83" t="s">
        <v>600</v>
      </c>
      <c r="L395" s="88" cm="1">
        <f t="array" ref="L395">AVERAGE(Calculations!AJ2:AJ10*Calculations!AK2:'Calculations'!AK10/100)</f>
        <v>70.351111111111123</v>
      </c>
      <c r="M395" s="89">
        <f t="shared" si="8"/>
        <v>17.691964285714285</v>
      </c>
      <c r="N395" s="81">
        <f>L395/M395</f>
        <v>3.9764443322959608</v>
      </c>
      <c r="O395" s="196"/>
    </row>
    <row r="396" spans="1:15" ht="15.75" x14ac:dyDescent="0.25">
      <c r="K396" s="84" t="s">
        <v>601</v>
      </c>
      <c r="L396" s="88" cm="1">
        <f t="array" ref="L396">AVERAGE(Calculations!AL2:AL11*Calculations!AM2:'Calculations'!AM11/100)</f>
        <v>321.01499999999999</v>
      </c>
      <c r="M396" s="89">
        <f t="shared" si="8"/>
        <v>2.3111111111111109</v>
      </c>
      <c r="N396" s="81">
        <f>L396/M396</f>
        <v>138.90072115384615</v>
      </c>
      <c r="O396" s="196"/>
    </row>
    <row r="397" spans="1:15" ht="15.75" x14ac:dyDescent="0.25">
      <c r="K397" s="84" t="s">
        <v>602</v>
      </c>
      <c r="L397" s="90" cm="1">
        <f t="array" ref="L397">AVERAGE(Calculations!AN2:AN8*Calculations!AO2:'Calculations'!AO8/100)</f>
        <v>46</v>
      </c>
      <c r="M397" s="89">
        <f t="shared" si="8"/>
        <v>2.2727272727272729</v>
      </c>
      <c r="N397" s="81">
        <f>L397/M397</f>
        <v>20.239999999999998</v>
      </c>
      <c r="O397" s="196"/>
    </row>
    <row r="398" spans="1:15" ht="16.5" thickBot="1" x14ac:dyDescent="0.3">
      <c r="K398" s="85" t="s">
        <v>595</v>
      </c>
      <c r="L398" s="87" cm="1">
        <f t="array" ref="L398">AVERAGE(Calculations!AP2:AP9*Calculations!AQ2:'Calculations'!AQ9/100)</f>
        <v>512.65625</v>
      </c>
      <c r="M398" s="91">
        <f t="shared" si="8"/>
        <v>1.7441860465116279</v>
      </c>
      <c r="N398" s="106">
        <f>L398/M398</f>
        <v>293.92291666666665</v>
      </c>
      <c r="O398" s="197"/>
    </row>
    <row r="399" spans="1:15" ht="15.75" thickBot="1" x14ac:dyDescent="0.3">
      <c r="K399" s="188" t="s">
        <v>5222</v>
      </c>
      <c r="L399" s="189"/>
      <c r="M399" s="189"/>
      <c r="N399" s="189"/>
      <c r="O399" s="112"/>
    </row>
    <row r="400" spans="1:15" ht="15.75" x14ac:dyDescent="0.25">
      <c r="K400" s="107" t="s">
        <v>599</v>
      </c>
      <c r="L400" s="113" cm="1">
        <f t="array" ref="L400">AVERAGE(Calculations!AS2:AS3*Calculations!AT2:'Calculations'!AT3/100)</f>
        <v>133.4</v>
      </c>
      <c r="M400" s="114">
        <f t="shared" ref="M400:M404" si="9">M376</f>
        <v>4.4401927437641726</v>
      </c>
      <c r="N400" s="110">
        <f>L400/M400</f>
        <v>30.043740823491859</v>
      </c>
      <c r="O400" s="195">
        <v>2</v>
      </c>
    </row>
    <row r="401" spans="11:15" ht="15.75" x14ac:dyDescent="0.25">
      <c r="K401" s="83" t="s">
        <v>600</v>
      </c>
      <c r="L401" s="88">
        <v>0</v>
      </c>
      <c r="M401" s="89">
        <f t="shared" si="9"/>
        <v>17.691964285714285</v>
      </c>
      <c r="N401" s="81">
        <v>0</v>
      </c>
      <c r="O401" s="196"/>
    </row>
    <row r="402" spans="11:15" ht="15.75" x14ac:dyDescent="0.25">
      <c r="K402" s="84" t="s">
        <v>601</v>
      </c>
      <c r="L402" s="88">
        <v>0</v>
      </c>
      <c r="M402" s="89">
        <f t="shared" si="9"/>
        <v>2.3111111111111109</v>
      </c>
      <c r="N402" s="81">
        <v>0</v>
      </c>
      <c r="O402" s="196"/>
    </row>
    <row r="403" spans="11:15" ht="15.75" x14ac:dyDescent="0.25">
      <c r="K403" s="84" t="s">
        <v>602</v>
      </c>
      <c r="L403" s="88">
        <v>0</v>
      </c>
      <c r="M403" s="89">
        <f t="shared" si="9"/>
        <v>2.2727272727272729</v>
      </c>
      <c r="N403" s="81">
        <v>0</v>
      </c>
      <c r="O403" s="196"/>
    </row>
    <row r="404" spans="11:15" ht="16.5" thickBot="1" x14ac:dyDescent="0.3">
      <c r="K404" s="85" t="s">
        <v>595</v>
      </c>
      <c r="L404" s="87">
        <f>Calculations!BA2*Calculations!BB2/100</f>
        <v>800</v>
      </c>
      <c r="M404" s="91">
        <f t="shared" si="9"/>
        <v>1.7441860465116279</v>
      </c>
      <c r="N404" s="106">
        <f>L404/M404</f>
        <v>458.66666666666669</v>
      </c>
      <c r="O404" s="197"/>
    </row>
    <row r="405" spans="11:15" ht="15.75" thickBot="1" x14ac:dyDescent="0.3">
      <c r="K405" s="188" t="s">
        <v>5223</v>
      </c>
      <c r="L405" s="189"/>
      <c r="M405" s="189"/>
      <c r="N405" s="189"/>
      <c r="O405" s="112"/>
    </row>
    <row r="406" spans="11:15" ht="15.75" x14ac:dyDescent="0.25">
      <c r="K406" s="107" t="s">
        <v>599</v>
      </c>
      <c r="L406" s="113" cm="1">
        <f t="array" ref="L406">AVERAGE(Calculations!BD2:BD7*Calculations!BE2:'Calculations'!BE7/100)</f>
        <v>34.491666666666667</v>
      </c>
      <c r="M406" s="114">
        <f t="shared" ref="M406:M410" si="10">M376</f>
        <v>4.4401927437641726</v>
      </c>
      <c r="N406" s="110">
        <f>L406/M406</f>
        <v>7.7680561761889555</v>
      </c>
      <c r="O406" s="195">
        <v>8</v>
      </c>
    </row>
    <row r="407" spans="11:15" ht="15.75" x14ac:dyDescent="0.25">
      <c r="K407" s="83" t="s">
        <v>600</v>
      </c>
      <c r="L407" s="88">
        <f>Calculations!BF2*Calculations!BG2/100</f>
        <v>60.3</v>
      </c>
      <c r="M407" s="89">
        <f t="shared" si="10"/>
        <v>17.691964285714285</v>
      </c>
      <c r="N407" s="81">
        <f>L407/M407</f>
        <v>3.4083270249810749</v>
      </c>
      <c r="O407" s="196"/>
    </row>
    <row r="408" spans="11:15" ht="15.75" x14ac:dyDescent="0.25">
      <c r="K408" s="84" t="s">
        <v>601</v>
      </c>
      <c r="L408" s="88">
        <v>0</v>
      </c>
      <c r="M408" s="89">
        <f t="shared" si="10"/>
        <v>2.3111111111111109</v>
      </c>
      <c r="N408" s="81">
        <v>0</v>
      </c>
      <c r="O408" s="196"/>
    </row>
    <row r="409" spans="11:15" ht="15.75" x14ac:dyDescent="0.25">
      <c r="K409" s="84" t="s">
        <v>602</v>
      </c>
      <c r="L409" s="90">
        <f>Calculations!BJ2*Calculations!BK2/100</f>
        <v>52</v>
      </c>
      <c r="M409" s="89">
        <f t="shared" si="10"/>
        <v>2.2727272727272729</v>
      </c>
      <c r="N409" s="81">
        <f>L409/M409</f>
        <v>22.88</v>
      </c>
      <c r="O409" s="196"/>
    </row>
    <row r="410" spans="11:15" ht="16.5" thickBot="1" x14ac:dyDescent="0.3">
      <c r="K410" s="85" t="s">
        <v>595</v>
      </c>
      <c r="L410" s="87">
        <f>Calculations!BL2*Calculations!BM2/100</f>
        <v>37.145000000000003</v>
      </c>
      <c r="M410" s="91">
        <f t="shared" si="10"/>
        <v>1.7441860465116279</v>
      </c>
      <c r="N410" s="106">
        <f>L410/M410</f>
        <v>21.296466666666667</v>
      </c>
      <c r="O410" s="197"/>
    </row>
    <row r="411" spans="11:15" ht="15.75" thickBot="1" x14ac:dyDescent="0.3">
      <c r="K411" s="188" t="s">
        <v>5224</v>
      </c>
      <c r="L411" s="189"/>
      <c r="M411" s="189"/>
      <c r="N411" s="189"/>
      <c r="O411" s="112"/>
    </row>
    <row r="412" spans="11:15" ht="15.75" x14ac:dyDescent="0.25">
      <c r="K412" s="107" t="s">
        <v>599</v>
      </c>
      <c r="L412" s="113" cm="1">
        <f t="array" ref="L412">AVERAGE(Calculations!BO2:BO6*Calculations!BP2:'Calculations'!BP6/100)</f>
        <v>66.12</v>
      </c>
      <c r="M412" s="114">
        <f t="shared" ref="M412:M416" si="11">M376</f>
        <v>4.4401927437641726</v>
      </c>
      <c r="N412" s="110">
        <f>L412/M412</f>
        <v>14.891245451643792</v>
      </c>
      <c r="O412" s="195">
        <v>8</v>
      </c>
    </row>
    <row r="413" spans="11:15" ht="15.75" x14ac:dyDescent="0.25">
      <c r="K413" s="83" t="s">
        <v>600</v>
      </c>
      <c r="L413" s="88">
        <v>0</v>
      </c>
      <c r="M413" s="89">
        <f t="shared" si="11"/>
        <v>17.691964285714285</v>
      </c>
      <c r="N413" s="81">
        <f>L413/M413</f>
        <v>0</v>
      </c>
      <c r="O413" s="196"/>
    </row>
    <row r="414" spans="11:15" ht="15.75" x14ac:dyDescent="0.25">
      <c r="K414" s="84" t="s">
        <v>601</v>
      </c>
      <c r="L414" s="88">
        <f>Calculations!BS2*Calculations!BT2/100</f>
        <v>20</v>
      </c>
      <c r="M414" s="89">
        <f t="shared" si="11"/>
        <v>2.3111111111111109</v>
      </c>
      <c r="N414" s="81">
        <f>L414/M414</f>
        <v>8.6538461538461551</v>
      </c>
      <c r="O414" s="196"/>
    </row>
    <row r="415" spans="11:15" ht="15.75" x14ac:dyDescent="0.25">
      <c r="K415" s="84" t="s">
        <v>602</v>
      </c>
      <c r="L415" s="90">
        <f>Calculations!BU2*Calculations!BV2/100</f>
        <v>55</v>
      </c>
      <c r="M415" s="89">
        <f t="shared" si="11"/>
        <v>2.2727272727272729</v>
      </c>
      <c r="N415" s="81">
        <f>L415/M415</f>
        <v>24.2</v>
      </c>
      <c r="O415" s="196"/>
    </row>
    <row r="416" spans="11:15" ht="16.5" thickBot="1" x14ac:dyDescent="0.3">
      <c r="K416" s="85" t="s">
        <v>595</v>
      </c>
      <c r="L416" s="87">
        <f>Calculations!BW2*Calculations!BX2/100</f>
        <v>1000</v>
      </c>
      <c r="M416" s="91">
        <f t="shared" si="11"/>
        <v>1.7441860465116279</v>
      </c>
      <c r="N416" s="106">
        <f>L416/M416</f>
        <v>573.33333333333337</v>
      </c>
      <c r="O416" s="197"/>
    </row>
    <row r="417" spans="11:15" ht="15.75" thickBot="1" x14ac:dyDescent="0.3">
      <c r="K417" s="188" t="s">
        <v>5225</v>
      </c>
      <c r="L417" s="189"/>
      <c r="M417" s="189"/>
      <c r="N417" s="189"/>
      <c r="O417" s="112"/>
    </row>
    <row r="418" spans="11:15" ht="15.75" x14ac:dyDescent="0.25">
      <c r="K418" s="107" t="s">
        <v>599</v>
      </c>
      <c r="L418" s="113" cm="1">
        <f t="array" ref="L418">AVERAGE(Calculations!BZ2:BZ4*Calculations!CA2:'Calculations'!CA4/100)</f>
        <v>44.666666666666664</v>
      </c>
      <c r="M418" s="114">
        <f t="shared" ref="M418:M422" si="12">M376</f>
        <v>4.4401927437641726</v>
      </c>
      <c r="N418" s="110">
        <f>L418/M418</f>
        <v>10.059623364187678</v>
      </c>
      <c r="O418" s="195">
        <v>5</v>
      </c>
    </row>
    <row r="419" spans="11:15" ht="15.75" x14ac:dyDescent="0.25">
      <c r="K419" s="83" t="s">
        <v>600</v>
      </c>
      <c r="L419" s="88">
        <v>0</v>
      </c>
      <c r="M419" s="89">
        <f t="shared" si="12"/>
        <v>17.691964285714285</v>
      </c>
      <c r="N419" s="81">
        <f>L419/M419</f>
        <v>0</v>
      </c>
      <c r="O419" s="196"/>
    </row>
    <row r="420" spans="11:15" ht="15.75" x14ac:dyDescent="0.25">
      <c r="K420" s="84" t="s">
        <v>601</v>
      </c>
      <c r="L420" s="88" cm="1">
        <f t="array" ref="L420">AVERAGE(Calculations!CD2:CD3*Calculations!CE2:'Calculations'!CE3/100)</f>
        <v>773</v>
      </c>
      <c r="M420" s="89">
        <f t="shared" si="12"/>
        <v>2.3111111111111109</v>
      </c>
      <c r="N420" s="81">
        <f>L420/M420</f>
        <v>334.47115384615387</v>
      </c>
      <c r="O420" s="196"/>
    </row>
    <row r="421" spans="11:15" ht="15.75" x14ac:dyDescent="0.25">
      <c r="K421" s="84" t="s">
        <v>602</v>
      </c>
      <c r="L421" s="90" cm="1">
        <f t="array" ref="L421">AVERAGE(Calculations!J51:J74*Calculations!K51:'Calculations'!K74/100)</f>
        <v>0</v>
      </c>
      <c r="M421" s="89">
        <f t="shared" si="12"/>
        <v>2.2727272727272729</v>
      </c>
      <c r="N421" s="81">
        <v>0</v>
      </c>
      <c r="O421" s="196"/>
    </row>
    <row r="422" spans="11:15" ht="16.5" thickBot="1" x14ac:dyDescent="0.3">
      <c r="K422" s="85" t="s">
        <v>595</v>
      </c>
      <c r="L422" s="87" cm="1">
        <f t="array" ref="L422">AVERAGE(Calculations!M51:M94*Calculations!N51:'Calculations'!N94/100)</f>
        <v>0</v>
      </c>
      <c r="M422" s="91">
        <f t="shared" si="12"/>
        <v>1.7441860465116279</v>
      </c>
      <c r="N422" s="81">
        <v>0</v>
      </c>
      <c r="O422" s="197"/>
    </row>
  </sheetData>
  <autoFilter ref="A1:AK363" xr:uid="{85472D37-39B3-4B67-B146-F109096885C4}"/>
  <mergeCells count="26">
    <mergeCell ref="O418:O422"/>
    <mergeCell ref="K375:O375"/>
    <mergeCell ref="K417:N417"/>
    <mergeCell ref="O376:O380"/>
    <mergeCell ref="O382:O386"/>
    <mergeCell ref="O388:O392"/>
    <mergeCell ref="O394:O398"/>
    <mergeCell ref="O400:O404"/>
    <mergeCell ref="O406:O410"/>
    <mergeCell ref="O412:O416"/>
    <mergeCell ref="K381:N381"/>
    <mergeCell ref="K387:N387"/>
    <mergeCell ref="K393:N393"/>
    <mergeCell ref="AB374:AC374"/>
    <mergeCell ref="T374:U374"/>
    <mergeCell ref="V374:W374"/>
    <mergeCell ref="X374:Y374"/>
    <mergeCell ref="M367:AF367"/>
    <mergeCell ref="AD374:AE374"/>
    <mergeCell ref="P374:Q374"/>
    <mergeCell ref="R374:S374"/>
    <mergeCell ref="K367:L367"/>
    <mergeCell ref="K399:N399"/>
    <mergeCell ref="K405:N405"/>
    <mergeCell ref="K411:N411"/>
    <mergeCell ref="Z374:AA374"/>
  </mergeCells>
  <hyperlinks>
    <hyperlink ref="AC93" r:id="rId1" xr:uid="{3DBC5312-1E74-4E1C-AB16-78228224E168}"/>
    <hyperlink ref="AC81" r:id="rId2" xr:uid="{CF494B26-96C3-4FC0-AE93-25B1454D410D}"/>
    <hyperlink ref="AC73" r:id="rId3" xr:uid="{6F376F1E-DDD6-4BC0-8001-ADB80C25B941}"/>
    <hyperlink ref="AC2" r:id="rId4" xr:uid="{D3CCFE21-126B-44E0-A450-AF5FB7804AEB}"/>
    <hyperlink ref="AC90:AC93" r:id="rId5" display="https://www.ener2crowd.com/it/progetti/dettaglio/185-comunitagrave-energetica-4?_gl=1*1ws13mq*_up*MQ..&amp;gclid=CjwKCAjw-O6zBhASEiwAOHeGxbbww6yrUwosi5Q1mrnLA4PSrmOLG9F0a0I-4rs0Y3uo81NKhrIorhoCumMQAvD_BwE; personal communication with Ener2Crowd" xr:uid="{848A0430-7935-4DEB-89FF-1FD0DCAE9C03}"/>
    <hyperlink ref="AC100" r:id="rId6" display="https://esg.nexteconomia.org/utente/cer-di-sassofeltrio/" xr:uid="{46F9E5A2-9029-4DF0-A5BA-FD074B8F45EF}"/>
    <hyperlink ref="AC124" r:id="rId7" display="http://95.110.227.90/rosetocomunitaenergetica/Contenuto.asp?pg=1&amp;ipg=5&amp;lg=1" xr:uid="{E05E700A-8A43-41A9-9749-CA59AA81150D}"/>
    <hyperlink ref="AC127" r:id="rId8" display="https://www.enostra.it/nasce-la-comunita-energetica-di-santeramo-in-colle-ba/" xr:uid="{B9708473-EFC8-48EC-A155-952B6605DE88}"/>
    <hyperlink ref="AC129" r:id="rId9" display="https://www.enostra.it/nasce-la-cer-bolenergia-un-esempio-di-solidarieta-tra-cittadini/" xr:uid="{54F19075-7CD5-4A54-A1D2-372F6D33B419}"/>
    <hyperlink ref="AC133" r:id="rId10" xr:uid="{0C0075D4-AF32-4903-95B3-98F4E91B3335}"/>
    <hyperlink ref="AC132" r:id="rId11" xr:uid="{28786CEA-F21B-4556-BFB0-F0A893754815}"/>
    <hyperlink ref="AC130" r:id="rId12" xr:uid="{4BBAF5E4-F56B-427C-93ED-2840CBB4865A}"/>
    <hyperlink ref="AC137" r:id="rId13" xr:uid="{434D1776-557C-4E72-B198-DAE4542518A6}"/>
    <hyperlink ref="AC22" r:id="rId14" display="https://esg.nexteconomia.org/utente/ezio-chiaramello/" xr:uid="{21286CC4-8EB0-4E6B-856B-28EFC3C0C11A}"/>
    <hyperlink ref="AC143" r:id="rId15" display="https://esg.nexteconomia.org/utente/cerbermf/" xr:uid="{52A0ACDA-FB45-4345-967F-9D0F66656DF1}"/>
    <hyperlink ref="AC146" r:id="rId16" xr:uid="{7B485A4D-F1B2-46EB-8620-D4C1AF4FF476}"/>
    <hyperlink ref="AB145" r:id="rId17" display="https://rete-ries.it/soci/notizie-soci/co-energia-un-anno-di-incontri-sulle-cers/" xr:uid="{A3371114-92F5-49A4-8A01-B38D57CDA9CA}"/>
    <hyperlink ref="AC147" r:id="rId18" xr:uid="{DEBDD19F-F5E8-4951-ACFC-E86A2FCA1768}"/>
    <hyperlink ref="AC148" r:id="rId19" xr:uid="{6D3D3DBD-9577-466F-B078-30833761EC3A}"/>
    <hyperlink ref="AC158" r:id="rId20" display="https://www.rse-web.it/wp-content/uploads/2024/09/Elaborazione-del-Modello-di-Piano-dazione-locale-per-le-CER-del-Modello-di-Piano-organizzativo-di-comunita-e-integrazione-della-risorsa-geotermica.pdf" xr:uid="{5B8D9B78-65D9-4E91-83C6-898DA1ECBD10}"/>
    <hyperlink ref="AC159" r:id="rId21" display="https://esg.nexteconomia.org/utente/cersrinnovaanguillara/" xr:uid="{3FB240D5-9743-4457-B47A-BF5F454AE256}"/>
    <hyperlink ref="AC176" r:id="rId22" display="https://esg.nexteconomia.org/utente/sun-fai-cers/; GSE portal" xr:uid="{A6497865-EF60-4C76-A683-51C48E1C74EB}"/>
    <hyperlink ref="AC203" r:id="rId23" xr:uid="{BBE6EA89-4875-48E7-A41F-7FF468295595}"/>
    <hyperlink ref="AC229" r:id="rId24" display="https://www.gse.it/servizi-per-te/autoconsumo/mappa-interattiva-delle-cabine-primarie; v" xr:uid="{B1D07555-F7F8-43B2-8CE9-4832CADE286E}"/>
    <hyperlink ref="AC276" r:id="rId25" xr:uid="{DFE14C6F-31FC-4073-B612-618465F85170}"/>
    <hyperlink ref="AC277" r:id="rId26" display="https://www.comune.palermo.it/palermo-informa-dettaglio.php?id=37494&amp;tp=1#" xr:uid="{721A66F3-CDEA-417D-9598-EFA214C8C7B9}"/>
    <hyperlink ref="AC278" r:id="rId27" xr:uid="{AB7B2FCB-1911-4157-B776-531E4E24AD36}"/>
    <hyperlink ref="AC282" r:id="rId28" display="https://cer-amica.webnode.it/" xr:uid="{F16E0DA6-D505-4E58-B6CF-6B64919594A6}"/>
    <hyperlink ref="AC287" r:id="rId29" display="https://lozza.comunitaenergeticarinnovabile.it/; " xr:uid="{7B660519-BD9E-4168-A15F-B05ACD01B218}"/>
    <hyperlink ref="AC294" r:id="rId30" display="https://cercami.info/" xr:uid="{80590CB7-B705-468B-939F-588181EF3466}"/>
    <hyperlink ref="AC320" r:id="rId31" xr:uid="{CCD2533E-7A8A-4708-AA47-69E94F48077A}"/>
    <hyperlink ref="AC283" r:id="rId32" xr:uid="{185FDACA-F99B-4D0D-9847-2252C1EAB787}"/>
    <hyperlink ref="AC284" r:id="rId33" xr:uid="{103D6D74-93B8-403F-9C84-F37C5494128E}"/>
    <hyperlink ref="AC285" r:id="rId34" display="https://www.cer-anpci.it/cer-ternate/?" xr:uid="{CF42702D-4828-43B4-833D-85D7CA8AF8C1}"/>
    <hyperlink ref="AC286" r:id="rId35" display="https://www.unioncamere.gov.it/sistema-camerale/news-dal-sistema-camerale/varese-costituita-la-comunita-energetica-rinnovabile-di-malpensafiere?" xr:uid="{32547F8B-4DA4-4976-B83D-A2028C4B9907}"/>
    <hyperlink ref="AC288" r:id="rId36" location="google_vignette" display="https://www.luinonotizie.it/2024/09/24/valceresio-nasce-la-comunita-energetica-delle-5-vette/492620?utm_source=chatgpt.com#google_vignette" xr:uid="{B30271B4-0D7A-4E41-BF6F-F26CE09FA860}"/>
    <hyperlink ref="AC289" r:id="rId37" xr:uid="{EA9946F3-366C-4109-B400-872067D60040}"/>
    <hyperlink ref="AC290" r:id="rId38" display="https://www.ciaocomo.it/2024/12/06/nasce-la-cers-del-lario-ets-la-comunita-energetica-di-11-comuni-e-4-imprese/291876/?utm_source=chatgpt.com" xr:uid="{6348E61E-46E3-459F-A0F3-B9A1585AD362}"/>
    <hyperlink ref="AC292" r:id="rId39" xr:uid="{BB9B5044-5BC9-46B9-BA5E-722DCE67CC13}"/>
    <hyperlink ref="AC295" r:id="rId40" display="https://www.greenflex.com/it/progetti/referenze/impianto-fotovoltaico-chiavi-in-mano-edificio16/" xr:uid="{21975034-02E2-4650-940B-A65234D44B3D}"/>
    <hyperlink ref="AC296" r:id="rId41" xr:uid="{161BA0D9-D353-4AE4-A7D2-3C751B0BDC24}"/>
    <hyperlink ref="AC298" r:id="rId42" xr:uid="{E1CE2594-0D12-4D9B-AD78-AB7ACF5DB0DB}"/>
    <hyperlink ref="AC297" r:id="rId43" xr:uid="{5B4972C6-96A9-4DFF-8BB1-F480AD19CD13}"/>
    <hyperlink ref="AC299" r:id="rId44" xr:uid="{9C248E09-D29C-4A35-AD51-A4992F66CDE0}"/>
    <hyperlink ref="AC300" r:id="rId45" xr:uid="{535F9108-884F-4E55-9A17-918BEB3B87B6}"/>
    <hyperlink ref="AC301" r:id="rId46" display="https://www.lombardia.confcooperative.it/Dettaglio/ArtMID/523/ArticleID/4932/Parte-la-CER-di-Ronco-Briantino?utm_source=chatgpt.com" xr:uid="{DD5E3300-E9F0-4DA8-BD4B-CA21A795B901}"/>
    <hyperlink ref="AC302" r:id="rId47" xr:uid="{CFD65C97-7BBD-4B83-BD0F-AF403BE85DA7}"/>
    <hyperlink ref="AC303" r:id="rId48" xr:uid="{E38F6A8C-186D-422B-9407-E3E727282DD1}"/>
    <hyperlink ref="AC304" r:id="rId49" display="https://www.legambientelodi.it/aderire-alla-cers-comunita-solare-lodi-e-piacenza/?utm_source=chatgpt.com" xr:uid="{F7093AC5-76F6-4575-B3FC-F479E82CC523}"/>
    <hyperlink ref="AC305" r:id="rId50" xr:uid="{3F286AB1-3B98-4652-9911-1A897AFBCA8B}"/>
    <hyperlink ref="AC306" r:id="rId51" xr:uid="{550D6F26-B20A-491B-9DF0-41F489B74BDF}"/>
    <hyperlink ref="AC307" r:id="rId52" xr:uid="{E8179DDC-ACAD-4575-BD42-8A18FC3717F4}"/>
    <hyperlink ref="AC308" r:id="rId53" xr:uid="{A656A792-907E-4AFA-AC41-C8F8B6EFFAA0}"/>
    <hyperlink ref="AC309" r:id="rId54" xr:uid="{F7483C65-3FB5-4278-801E-5BAC16618245}"/>
    <hyperlink ref="AC310" r:id="rId55" display="https://www.sorgenia.it/content/approvato-il-progetto-la-comunita-energetica-di-casalpusterlengo?" xr:uid="{AE62ADF3-4C10-4976-A641-B5D322C28217}"/>
    <hyperlink ref="AC311" r:id="rId56" xr:uid="{E0DAA6A4-4A1F-4BED-BA88-A6ED807FAE7E}"/>
    <hyperlink ref="AC312" r:id="rId57" xr:uid="{29D4E61D-802C-42F7-B78C-9960A035323E}"/>
    <hyperlink ref="AC313" r:id="rId58" xr:uid="{AAE4F4CA-0756-4905-80C2-EEF0298D1D82}"/>
    <hyperlink ref="AC314" r:id="rId59" xr:uid="{676B0F97-9447-45C0-A046-9E08AC4D896C}"/>
    <hyperlink ref="AC315" r:id="rId60" xr:uid="{A43BFD46-E325-45A7-AD63-BA3CA0E2E7EF}"/>
    <hyperlink ref="AC316" r:id="rId61" xr:uid="{42971EE6-9B2D-42A2-B150-33FE0561D62B}"/>
    <hyperlink ref="AC317" r:id="rId62" xr:uid="{8B8AF17B-FCC9-4B46-9513-6C713A68713A}"/>
    <hyperlink ref="AC321" r:id="rId63" display="https://www.cer-anpci.it/wp-content/uploads/2024/02/Palazzolo-SullOglio_2023_CER-Studio-di-Fattibilita.pdf?" xr:uid="{D84C9FBC-BE9C-4CAD-8E0F-C1B3DF35ABE3}"/>
    <hyperlink ref="AC325" r:id="rId64" xr:uid="{814EC9CD-C98B-419A-A10A-F996523C1192}"/>
    <hyperlink ref="AC328" r:id="rId65" xr:uid="{3CF4BEFA-1277-45EA-8E68-2FB774D10625}"/>
    <hyperlink ref="AC330" r:id="rId66" xr:uid="{53327BCF-E04C-4A21-AABD-122DE082488B}"/>
    <hyperlink ref="AC355" r:id="rId67" xr:uid="{E46978E8-B5EB-444E-ACC0-79ECB768F394}"/>
    <hyperlink ref="AC356" r:id="rId68" display="https://cremonasera.it/cronaca/nasce-a-gussola-la-prima-comunit-energetica-rinnovabile-fondazione-cer-top-energie-ets-coinvolti-6-comuni-5-parrocchie-e-3-enti-del-terzo-settore-gi-pronti-altri-5-progetti" xr:uid="{E77933D0-AF97-494F-8E12-75D21A9B1F87}"/>
    <hyperlink ref="AC47" r:id="rId69" xr:uid="{47419C2F-2F90-4E95-8323-A747D1041CD5}"/>
    <hyperlink ref="AC50" r:id="rId70" xr:uid="{97A9E011-BBA9-46CB-B8D5-1FF58A99464F}"/>
    <hyperlink ref="AC66" r:id="rId71" xr:uid="{023F6D35-F55B-4CBF-933C-59595313724E}"/>
    <hyperlink ref="AC104" r:id="rId72" xr:uid="{485984A0-AE7F-4BAF-B130-791E0643D5D6}"/>
    <hyperlink ref="AC112" r:id="rId73" display="https://www.cerpiugreen.it/" xr:uid="{606479EB-8504-43D4-99EF-DFAEF7284039}"/>
    <hyperlink ref="AC182" r:id="rId74" xr:uid="{40B3B92A-75DA-4ECB-9076-BFFC5D367BFF}"/>
    <hyperlink ref="AC43" r:id="rId75" xr:uid="{3752C5DB-11FD-4D16-B2B7-22AF6DDCFB7C}"/>
    <hyperlink ref="AC23" r:id="rId76" xr:uid="{C18903D9-E44C-4393-9785-136A420C5630}"/>
    <hyperlink ref="AC110" r:id="rId77" xr:uid="{40FC96AE-8946-4160-93DC-2D079E8DD3AB}"/>
    <hyperlink ref="AC144" r:id="rId78" xr:uid="{9306B84D-C469-434B-8363-8708FDFEAA67}"/>
    <hyperlink ref="AC162" r:id="rId79" xr:uid="{1133157D-512F-4B19-8A68-ABAD511B8596}"/>
    <hyperlink ref="AC185" r:id="rId80" display="https://sinergiecondivise.it/comunita-energetiche-rinnovabili/" xr:uid="{E2A112B1-32B3-4754-A6CB-36DB4A2E7A58}"/>
    <hyperlink ref="AC155" r:id="rId81" xr:uid="{141C29E8-AEC4-403A-B7B6-11168C334A4B}"/>
    <hyperlink ref="AC114" r:id="rId82" xr:uid="{6FE81C7C-25B8-4236-A401-0BF076348C2A}"/>
    <hyperlink ref="AC118" r:id="rId83" xr:uid="{DF926880-B480-4781-91EA-89B97B1D031C}"/>
    <hyperlink ref="AC120" r:id="rId84" xr:uid="{968FD4B8-F89D-4702-B44C-6F96C73EE3EB}"/>
    <hyperlink ref="AC135" r:id="rId85" xr:uid="{29953172-5282-4299-AAC0-A97ED3E8C628}"/>
    <hyperlink ref="AC136" r:id="rId86" xr:uid="{1AA015A5-EC47-44A7-AA56-502591A35998}"/>
    <hyperlink ref="AC166" r:id="rId87" xr:uid="{DCDD6CA3-C215-4659-9397-F22B3E697086}"/>
  </hyperlinks>
  <pageMargins left="0.7" right="0.7" top="0.75" bottom="0.75" header="0.3" footer="0.3"/>
  <pageSetup paperSize="9" orientation="portrait" verticalDpi="0" r:id="rId8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06BF-098B-40D1-B4C6-632CEFC21634}">
  <sheetPr codeName="Sheet4"/>
  <dimension ref="A1:CI97"/>
  <sheetViews>
    <sheetView topLeftCell="A15" workbookViewId="0">
      <selection activeCell="H9" sqref="H9"/>
    </sheetView>
  </sheetViews>
  <sheetFormatPr defaultRowHeight="15" x14ac:dyDescent="0.25"/>
  <cols>
    <col min="24" max="24" width="12" customWidth="1"/>
    <col min="26" max="26" width="16.85546875" customWidth="1"/>
    <col min="28" max="28" width="12.7109375" customWidth="1"/>
    <col min="30" max="30" width="11.7109375" customWidth="1"/>
    <col min="32" max="32" width="17" customWidth="1"/>
    <col min="35" max="35" width="11.42578125" customWidth="1"/>
    <col min="37" max="37" width="17" customWidth="1"/>
    <col min="39" max="39" width="11.5703125" customWidth="1"/>
    <col min="41" max="41" width="10.5703125" customWidth="1"/>
    <col min="43" max="43" width="17" customWidth="1"/>
    <col min="46" max="46" width="7" customWidth="1"/>
    <col min="48" max="48" width="10.85546875" customWidth="1"/>
    <col min="50" max="50" width="6.85546875" customWidth="1"/>
    <col min="52" max="52" width="5.5703125" customWidth="1"/>
    <col min="54" max="54" width="11.140625" customWidth="1"/>
    <col min="81" max="81" width="12.42578125" customWidth="1"/>
  </cols>
  <sheetData>
    <row r="1" spans="1:87" ht="15.75" x14ac:dyDescent="0.25">
      <c r="A1" s="203" t="s">
        <v>5226</v>
      </c>
      <c r="B1" s="204"/>
      <c r="C1" s="203" t="s">
        <v>5227</v>
      </c>
      <c r="D1" s="204"/>
      <c r="E1" s="203" t="s">
        <v>5228</v>
      </c>
      <c r="F1" s="204"/>
      <c r="G1" s="203" t="s">
        <v>5229</v>
      </c>
      <c r="H1" s="204"/>
      <c r="I1" s="203" t="s">
        <v>5230</v>
      </c>
      <c r="J1" s="204"/>
      <c r="L1" s="203" t="s">
        <v>5231</v>
      </c>
      <c r="M1" s="204"/>
      <c r="N1" s="203" t="s">
        <v>5235</v>
      </c>
      <c r="O1" s="204"/>
      <c r="P1" s="203" t="s">
        <v>5232</v>
      </c>
      <c r="Q1" s="204"/>
      <c r="R1" s="203" t="s">
        <v>5233</v>
      </c>
      <c r="S1" s="204"/>
      <c r="T1" s="203" t="s">
        <v>5234</v>
      </c>
      <c r="U1" s="204"/>
      <c r="W1" s="203" t="s">
        <v>5236</v>
      </c>
      <c r="X1" s="204"/>
      <c r="Y1" s="203" t="s">
        <v>5237</v>
      </c>
      <c r="Z1" s="204"/>
      <c r="AA1" s="203" t="s">
        <v>5238</v>
      </c>
      <c r="AB1" s="204"/>
      <c r="AC1" s="203" t="s">
        <v>5239</v>
      </c>
      <c r="AD1" s="204"/>
      <c r="AE1" s="203" t="s">
        <v>5240</v>
      </c>
      <c r="AF1" s="204"/>
      <c r="AH1" s="203" t="s">
        <v>5241</v>
      </c>
      <c r="AI1" s="204"/>
      <c r="AJ1" s="203" t="s">
        <v>5242</v>
      </c>
      <c r="AK1" s="204"/>
      <c r="AL1" s="203" t="s">
        <v>5243</v>
      </c>
      <c r="AM1" s="204"/>
      <c r="AN1" s="203" t="s">
        <v>5244</v>
      </c>
      <c r="AO1" s="204"/>
      <c r="AP1" s="203" t="s">
        <v>5245</v>
      </c>
      <c r="AQ1" s="204"/>
      <c r="AS1" s="203" t="s">
        <v>5246</v>
      </c>
      <c r="AT1" s="204"/>
      <c r="AU1" s="203" t="s">
        <v>5247</v>
      </c>
      <c r="AV1" s="204"/>
      <c r="AW1" s="203" t="s">
        <v>5248</v>
      </c>
      <c r="AX1" s="204"/>
      <c r="AY1" s="203" t="s">
        <v>5249</v>
      </c>
      <c r="AZ1" s="204"/>
      <c r="BA1" s="203" t="s">
        <v>5250</v>
      </c>
      <c r="BB1" s="204"/>
      <c r="BD1" s="203" t="s">
        <v>5251</v>
      </c>
      <c r="BE1" s="204"/>
      <c r="BF1" s="203" t="s">
        <v>5252</v>
      </c>
      <c r="BG1" s="204"/>
      <c r="BH1" s="203" t="s">
        <v>5253</v>
      </c>
      <c r="BI1" s="204"/>
      <c r="BJ1" s="203" t="s">
        <v>5254</v>
      </c>
      <c r="BK1" s="204"/>
      <c r="BL1" s="203" t="s">
        <v>5255</v>
      </c>
      <c r="BM1" s="204"/>
      <c r="BO1" s="203" t="s">
        <v>5256</v>
      </c>
      <c r="BP1" s="204"/>
      <c r="BQ1" s="203" t="s">
        <v>5257</v>
      </c>
      <c r="BR1" s="204"/>
      <c r="BS1" s="203" t="s">
        <v>5258</v>
      </c>
      <c r="BT1" s="204"/>
      <c r="BU1" s="203" t="s">
        <v>5259</v>
      </c>
      <c r="BV1" s="204"/>
      <c r="BW1" s="203" t="s">
        <v>5260</v>
      </c>
      <c r="BX1" s="204"/>
      <c r="BZ1" s="203" t="s">
        <v>5261</v>
      </c>
      <c r="CA1" s="204"/>
      <c r="CB1" s="203" t="s">
        <v>5262</v>
      </c>
      <c r="CC1" s="204"/>
      <c r="CD1" s="203" t="s">
        <v>5263</v>
      </c>
      <c r="CE1" s="204"/>
      <c r="CF1" s="203" t="s">
        <v>5264</v>
      </c>
      <c r="CG1" s="204"/>
      <c r="CH1" s="203" t="s">
        <v>5265</v>
      </c>
      <c r="CI1" s="204"/>
    </row>
    <row r="2" spans="1:87" x14ac:dyDescent="0.25">
      <c r="A2" s="92">
        <v>188</v>
      </c>
      <c r="B2" s="93">
        <v>100</v>
      </c>
      <c r="C2" s="94">
        <v>97</v>
      </c>
      <c r="D2" s="2">
        <v>73</v>
      </c>
      <c r="E2" s="94">
        <v>1300</v>
      </c>
      <c r="F2" s="93">
        <v>23</v>
      </c>
      <c r="G2" s="94">
        <v>20</v>
      </c>
      <c r="H2" s="1">
        <v>100</v>
      </c>
      <c r="I2" s="94">
        <v>1300</v>
      </c>
      <c r="J2" s="93">
        <v>77</v>
      </c>
      <c r="L2" s="1">
        <v>188</v>
      </c>
      <c r="M2" s="1">
        <v>100</v>
      </c>
      <c r="N2" s="2">
        <v>45</v>
      </c>
      <c r="O2" s="26">
        <v>11.1</v>
      </c>
      <c r="P2" s="2">
        <v>1300</v>
      </c>
      <c r="Q2" s="1">
        <v>23</v>
      </c>
      <c r="R2" s="2">
        <v>20</v>
      </c>
      <c r="S2" s="1">
        <v>100</v>
      </c>
      <c r="T2" s="2">
        <v>1300</v>
      </c>
      <c r="U2" s="1">
        <v>77</v>
      </c>
      <c r="W2" s="2">
        <v>15</v>
      </c>
      <c r="X2" s="2">
        <v>100</v>
      </c>
      <c r="Y2" s="26">
        <v>2568</v>
      </c>
      <c r="Z2" s="26">
        <v>50</v>
      </c>
      <c r="AA2" s="26">
        <v>1500</v>
      </c>
      <c r="AB2" s="26">
        <v>30</v>
      </c>
      <c r="AE2" s="26">
        <f>10+27+760+60</f>
        <v>857</v>
      </c>
      <c r="AF2" s="26">
        <v>89</v>
      </c>
      <c r="AH2" s="2">
        <v>97</v>
      </c>
      <c r="AI2" s="2">
        <v>7</v>
      </c>
      <c r="AJ2" s="2">
        <v>97</v>
      </c>
      <c r="AK2" s="2">
        <v>73</v>
      </c>
      <c r="AL2" s="2">
        <v>97</v>
      </c>
      <c r="AM2" s="2">
        <v>20</v>
      </c>
      <c r="AN2" s="26">
        <v>53</v>
      </c>
      <c r="AO2" s="26">
        <v>100</v>
      </c>
      <c r="AP2" s="2">
        <v>939.5</v>
      </c>
      <c r="AQ2" s="2">
        <v>100</v>
      </c>
      <c r="AS2" s="26">
        <v>1000</v>
      </c>
      <c r="AT2" s="26">
        <v>20</v>
      </c>
      <c r="BA2" s="26">
        <v>1000</v>
      </c>
      <c r="BB2" s="26">
        <v>80</v>
      </c>
      <c r="BD2" s="26">
        <v>65</v>
      </c>
      <c r="BE2" s="26">
        <v>100</v>
      </c>
      <c r="BF2" s="26">
        <v>90</v>
      </c>
      <c r="BG2" s="26">
        <v>67</v>
      </c>
      <c r="BJ2" s="26">
        <v>52</v>
      </c>
      <c r="BK2" s="26">
        <v>100</v>
      </c>
      <c r="BL2" s="2">
        <v>37.145000000000003</v>
      </c>
      <c r="BM2" s="2">
        <v>100</v>
      </c>
      <c r="BO2" s="2">
        <v>20.6</v>
      </c>
      <c r="BP2" s="2">
        <v>100</v>
      </c>
      <c r="BS2" s="26">
        <v>20</v>
      </c>
      <c r="BT2" s="26">
        <v>100</v>
      </c>
      <c r="BU2" s="2">
        <v>55</v>
      </c>
      <c r="BV2" s="2">
        <v>100</v>
      </c>
      <c r="BW2">
        <v>1000</v>
      </c>
      <c r="BX2" s="26">
        <v>100</v>
      </c>
      <c r="BZ2" s="2">
        <v>44</v>
      </c>
      <c r="CA2" s="2">
        <v>100</v>
      </c>
      <c r="CD2" s="26">
        <v>646</v>
      </c>
      <c r="CE2" s="26">
        <v>100</v>
      </c>
    </row>
    <row r="3" spans="1:87" x14ac:dyDescent="0.25">
      <c r="A3" s="94">
        <v>47</v>
      </c>
      <c r="B3" s="95">
        <v>100</v>
      </c>
      <c r="C3" s="94">
        <v>45</v>
      </c>
      <c r="D3" s="26">
        <v>11.1</v>
      </c>
      <c r="E3" s="94">
        <v>97</v>
      </c>
      <c r="F3" s="95">
        <v>20</v>
      </c>
      <c r="G3" s="96">
        <v>87</v>
      </c>
      <c r="H3" s="26">
        <v>100</v>
      </c>
      <c r="I3" s="94">
        <v>939.5</v>
      </c>
      <c r="J3" s="95">
        <v>100</v>
      </c>
      <c r="L3" s="2">
        <v>47</v>
      </c>
      <c r="M3" s="2">
        <v>100</v>
      </c>
      <c r="N3" s="1">
        <v>4900</v>
      </c>
      <c r="O3" s="2">
        <v>2</v>
      </c>
      <c r="P3" s="2">
        <v>40</v>
      </c>
      <c r="Q3" s="2">
        <v>25</v>
      </c>
      <c r="R3" s="26">
        <v>87</v>
      </c>
      <c r="S3" s="26">
        <v>100</v>
      </c>
      <c r="T3" s="1">
        <v>4900</v>
      </c>
      <c r="U3" s="2">
        <v>81.599999999999994</v>
      </c>
      <c r="W3" s="26">
        <v>2568</v>
      </c>
      <c r="X3" s="26">
        <v>50</v>
      </c>
      <c r="Y3" s="26">
        <v>3510</v>
      </c>
      <c r="Z3" s="26">
        <v>51</v>
      </c>
      <c r="AA3" s="26">
        <v>100</v>
      </c>
      <c r="AB3" s="26">
        <v>100</v>
      </c>
      <c r="AH3" s="26">
        <v>800</v>
      </c>
      <c r="AI3" s="26">
        <v>100</v>
      </c>
      <c r="AJ3" s="2">
        <v>20</v>
      </c>
      <c r="AK3" s="2">
        <v>100</v>
      </c>
      <c r="AL3" s="26">
        <v>950</v>
      </c>
      <c r="AM3" s="26">
        <v>100</v>
      </c>
      <c r="AN3" s="26">
        <v>90</v>
      </c>
      <c r="AO3" s="26">
        <v>30</v>
      </c>
      <c r="AP3" s="26">
        <v>1998</v>
      </c>
      <c r="AQ3">
        <v>50</v>
      </c>
      <c r="AS3">
        <v>66.8</v>
      </c>
      <c r="AT3" s="60">
        <v>100</v>
      </c>
      <c r="BD3" s="26">
        <v>90</v>
      </c>
      <c r="BE3" s="26">
        <v>33</v>
      </c>
      <c r="BO3" s="2">
        <v>42</v>
      </c>
      <c r="BP3" s="2">
        <v>100</v>
      </c>
      <c r="BZ3" s="2">
        <v>71</v>
      </c>
      <c r="CA3" s="1">
        <v>100</v>
      </c>
      <c r="CD3" s="26">
        <v>900</v>
      </c>
      <c r="CE3" s="26">
        <v>100</v>
      </c>
    </row>
    <row r="4" spans="1:87" x14ac:dyDescent="0.25">
      <c r="A4" s="94">
        <v>97</v>
      </c>
      <c r="B4" s="95">
        <v>7</v>
      </c>
      <c r="C4" s="94">
        <v>20</v>
      </c>
      <c r="D4" s="2">
        <v>100</v>
      </c>
      <c r="E4" s="94">
        <v>40</v>
      </c>
      <c r="F4" s="95">
        <v>25</v>
      </c>
      <c r="G4" s="96">
        <v>53</v>
      </c>
      <c r="H4" s="26">
        <v>100</v>
      </c>
      <c r="I4" s="92">
        <v>4900</v>
      </c>
      <c r="J4" s="95">
        <v>81.599999999999994</v>
      </c>
      <c r="L4" s="26">
        <v>47</v>
      </c>
      <c r="M4" s="26">
        <v>100</v>
      </c>
      <c r="N4" s="2">
        <v>40</v>
      </c>
      <c r="O4" s="1">
        <v>10</v>
      </c>
      <c r="P4" s="2">
        <v>45</v>
      </c>
      <c r="Q4" s="26">
        <v>88.9</v>
      </c>
      <c r="R4" s="26">
        <v>101</v>
      </c>
      <c r="S4" s="26">
        <v>100</v>
      </c>
      <c r="T4" s="26">
        <v>1000</v>
      </c>
      <c r="U4" s="26">
        <v>100</v>
      </c>
      <c r="W4" s="26">
        <v>3510</v>
      </c>
      <c r="X4" s="26">
        <v>49</v>
      </c>
      <c r="Y4">
        <v>5439</v>
      </c>
      <c r="Z4" s="26">
        <v>10</v>
      </c>
      <c r="AA4" s="26">
        <v>857</v>
      </c>
      <c r="AB4" s="26">
        <v>11</v>
      </c>
      <c r="AH4" s="26">
        <v>90</v>
      </c>
      <c r="AI4" s="26">
        <v>70</v>
      </c>
      <c r="AJ4" s="26">
        <v>120</v>
      </c>
      <c r="AK4" s="26">
        <v>100</v>
      </c>
      <c r="AL4" s="26">
        <v>150</v>
      </c>
      <c r="AM4" s="26">
        <v>65</v>
      </c>
      <c r="AN4" s="26">
        <v>75</v>
      </c>
      <c r="AO4" s="26">
        <v>100</v>
      </c>
      <c r="AP4" s="26">
        <v>999</v>
      </c>
      <c r="AQ4">
        <v>100</v>
      </c>
      <c r="BD4" s="26">
        <v>20</v>
      </c>
      <c r="BE4" s="26">
        <v>100</v>
      </c>
      <c r="BO4" s="2">
        <v>193</v>
      </c>
      <c r="BP4" s="2">
        <v>100</v>
      </c>
      <c r="BZ4" s="26">
        <v>19</v>
      </c>
      <c r="CA4" s="26">
        <v>100</v>
      </c>
    </row>
    <row r="5" spans="1:87" x14ac:dyDescent="0.25">
      <c r="A5" s="94">
        <v>20.6</v>
      </c>
      <c r="B5" s="95">
        <v>100</v>
      </c>
      <c r="C5" s="92">
        <v>4900</v>
      </c>
      <c r="D5" s="2">
        <v>2</v>
      </c>
      <c r="E5" s="94">
        <v>45</v>
      </c>
      <c r="F5" s="97">
        <v>88.9</v>
      </c>
      <c r="G5" s="94">
        <v>55</v>
      </c>
      <c r="H5" s="2">
        <v>100</v>
      </c>
      <c r="I5" s="96">
        <v>1998</v>
      </c>
      <c r="J5" s="99">
        <v>50</v>
      </c>
      <c r="L5" s="2">
        <v>20</v>
      </c>
      <c r="M5" s="1">
        <v>100</v>
      </c>
      <c r="N5" s="2">
        <v>26</v>
      </c>
      <c r="O5" s="1">
        <v>100</v>
      </c>
      <c r="P5" s="26">
        <v>150</v>
      </c>
      <c r="Q5" s="26">
        <v>100</v>
      </c>
      <c r="R5" s="26">
        <v>113</v>
      </c>
      <c r="S5" s="26">
        <v>75</v>
      </c>
      <c r="T5" s="26">
        <v>924</v>
      </c>
      <c r="U5" s="26">
        <v>76</v>
      </c>
      <c r="W5">
        <v>5439</v>
      </c>
      <c r="X5" s="26">
        <v>90</v>
      </c>
      <c r="Y5" s="26">
        <v>1500</v>
      </c>
      <c r="Z5" s="26">
        <v>10</v>
      </c>
      <c r="AA5">
        <v>200</v>
      </c>
      <c r="AB5" s="26">
        <v>100</v>
      </c>
      <c r="AH5" s="26">
        <v>1998</v>
      </c>
      <c r="AI5" s="26">
        <v>50</v>
      </c>
      <c r="AJ5" s="26">
        <v>650</v>
      </c>
      <c r="AK5" s="26">
        <v>40</v>
      </c>
      <c r="AL5" s="2">
        <v>200</v>
      </c>
      <c r="AM5" s="2">
        <v>100</v>
      </c>
      <c r="AN5" s="26">
        <v>21</v>
      </c>
      <c r="AO5" s="26">
        <v>100</v>
      </c>
      <c r="AP5" s="26">
        <v>150</v>
      </c>
      <c r="AQ5" s="26">
        <v>5</v>
      </c>
      <c r="BD5" s="26">
        <v>30</v>
      </c>
      <c r="BE5" s="26">
        <v>100</v>
      </c>
      <c r="BO5" s="2">
        <v>65</v>
      </c>
      <c r="BP5" s="2">
        <v>100</v>
      </c>
    </row>
    <row r="6" spans="1:87" x14ac:dyDescent="0.25">
      <c r="A6" s="96">
        <v>47</v>
      </c>
      <c r="B6" s="97">
        <v>100</v>
      </c>
      <c r="C6" s="94">
        <v>40</v>
      </c>
      <c r="D6" s="1">
        <v>10</v>
      </c>
      <c r="E6" s="96">
        <v>150</v>
      </c>
      <c r="F6" s="97">
        <v>100</v>
      </c>
      <c r="G6" s="96">
        <v>101</v>
      </c>
      <c r="H6" s="26">
        <v>100</v>
      </c>
      <c r="I6" s="96">
        <v>999</v>
      </c>
      <c r="J6" s="99">
        <v>100</v>
      </c>
      <c r="L6" s="2">
        <v>40</v>
      </c>
      <c r="M6" s="2">
        <v>75</v>
      </c>
      <c r="N6" s="2">
        <v>10</v>
      </c>
      <c r="O6" s="2">
        <v>100</v>
      </c>
      <c r="P6" s="1">
        <v>4900</v>
      </c>
      <c r="Q6" s="2">
        <v>16.399999999999999</v>
      </c>
      <c r="R6" s="26">
        <v>20</v>
      </c>
      <c r="S6" s="26">
        <v>60</v>
      </c>
      <c r="T6" s="26">
        <v>490</v>
      </c>
      <c r="U6" s="26">
        <v>10</v>
      </c>
      <c r="W6" s="26">
        <v>1500</v>
      </c>
      <c r="X6" s="26">
        <v>60</v>
      </c>
      <c r="AH6" s="1">
        <v>800</v>
      </c>
      <c r="AI6" s="1">
        <v>100</v>
      </c>
      <c r="AJ6" s="26">
        <v>45</v>
      </c>
      <c r="AK6" s="26">
        <v>83</v>
      </c>
      <c r="AL6" s="1">
        <v>193</v>
      </c>
      <c r="AM6" s="1">
        <v>100</v>
      </c>
      <c r="AN6" s="26">
        <v>52</v>
      </c>
      <c r="AO6" s="26">
        <v>100</v>
      </c>
      <c r="AP6" s="26">
        <v>650</v>
      </c>
      <c r="AQ6" s="26">
        <v>20</v>
      </c>
      <c r="BD6" s="26">
        <v>42</v>
      </c>
      <c r="BE6" s="26">
        <v>100</v>
      </c>
      <c r="BO6" s="26">
        <v>10</v>
      </c>
      <c r="BP6" s="26">
        <v>100</v>
      </c>
    </row>
    <row r="7" spans="1:87" x14ac:dyDescent="0.25">
      <c r="A7" s="94">
        <v>15</v>
      </c>
      <c r="B7" s="95">
        <v>100</v>
      </c>
      <c r="C7" s="96">
        <v>120</v>
      </c>
      <c r="D7" s="26">
        <v>100</v>
      </c>
      <c r="E7" s="96">
        <v>950</v>
      </c>
      <c r="F7" s="97">
        <v>100</v>
      </c>
      <c r="G7" s="96">
        <v>90</v>
      </c>
      <c r="H7" s="26">
        <v>30</v>
      </c>
      <c r="I7" s="96">
        <v>150</v>
      </c>
      <c r="J7" s="97">
        <v>5</v>
      </c>
      <c r="L7" s="2">
        <v>6200</v>
      </c>
      <c r="M7" s="1">
        <v>100</v>
      </c>
      <c r="N7" s="26">
        <v>37</v>
      </c>
      <c r="O7" s="26">
        <v>100</v>
      </c>
      <c r="P7" s="1">
        <v>31</v>
      </c>
      <c r="Q7" s="2">
        <v>50</v>
      </c>
      <c r="R7" s="26">
        <v>688</v>
      </c>
      <c r="S7" s="26">
        <v>50</v>
      </c>
      <c r="T7" s="26">
        <v>800</v>
      </c>
      <c r="U7" s="26">
        <v>100</v>
      </c>
      <c r="W7" s="26">
        <v>268</v>
      </c>
      <c r="X7" s="26">
        <v>100</v>
      </c>
      <c r="AH7" s="1">
        <v>950</v>
      </c>
      <c r="AI7" s="1">
        <v>100</v>
      </c>
      <c r="AJ7" s="26">
        <v>20</v>
      </c>
      <c r="AK7" s="26">
        <v>100</v>
      </c>
      <c r="AL7" s="2">
        <v>1600</v>
      </c>
      <c r="AM7" s="1">
        <v>100</v>
      </c>
      <c r="AN7" s="26">
        <v>50</v>
      </c>
      <c r="AO7" s="26">
        <v>100</v>
      </c>
      <c r="AP7" s="26">
        <v>1998</v>
      </c>
      <c r="AQ7" s="26">
        <v>50</v>
      </c>
      <c r="BD7">
        <v>20.25</v>
      </c>
      <c r="BE7" s="60">
        <v>100</v>
      </c>
    </row>
    <row r="8" spans="1:87" x14ac:dyDescent="0.25">
      <c r="A8" s="94">
        <v>20</v>
      </c>
      <c r="B8" s="93">
        <v>100</v>
      </c>
      <c r="C8" s="96">
        <v>2568</v>
      </c>
      <c r="D8" s="26">
        <v>50</v>
      </c>
      <c r="E8" s="92">
        <v>4900</v>
      </c>
      <c r="F8" s="95">
        <v>16.399999999999999</v>
      </c>
      <c r="G8" s="96">
        <v>113</v>
      </c>
      <c r="H8" s="26">
        <v>75</v>
      </c>
      <c r="I8" s="96">
        <v>650</v>
      </c>
      <c r="J8" s="97">
        <v>20</v>
      </c>
      <c r="L8" s="2">
        <v>40</v>
      </c>
      <c r="M8" s="1">
        <v>90</v>
      </c>
      <c r="N8" s="26">
        <v>490</v>
      </c>
      <c r="O8" s="26">
        <v>24.3</v>
      </c>
      <c r="P8" s="2">
        <v>70</v>
      </c>
      <c r="Q8" s="2">
        <v>100</v>
      </c>
      <c r="R8">
        <v>53</v>
      </c>
      <c r="S8" s="26">
        <v>50</v>
      </c>
      <c r="T8" s="26">
        <v>2636</v>
      </c>
      <c r="U8" s="26">
        <v>76</v>
      </c>
      <c r="W8" s="26">
        <v>1019</v>
      </c>
      <c r="X8" s="26">
        <v>100</v>
      </c>
      <c r="AH8" s="26">
        <v>150</v>
      </c>
      <c r="AI8" s="26">
        <v>30</v>
      </c>
      <c r="AJ8" s="26">
        <v>10</v>
      </c>
      <c r="AK8" s="26">
        <v>100</v>
      </c>
      <c r="AL8" s="26">
        <v>50</v>
      </c>
      <c r="AM8" s="26">
        <v>100</v>
      </c>
      <c r="AN8" s="26">
        <v>110</v>
      </c>
      <c r="AO8" s="26">
        <v>40</v>
      </c>
      <c r="AP8" s="26">
        <v>45</v>
      </c>
      <c r="AQ8" s="26">
        <v>17</v>
      </c>
    </row>
    <row r="9" spans="1:87" x14ac:dyDescent="0.25">
      <c r="A9" s="94">
        <v>42</v>
      </c>
      <c r="B9" s="95">
        <v>100</v>
      </c>
      <c r="C9" s="96">
        <v>3510</v>
      </c>
      <c r="D9" s="26">
        <v>51</v>
      </c>
      <c r="E9" s="92">
        <v>31</v>
      </c>
      <c r="F9" s="95">
        <v>50</v>
      </c>
      <c r="G9" s="96">
        <v>75</v>
      </c>
      <c r="H9" s="26">
        <v>100</v>
      </c>
      <c r="I9" s="96">
        <v>1000</v>
      </c>
      <c r="J9" s="97">
        <v>80</v>
      </c>
      <c r="L9" s="1">
        <v>31</v>
      </c>
      <c r="M9" s="2">
        <v>50</v>
      </c>
      <c r="N9" s="26">
        <v>230</v>
      </c>
      <c r="O9" s="26">
        <v>19.600000000000001</v>
      </c>
      <c r="P9" s="26">
        <v>113</v>
      </c>
      <c r="Q9" s="26">
        <v>25</v>
      </c>
      <c r="R9" s="26">
        <v>490</v>
      </c>
      <c r="S9" s="26">
        <v>65.7</v>
      </c>
      <c r="T9">
        <v>3000</v>
      </c>
      <c r="U9" s="26">
        <v>100</v>
      </c>
      <c r="W9">
        <v>39.06</v>
      </c>
      <c r="X9" s="60">
        <v>100</v>
      </c>
      <c r="AH9" s="26">
        <v>650</v>
      </c>
      <c r="AI9" s="26">
        <v>40</v>
      </c>
      <c r="AJ9" s="26">
        <v>20</v>
      </c>
      <c r="AK9" s="26">
        <v>100</v>
      </c>
      <c r="AL9" s="26">
        <v>40</v>
      </c>
      <c r="AM9" s="26">
        <v>100</v>
      </c>
      <c r="AP9">
        <v>19.600000000000001</v>
      </c>
      <c r="AQ9">
        <v>100</v>
      </c>
    </row>
    <row r="10" spans="1:87" x14ac:dyDescent="0.25">
      <c r="A10" s="94">
        <v>193</v>
      </c>
      <c r="B10" s="95">
        <v>100</v>
      </c>
      <c r="C10" s="98">
        <v>5439</v>
      </c>
      <c r="D10" s="26">
        <v>10</v>
      </c>
      <c r="E10" s="94">
        <v>70</v>
      </c>
      <c r="F10" s="95">
        <v>100</v>
      </c>
      <c r="G10" s="96">
        <v>20</v>
      </c>
      <c r="H10" s="26">
        <v>60</v>
      </c>
      <c r="I10" s="96">
        <v>1998</v>
      </c>
      <c r="J10" s="97">
        <v>50</v>
      </c>
      <c r="L10" s="2">
        <v>8600</v>
      </c>
      <c r="M10" s="1">
        <v>100</v>
      </c>
      <c r="N10" s="26">
        <v>244</v>
      </c>
      <c r="O10" s="26">
        <v>1.6</v>
      </c>
      <c r="P10" s="26">
        <v>1000</v>
      </c>
      <c r="Q10" s="26">
        <v>100</v>
      </c>
      <c r="R10" s="26">
        <v>2636</v>
      </c>
      <c r="S10" s="26">
        <v>3.5</v>
      </c>
      <c r="T10" s="26">
        <v>300</v>
      </c>
      <c r="U10" s="26">
        <v>33.35</v>
      </c>
      <c r="AH10" s="26">
        <v>1560</v>
      </c>
      <c r="AI10" s="26">
        <v>100</v>
      </c>
      <c r="AJ10" s="26">
        <v>75</v>
      </c>
      <c r="AK10" s="26">
        <v>100</v>
      </c>
      <c r="AL10" s="26">
        <v>20.25</v>
      </c>
      <c r="AM10" s="26">
        <v>100</v>
      </c>
    </row>
    <row r="11" spans="1:87" x14ac:dyDescent="0.25">
      <c r="A11" s="94">
        <v>40</v>
      </c>
      <c r="B11" s="95">
        <v>75</v>
      </c>
      <c r="C11" s="96">
        <v>650</v>
      </c>
      <c r="D11" s="26">
        <v>40</v>
      </c>
      <c r="E11" s="96">
        <v>113</v>
      </c>
      <c r="F11" s="97">
        <v>25</v>
      </c>
      <c r="G11" s="96">
        <v>688</v>
      </c>
      <c r="H11" s="26">
        <v>50</v>
      </c>
      <c r="I11" s="94">
        <v>37.145000000000003</v>
      </c>
      <c r="J11" s="95">
        <v>100</v>
      </c>
      <c r="L11" s="2">
        <v>250</v>
      </c>
      <c r="M11" s="2">
        <v>100</v>
      </c>
      <c r="N11" s="26">
        <v>5</v>
      </c>
      <c r="O11" s="26">
        <v>100</v>
      </c>
      <c r="P11" s="26">
        <v>20</v>
      </c>
      <c r="Q11" s="26">
        <v>20</v>
      </c>
      <c r="R11" s="26">
        <v>300</v>
      </c>
      <c r="S11" s="26">
        <v>66.650000000000006</v>
      </c>
      <c r="T11" s="26">
        <v>750</v>
      </c>
      <c r="U11" s="26">
        <v>100</v>
      </c>
      <c r="AH11" s="26">
        <v>1998</v>
      </c>
      <c r="AI11" s="26">
        <v>50</v>
      </c>
      <c r="AL11" s="26">
        <v>40</v>
      </c>
      <c r="AM11" s="26">
        <v>100</v>
      </c>
    </row>
    <row r="12" spans="1:87" x14ac:dyDescent="0.25">
      <c r="A12" s="94">
        <v>6200</v>
      </c>
      <c r="B12" s="93">
        <v>100</v>
      </c>
      <c r="C12" s="96">
        <v>90</v>
      </c>
      <c r="D12" s="26">
        <v>67</v>
      </c>
      <c r="E12" s="96">
        <v>150</v>
      </c>
      <c r="F12" s="97">
        <v>65</v>
      </c>
      <c r="G12" s="96">
        <v>21</v>
      </c>
      <c r="H12" s="26">
        <v>100</v>
      </c>
      <c r="I12" s="96">
        <v>1000</v>
      </c>
      <c r="J12" s="97">
        <v>100</v>
      </c>
      <c r="L12" s="2">
        <v>174.65</v>
      </c>
      <c r="M12" s="1">
        <v>100</v>
      </c>
      <c r="N12" s="26">
        <v>1570</v>
      </c>
      <c r="O12" s="26">
        <v>20.399999999999999</v>
      </c>
      <c r="P12" s="26">
        <v>2636</v>
      </c>
      <c r="Q12" s="26">
        <v>16.5</v>
      </c>
      <c r="R12" s="26">
        <v>128</v>
      </c>
      <c r="S12" s="26">
        <v>60.9</v>
      </c>
      <c r="T12" s="26">
        <v>216.29999999999998</v>
      </c>
      <c r="U12" s="26">
        <v>72.400000000000006</v>
      </c>
      <c r="AH12" s="26">
        <v>3000</v>
      </c>
      <c r="AI12" s="26">
        <v>100</v>
      </c>
    </row>
    <row r="13" spans="1:87" x14ac:dyDescent="0.25">
      <c r="A13" s="96">
        <v>800</v>
      </c>
      <c r="B13" s="97">
        <v>100</v>
      </c>
      <c r="C13" s="96">
        <v>1500</v>
      </c>
      <c r="D13" s="26">
        <v>10</v>
      </c>
      <c r="E13" s="96">
        <v>1500</v>
      </c>
      <c r="F13" s="97">
        <v>30</v>
      </c>
      <c r="G13" s="98">
        <v>53</v>
      </c>
      <c r="H13" s="26">
        <v>50</v>
      </c>
      <c r="I13" s="96">
        <v>924</v>
      </c>
      <c r="J13" s="97">
        <v>76</v>
      </c>
      <c r="L13" s="2">
        <v>20</v>
      </c>
      <c r="M13" s="1">
        <v>100</v>
      </c>
      <c r="N13" s="26">
        <v>3939</v>
      </c>
      <c r="O13" s="26">
        <v>0.8</v>
      </c>
      <c r="P13" s="26">
        <v>230</v>
      </c>
      <c r="Q13" s="26">
        <v>80.400000000000006</v>
      </c>
      <c r="R13" s="26">
        <v>175</v>
      </c>
      <c r="S13" s="26">
        <v>8.6</v>
      </c>
      <c r="T13" s="26">
        <v>442</v>
      </c>
      <c r="U13" s="26">
        <v>29.4</v>
      </c>
      <c r="AH13" s="26">
        <v>140</v>
      </c>
      <c r="AI13" s="26">
        <v>100</v>
      </c>
    </row>
    <row r="14" spans="1:87" x14ac:dyDescent="0.25">
      <c r="A14" s="96">
        <v>65</v>
      </c>
      <c r="B14" s="97">
        <v>100</v>
      </c>
      <c r="C14" s="94">
        <v>26</v>
      </c>
      <c r="D14" s="1">
        <v>100</v>
      </c>
      <c r="E14" s="94">
        <v>200</v>
      </c>
      <c r="F14" s="95">
        <v>100</v>
      </c>
      <c r="G14" s="96">
        <v>490</v>
      </c>
      <c r="H14" s="26">
        <v>65.7</v>
      </c>
      <c r="I14" s="96">
        <v>45</v>
      </c>
      <c r="J14" s="97">
        <v>17</v>
      </c>
      <c r="L14" s="26">
        <v>18</v>
      </c>
      <c r="M14">
        <v>100</v>
      </c>
      <c r="N14" s="26">
        <v>156.74</v>
      </c>
      <c r="O14" s="26">
        <v>28.8</v>
      </c>
      <c r="P14" s="26">
        <v>575</v>
      </c>
      <c r="Q14" s="26">
        <v>100</v>
      </c>
      <c r="R14">
        <v>75</v>
      </c>
      <c r="S14" s="26">
        <v>100</v>
      </c>
      <c r="T14" s="26">
        <v>1570</v>
      </c>
      <c r="U14" s="26">
        <v>44.6</v>
      </c>
      <c r="AH14" s="26">
        <v>40</v>
      </c>
      <c r="AI14" s="26">
        <v>100</v>
      </c>
    </row>
    <row r="15" spans="1:87" x14ac:dyDescent="0.25">
      <c r="A15" s="96">
        <v>90</v>
      </c>
      <c r="B15" s="97">
        <v>70</v>
      </c>
      <c r="C15" s="94">
        <v>10</v>
      </c>
      <c r="D15" s="2">
        <v>100</v>
      </c>
      <c r="E15" s="92">
        <v>193</v>
      </c>
      <c r="F15" s="93">
        <v>100</v>
      </c>
      <c r="G15" s="96">
        <v>52</v>
      </c>
      <c r="H15" s="26">
        <v>100</v>
      </c>
      <c r="I15" s="96">
        <v>490</v>
      </c>
      <c r="J15" s="97">
        <v>10</v>
      </c>
      <c r="L15" s="2">
        <v>54</v>
      </c>
      <c r="M15" s="2">
        <v>100</v>
      </c>
      <c r="N15" s="26">
        <v>201.6</v>
      </c>
      <c r="O15" s="26">
        <v>2.5</v>
      </c>
      <c r="P15" s="26">
        <v>244</v>
      </c>
      <c r="Q15" s="26">
        <v>98.4</v>
      </c>
      <c r="R15" s="26">
        <v>9</v>
      </c>
      <c r="S15" s="26">
        <v>100</v>
      </c>
      <c r="T15" s="26">
        <v>3939</v>
      </c>
      <c r="U15" s="26">
        <v>82.6</v>
      </c>
      <c r="AH15" s="26">
        <v>10</v>
      </c>
      <c r="AI15" s="26">
        <v>100</v>
      </c>
    </row>
    <row r="16" spans="1:87" ht="15.75" customHeight="1" x14ac:dyDescent="0.25">
      <c r="A16" s="94">
        <v>40</v>
      </c>
      <c r="B16" s="93">
        <v>90</v>
      </c>
      <c r="C16" s="96">
        <v>37</v>
      </c>
      <c r="D16" s="26">
        <v>100</v>
      </c>
      <c r="E16" s="94">
        <v>1600</v>
      </c>
      <c r="F16" s="93">
        <v>100</v>
      </c>
      <c r="G16" s="96">
        <v>50</v>
      </c>
      <c r="H16" s="26">
        <v>100</v>
      </c>
      <c r="I16" s="96">
        <v>800</v>
      </c>
      <c r="J16" s="97">
        <v>100</v>
      </c>
      <c r="L16" s="26">
        <v>490</v>
      </c>
      <c r="M16" s="26">
        <v>100</v>
      </c>
      <c r="N16" s="26">
        <v>824</v>
      </c>
      <c r="O16" s="26">
        <v>17</v>
      </c>
      <c r="P16" s="26">
        <v>442</v>
      </c>
      <c r="Q16" s="26">
        <v>4.5</v>
      </c>
      <c r="T16" s="26">
        <v>2400</v>
      </c>
      <c r="U16" s="26">
        <v>100</v>
      </c>
      <c r="AH16" s="26">
        <v>34</v>
      </c>
      <c r="AI16" s="26">
        <v>100</v>
      </c>
    </row>
    <row r="17" spans="1:35" x14ac:dyDescent="0.25">
      <c r="A17" s="96">
        <v>1998</v>
      </c>
      <c r="B17" s="97">
        <v>50</v>
      </c>
      <c r="C17" s="96">
        <v>45</v>
      </c>
      <c r="D17" s="26">
        <v>83</v>
      </c>
      <c r="E17" s="96">
        <v>20</v>
      </c>
      <c r="F17" s="97">
        <v>100</v>
      </c>
      <c r="G17" s="96">
        <v>110</v>
      </c>
      <c r="H17" s="26">
        <v>40</v>
      </c>
      <c r="I17" s="96">
        <v>2636</v>
      </c>
      <c r="J17" s="97">
        <v>76</v>
      </c>
      <c r="L17" s="26">
        <v>2000</v>
      </c>
      <c r="M17" s="26">
        <v>100</v>
      </c>
      <c r="N17" s="26">
        <v>45</v>
      </c>
      <c r="O17" s="26">
        <v>100</v>
      </c>
      <c r="P17" s="26">
        <v>1570</v>
      </c>
      <c r="Q17" s="26">
        <v>3.2</v>
      </c>
      <c r="T17" s="26">
        <v>128</v>
      </c>
      <c r="U17" s="26">
        <v>39.1</v>
      </c>
      <c r="AH17" s="26">
        <v>110</v>
      </c>
      <c r="AI17" s="26">
        <v>60</v>
      </c>
    </row>
    <row r="18" spans="1:35" x14ac:dyDescent="0.25">
      <c r="A18" s="92">
        <v>800</v>
      </c>
      <c r="B18" s="93">
        <v>100</v>
      </c>
      <c r="C18" s="96">
        <v>490</v>
      </c>
      <c r="D18" s="26">
        <v>24.3</v>
      </c>
      <c r="E18" s="96">
        <v>50</v>
      </c>
      <c r="F18" s="97">
        <v>100</v>
      </c>
      <c r="G18" s="96">
        <v>2636</v>
      </c>
      <c r="H18" s="26">
        <v>3.5</v>
      </c>
      <c r="I18" s="98">
        <v>3000</v>
      </c>
      <c r="J18" s="97">
        <v>100</v>
      </c>
      <c r="L18" s="26">
        <v>924</v>
      </c>
      <c r="M18" s="26">
        <v>24</v>
      </c>
      <c r="N18">
        <v>52.5</v>
      </c>
      <c r="O18" s="26">
        <v>100</v>
      </c>
      <c r="P18" s="26">
        <v>3939</v>
      </c>
      <c r="Q18" s="26">
        <v>15.1</v>
      </c>
      <c r="T18" s="26">
        <v>997</v>
      </c>
      <c r="U18" s="26">
        <v>100</v>
      </c>
      <c r="AH18" s="26">
        <v>300</v>
      </c>
      <c r="AI18" s="26">
        <v>100</v>
      </c>
    </row>
    <row r="19" spans="1:35" x14ac:dyDescent="0.25">
      <c r="A19" s="92">
        <v>950</v>
      </c>
      <c r="B19" s="93">
        <v>100</v>
      </c>
      <c r="C19" s="96">
        <v>20</v>
      </c>
      <c r="D19" s="26">
        <v>100</v>
      </c>
      <c r="E19" s="96">
        <v>40</v>
      </c>
      <c r="F19" s="97">
        <v>100</v>
      </c>
      <c r="G19" s="96">
        <v>52</v>
      </c>
      <c r="H19" s="26">
        <v>100</v>
      </c>
      <c r="I19" s="96">
        <v>300</v>
      </c>
      <c r="J19" s="97">
        <v>33.35</v>
      </c>
      <c r="L19" s="26">
        <v>20</v>
      </c>
      <c r="M19" s="26">
        <v>20</v>
      </c>
      <c r="N19">
        <v>58.05</v>
      </c>
      <c r="O19" s="26">
        <v>100</v>
      </c>
      <c r="P19" s="26">
        <v>156.74</v>
      </c>
      <c r="Q19" s="26">
        <v>55.3</v>
      </c>
      <c r="T19" s="26">
        <v>32</v>
      </c>
      <c r="U19">
        <v>93.7</v>
      </c>
      <c r="AH19">
        <v>19.98</v>
      </c>
      <c r="AI19" s="60">
        <v>100</v>
      </c>
    </row>
    <row r="20" spans="1:35" x14ac:dyDescent="0.25">
      <c r="A20" s="92">
        <v>31</v>
      </c>
      <c r="B20" s="95">
        <v>50</v>
      </c>
      <c r="C20" s="96">
        <v>230</v>
      </c>
      <c r="D20" s="26">
        <v>19.600000000000001</v>
      </c>
      <c r="E20" s="96">
        <v>20.25</v>
      </c>
      <c r="F20" s="97">
        <v>100</v>
      </c>
      <c r="G20" s="96">
        <v>300</v>
      </c>
      <c r="H20" s="26">
        <v>66.650000000000006</v>
      </c>
      <c r="I20" s="96">
        <v>857</v>
      </c>
      <c r="J20" s="97">
        <v>89</v>
      </c>
      <c r="L20" s="26">
        <v>688</v>
      </c>
      <c r="M20" s="26">
        <v>50</v>
      </c>
      <c r="N20">
        <v>5.25</v>
      </c>
      <c r="O20" s="26">
        <v>100</v>
      </c>
      <c r="P20" s="26">
        <v>201.6</v>
      </c>
      <c r="Q20" s="26">
        <v>2.5</v>
      </c>
      <c r="T20" s="26">
        <v>265</v>
      </c>
      <c r="U20" s="26">
        <v>100</v>
      </c>
      <c r="AH20">
        <v>20.2</v>
      </c>
      <c r="AI20" s="60">
        <v>100</v>
      </c>
    </row>
    <row r="21" spans="1:35" x14ac:dyDescent="0.25">
      <c r="A21" s="94">
        <v>8600</v>
      </c>
      <c r="B21" s="93">
        <v>100</v>
      </c>
      <c r="C21" s="96">
        <v>10</v>
      </c>
      <c r="D21" s="26">
        <v>100</v>
      </c>
      <c r="E21" s="96">
        <v>40</v>
      </c>
      <c r="F21" s="97">
        <v>100</v>
      </c>
      <c r="G21" s="96">
        <v>128</v>
      </c>
      <c r="H21" s="26">
        <v>60.9</v>
      </c>
      <c r="I21" s="96">
        <v>750</v>
      </c>
      <c r="J21" s="97">
        <v>100</v>
      </c>
      <c r="L21" s="26">
        <v>20</v>
      </c>
      <c r="M21" s="26">
        <v>100</v>
      </c>
      <c r="N21" s="26">
        <v>23</v>
      </c>
      <c r="O21" s="26">
        <v>100</v>
      </c>
      <c r="P21" s="26">
        <v>175</v>
      </c>
      <c r="Q21" s="26">
        <v>91.4</v>
      </c>
      <c r="T21" s="26">
        <v>5971.23</v>
      </c>
      <c r="U21" s="26">
        <v>20.100000000000001</v>
      </c>
    </row>
    <row r="22" spans="1:35" x14ac:dyDescent="0.25">
      <c r="A22" s="94">
        <v>250</v>
      </c>
      <c r="B22" s="95">
        <v>100</v>
      </c>
      <c r="C22" s="96">
        <v>20</v>
      </c>
      <c r="D22" s="26">
        <v>100</v>
      </c>
      <c r="E22" s="96">
        <v>646</v>
      </c>
      <c r="F22" s="97">
        <v>100</v>
      </c>
      <c r="G22" s="96">
        <v>175</v>
      </c>
      <c r="H22" s="26">
        <v>8.6</v>
      </c>
      <c r="I22" s="96">
        <v>216.29999999999998</v>
      </c>
      <c r="J22" s="97">
        <v>72.400000000000006</v>
      </c>
      <c r="L22">
        <v>53</v>
      </c>
      <c r="M22" s="26">
        <v>50</v>
      </c>
      <c r="N22" s="26">
        <v>186.25</v>
      </c>
      <c r="O22" s="26">
        <v>16.600000000000001</v>
      </c>
      <c r="P22" s="26">
        <v>649.68000000000006</v>
      </c>
      <c r="Q22" s="26">
        <v>18.5</v>
      </c>
      <c r="T22" s="26">
        <v>417</v>
      </c>
      <c r="U22" s="26">
        <v>26.4</v>
      </c>
    </row>
    <row r="23" spans="1:35" x14ac:dyDescent="0.25">
      <c r="A23" s="96">
        <v>150</v>
      </c>
      <c r="B23" s="97">
        <v>30</v>
      </c>
      <c r="C23" s="96">
        <v>244</v>
      </c>
      <c r="D23" s="26">
        <v>1.6</v>
      </c>
      <c r="E23" s="96">
        <v>900</v>
      </c>
      <c r="F23" s="97">
        <v>100</v>
      </c>
      <c r="G23" s="98">
        <v>75</v>
      </c>
      <c r="H23" s="26">
        <v>100</v>
      </c>
      <c r="I23" s="96">
        <v>442</v>
      </c>
      <c r="J23" s="97">
        <v>29.4</v>
      </c>
      <c r="L23" s="26">
        <v>16.8</v>
      </c>
      <c r="M23" s="26">
        <v>100</v>
      </c>
      <c r="P23" s="26">
        <v>824</v>
      </c>
      <c r="Q23" s="26">
        <v>75.2</v>
      </c>
      <c r="T23" s="26">
        <v>100</v>
      </c>
      <c r="U23" s="26">
        <v>100</v>
      </c>
    </row>
    <row r="24" spans="1:35" x14ac:dyDescent="0.25">
      <c r="A24" s="96">
        <v>2568</v>
      </c>
      <c r="B24" s="97">
        <v>50</v>
      </c>
      <c r="C24" s="96">
        <v>5</v>
      </c>
      <c r="D24" s="26">
        <v>100</v>
      </c>
      <c r="E24" s="96">
        <v>100</v>
      </c>
      <c r="F24" s="97">
        <v>100</v>
      </c>
      <c r="G24" s="101">
        <v>9</v>
      </c>
      <c r="H24" s="103">
        <v>100</v>
      </c>
      <c r="I24" s="96">
        <v>1570</v>
      </c>
      <c r="J24" s="97">
        <v>44.6</v>
      </c>
      <c r="L24" s="26">
        <v>45</v>
      </c>
      <c r="M24" s="26">
        <v>100</v>
      </c>
      <c r="P24" s="26">
        <v>182</v>
      </c>
      <c r="Q24" s="26">
        <v>54.9</v>
      </c>
      <c r="T24" s="26">
        <v>156.74</v>
      </c>
      <c r="U24" s="26">
        <v>15.9</v>
      </c>
    </row>
    <row r="25" spans="1:35" x14ac:dyDescent="0.25">
      <c r="A25" s="96">
        <v>3510</v>
      </c>
      <c r="B25" s="97">
        <v>49</v>
      </c>
      <c r="C25" s="96">
        <v>75</v>
      </c>
      <c r="D25" s="26">
        <v>100</v>
      </c>
      <c r="E25" s="96">
        <v>1000</v>
      </c>
      <c r="F25" s="97">
        <v>100</v>
      </c>
      <c r="I25" s="96">
        <v>3939</v>
      </c>
      <c r="J25" s="97">
        <v>82.6</v>
      </c>
      <c r="L25" s="26">
        <v>2636</v>
      </c>
      <c r="M25" s="26">
        <v>4</v>
      </c>
      <c r="P25">
        <v>400</v>
      </c>
      <c r="Q25" s="26">
        <v>100</v>
      </c>
      <c r="T25" s="26">
        <v>307.2</v>
      </c>
      <c r="U25" s="26">
        <v>21.9</v>
      </c>
    </row>
    <row r="26" spans="1:35" x14ac:dyDescent="0.25">
      <c r="A26" s="98">
        <v>5439</v>
      </c>
      <c r="B26" s="97">
        <v>90</v>
      </c>
      <c r="C26" s="96">
        <v>1570</v>
      </c>
      <c r="D26" s="26">
        <v>20.399999999999999</v>
      </c>
      <c r="E26" s="96">
        <v>20</v>
      </c>
      <c r="F26" s="97">
        <v>20</v>
      </c>
      <c r="I26" s="96">
        <v>2400</v>
      </c>
      <c r="J26" s="97">
        <v>100</v>
      </c>
      <c r="L26" s="26">
        <v>216.29999999999998</v>
      </c>
      <c r="M26" s="26">
        <v>27.6</v>
      </c>
      <c r="P26">
        <v>19.350000000000001</v>
      </c>
      <c r="Q26" s="26">
        <v>100</v>
      </c>
      <c r="T26" s="26">
        <v>201.6</v>
      </c>
      <c r="U26" s="26">
        <v>95</v>
      </c>
    </row>
    <row r="27" spans="1:35" x14ac:dyDescent="0.25">
      <c r="A27" s="96">
        <v>650</v>
      </c>
      <c r="B27" s="97">
        <v>40</v>
      </c>
      <c r="C27" s="96">
        <v>3939</v>
      </c>
      <c r="D27" s="26">
        <v>0.8</v>
      </c>
      <c r="E27" s="96">
        <v>2636</v>
      </c>
      <c r="F27" s="97">
        <v>16.5</v>
      </c>
      <c r="I27" s="96">
        <v>128</v>
      </c>
      <c r="J27" s="97">
        <v>39.1</v>
      </c>
      <c r="L27" s="26">
        <v>442</v>
      </c>
      <c r="M27" s="26">
        <v>66.099999999999994</v>
      </c>
      <c r="P27" s="26">
        <v>400</v>
      </c>
      <c r="Q27" s="26">
        <v>100</v>
      </c>
      <c r="T27" s="26">
        <v>289</v>
      </c>
      <c r="U27" s="26">
        <v>100</v>
      </c>
    </row>
    <row r="28" spans="1:35" x14ac:dyDescent="0.25">
      <c r="A28" s="94">
        <v>174.65</v>
      </c>
      <c r="B28" s="93">
        <v>100</v>
      </c>
      <c r="C28" s="96">
        <v>156.74</v>
      </c>
      <c r="D28" s="26">
        <v>28.8</v>
      </c>
      <c r="E28" s="96">
        <v>230</v>
      </c>
      <c r="F28" s="97">
        <v>80.400000000000006</v>
      </c>
      <c r="I28" s="96">
        <v>997</v>
      </c>
      <c r="J28" s="97">
        <v>100</v>
      </c>
      <c r="L28" s="26">
        <v>1570</v>
      </c>
      <c r="M28" s="26">
        <v>31.8</v>
      </c>
      <c r="T28" s="26">
        <v>176.2</v>
      </c>
      <c r="U28" s="26">
        <v>17</v>
      </c>
    </row>
    <row r="29" spans="1:35" x14ac:dyDescent="0.25">
      <c r="A29" s="96">
        <v>90</v>
      </c>
      <c r="B29" s="97">
        <v>33</v>
      </c>
      <c r="C29" s="96">
        <v>201.6</v>
      </c>
      <c r="D29" s="26">
        <v>2.5</v>
      </c>
      <c r="E29" s="96">
        <v>575</v>
      </c>
      <c r="F29" s="97">
        <v>100</v>
      </c>
      <c r="I29" s="96">
        <v>32</v>
      </c>
      <c r="J29" s="99">
        <v>93.7</v>
      </c>
      <c r="L29" s="26">
        <v>3939</v>
      </c>
      <c r="M29" s="26">
        <v>1.5</v>
      </c>
      <c r="T29" s="26">
        <v>272</v>
      </c>
      <c r="U29" s="26">
        <v>100</v>
      </c>
    </row>
    <row r="30" spans="1:35" x14ac:dyDescent="0.25">
      <c r="A30" s="94">
        <v>20</v>
      </c>
      <c r="B30" s="93">
        <v>100</v>
      </c>
      <c r="C30" s="96">
        <v>824</v>
      </c>
      <c r="D30" s="26">
        <v>17</v>
      </c>
      <c r="E30" s="96">
        <v>857</v>
      </c>
      <c r="F30" s="97">
        <v>11</v>
      </c>
      <c r="I30" s="96">
        <v>265</v>
      </c>
      <c r="J30" s="97">
        <v>100</v>
      </c>
      <c r="L30" s="26">
        <v>154.69999999999999</v>
      </c>
      <c r="M30" s="26">
        <v>100</v>
      </c>
      <c r="T30" s="26">
        <v>649.68000000000006</v>
      </c>
      <c r="U30" s="26">
        <v>78.400000000000006</v>
      </c>
    </row>
    <row r="31" spans="1:35" x14ac:dyDescent="0.25">
      <c r="A31" s="96">
        <v>1000</v>
      </c>
      <c r="B31" s="97">
        <v>20</v>
      </c>
      <c r="C31" s="96">
        <v>45</v>
      </c>
      <c r="D31" s="26">
        <v>100</v>
      </c>
      <c r="E31" s="96">
        <v>244</v>
      </c>
      <c r="F31" s="97">
        <v>98.4</v>
      </c>
      <c r="I31" s="96">
        <v>5971.23</v>
      </c>
      <c r="J31" s="97">
        <v>20.100000000000001</v>
      </c>
      <c r="L31" s="26">
        <v>32</v>
      </c>
      <c r="M31" s="26">
        <v>6.3</v>
      </c>
      <c r="T31" s="26">
        <v>125</v>
      </c>
      <c r="U31" s="26">
        <v>40</v>
      </c>
    </row>
    <row r="32" spans="1:35" x14ac:dyDescent="0.25">
      <c r="A32" s="94">
        <v>65</v>
      </c>
      <c r="B32" s="95">
        <v>100</v>
      </c>
      <c r="C32" s="98">
        <v>52.5</v>
      </c>
      <c r="D32" s="26">
        <v>100</v>
      </c>
      <c r="E32" s="96">
        <v>442</v>
      </c>
      <c r="F32" s="97">
        <v>4.5</v>
      </c>
      <c r="I32" s="96">
        <v>417</v>
      </c>
      <c r="J32" s="97">
        <v>26.4</v>
      </c>
      <c r="L32" s="26">
        <v>250</v>
      </c>
      <c r="M32" s="26">
        <v>100</v>
      </c>
      <c r="T32" s="26">
        <v>1000</v>
      </c>
      <c r="U32" s="26">
        <v>100</v>
      </c>
    </row>
    <row r="33" spans="1:21" x14ac:dyDescent="0.25">
      <c r="A33" s="96">
        <v>1560</v>
      </c>
      <c r="B33" s="97">
        <v>100</v>
      </c>
      <c r="C33" s="98">
        <v>58.05</v>
      </c>
      <c r="D33" s="26">
        <v>100</v>
      </c>
      <c r="E33" s="96">
        <v>1570</v>
      </c>
      <c r="F33" s="97">
        <v>3.2</v>
      </c>
      <c r="I33" s="96">
        <v>100</v>
      </c>
      <c r="J33" s="97">
        <v>100</v>
      </c>
      <c r="L33" s="26">
        <v>5971.23</v>
      </c>
      <c r="M33" s="26">
        <v>79.900000000000006</v>
      </c>
      <c r="T33" s="26">
        <v>984.4</v>
      </c>
      <c r="U33" s="26">
        <v>81.7</v>
      </c>
    </row>
    <row r="34" spans="1:21" x14ac:dyDescent="0.25">
      <c r="A34" s="96">
        <v>18</v>
      </c>
      <c r="B34" s="99">
        <v>100</v>
      </c>
      <c r="C34" s="98">
        <v>5.25</v>
      </c>
      <c r="D34" s="26">
        <v>100</v>
      </c>
      <c r="E34" s="96">
        <v>3939</v>
      </c>
      <c r="F34" s="97">
        <v>15.1</v>
      </c>
      <c r="I34" s="96">
        <v>156.74</v>
      </c>
      <c r="J34" s="97">
        <v>15.9</v>
      </c>
      <c r="L34" s="26">
        <v>417</v>
      </c>
      <c r="M34" s="26">
        <v>73.599999999999994</v>
      </c>
    </row>
    <row r="35" spans="1:21" x14ac:dyDescent="0.25">
      <c r="A35" s="94">
        <v>44</v>
      </c>
      <c r="B35" s="95">
        <v>100</v>
      </c>
      <c r="C35" s="96">
        <v>23</v>
      </c>
      <c r="D35" s="26">
        <v>100</v>
      </c>
      <c r="E35" s="96">
        <v>156.74</v>
      </c>
      <c r="F35" s="97">
        <v>55.3</v>
      </c>
      <c r="I35" s="96">
        <v>307.2</v>
      </c>
      <c r="J35" s="97">
        <v>21.9</v>
      </c>
      <c r="L35" s="26">
        <v>307.2</v>
      </c>
      <c r="M35" s="26">
        <v>78.099999999999994</v>
      </c>
    </row>
    <row r="36" spans="1:21" x14ac:dyDescent="0.25">
      <c r="A36" s="94">
        <v>54</v>
      </c>
      <c r="B36" s="95">
        <v>100</v>
      </c>
      <c r="C36" s="101">
        <v>186.25</v>
      </c>
      <c r="D36" s="103">
        <v>16.600000000000001</v>
      </c>
      <c r="E36" s="96">
        <v>201.6</v>
      </c>
      <c r="F36" s="97">
        <v>2.5</v>
      </c>
      <c r="I36" s="96">
        <v>201.6</v>
      </c>
      <c r="J36" s="97">
        <v>95</v>
      </c>
      <c r="L36" s="26">
        <v>220</v>
      </c>
      <c r="M36" s="26">
        <v>100</v>
      </c>
    </row>
    <row r="37" spans="1:21" x14ac:dyDescent="0.25">
      <c r="A37" s="94">
        <v>71</v>
      </c>
      <c r="B37" s="93">
        <v>100</v>
      </c>
      <c r="E37" s="96">
        <v>175</v>
      </c>
      <c r="F37" s="97">
        <v>91.4</v>
      </c>
      <c r="I37" s="96">
        <v>289</v>
      </c>
      <c r="J37" s="97">
        <v>100</v>
      </c>
      <c r="L37" s="26">
        <v>642.4</v>
      </c>
      <c r="M37" s="26">
        <v>100</v>
      </c>
    </row>
    <row r="38" spans="1:21" x14ac:dyDescent="0.25">
      <c r="A38" s="96">
        <v>1998</v>
      </c>
      <c r="B38" s="97">
        <v>50</v>
      </c>
      <c r="E38" s="96">
        <v>649.68000000000006</v>
      </c>
      <c r="F38" s="97">
        <v>18.5</v>
      </c>
      <c r="I38" s="96">
        <v>176.2</v>
      </c>
      <c r="J38" s="97">
        <v>17</v>
      </c>
      <c r="L38" s="26">
        <v>18.5</v>
      </c>
      <c r="M38" s="26">
        <v>100</v>
      </c>
    </row>
    <row r="39" spans="1:21" x14ac:dyDescent="0.25">
      <c r="A39" s="96">
        <v>1500</v>
      </c>
      <c r="B39" s="97">
        <v>60</v>
      </c>
      <c r="E39" s="96">
        <v>824</v>
      </c>
      <c r="F39" s="97">
        <v>75.2</v>
      </c>
      <c r="I39" s="96">
        <v>272</v>
      </c>
      <c r="J39" s="97">
        <v>100</v>
      </c>
      <c r="L39" s="26">
        <v>176.2</v>
      </c>
      <c r="M39" s="26">
        <v>83</v>
      </c>
    </row>
    <row r="40" spans="1:21" x14ac:dyDescent="0.25">
      <c r="A40" s="96">
        <v>490</v>
      </c>
      <c r="B40" s="97">
        <v>100</v>
      </c>
      <c r="E40" s="96">
        <v>182</v>
      </c>
      <c r="F40" s="97">
        <v>54.9</v>
      </c>
      <c r="I40" s="96">
        <v>649.68000000000006</v>
      </c>
      <c r="J40" s="97">
        <v>78.400000000000006</v>
      </c>
      <c r="L40" s="26">
        <v>649.68000000000006</v>
      </c>
      <c r="M40" s="26">
        <v>3.1</v>
      </c>
    </row>
    <row r="41" spans="1:21" x14ac:dyDescent="0.25">
      <c r="A41" s="96">
        <v>2000</v>
      </c>
      <c r="B41" s="97">
        <v>100</v>
      </c>
      <c r="E41" s="98">
        <v>400</v>
      </c>
      <c r="F41" s="97">
        <v>100</v>
      </c>
      <c r="I41" s="96">
        <v>125</v>
      </c>
      <c r="J41" s="97">
        <v>40</v>
      </c>
      <c r="L41" s="26">
        <v>100</v>
      </c>
      <c r="M41" s="26">
        <v>100</v>
      </c>
    </row>
    <row r="42" spans="1:21" x14ac:dyDescent="0.25">
      <c r="A42" s="96">
        <v>3000</v>
      </c>
      <c r="B42" s="97">
        <v>100</v>
      </c>
      <c r="E42" s="98">
        <v>19.350000000000001</v>
      </c>
      <c r="F42" s="97">
        <v>100</v>
      </c>
      <c r="I42" s="96">
        <v>1000</v>
      </c>
      <c r="J42" s="97">
        <v>100</v>
      </c>
      <c r="L42" s="26">
        <v>125</v>
      </c>
      <c r="M42" s="26">
        <v>60</v>
      </c>
    </row>
    <row r="43" spans="1:21" x14ac:dyDescent="0.25">
      <c r="A43" s="96">
        <v>924</v>
      </c>
      <c r="B43" s="97">
        <v>24</v>
      </c>
      <c r="E43" s="98">
        <v>200</v>
      </c>
      <c r="F43" s="97">
        <v>100</v>
      </c>
      <c r="I43" s="96">
        <v>984.4</v>
      </c>
      <c r="J43" s="97">
        <v>81.7</v>
      </c>
      <c r="L43" s="26">
        <v>824</v>
      </c>
      <c r="M43" s="26">
        <v>7.8</v>
      </c>
    </row>
    <row r="44" spans="1:21" x14ac:dyDescent="0.25">
      <c r="A44" s="96">
        <v>268</v>
      </c>
      <c r="B44" s="97">
        <v>100</v>
      </c>
      <c r="E44" s="101">
        <v>400</v>
      </c>
      <c r="F44" s="102">
        <v>100</v>
      </c>
      <c r="I44" s="98">
        <v>19.600000000000001</v>
      </c>
      <c r="J44" s="99">
        <v>100</v>
      </c>
      <c r="L44" s="26">
        <v>984.4</v>
      </c>
      <c r="M44" s="26">
        <v>18.3</v>
      </c>
    </row>
    <row r="45" spans="1:21" x14ac:dyDescent="0.25">
      <c r="A45" s="96">
        <v>1019</v>
      </c>
      <c r="B45" s="97">
        <v>100</v>
      </c>
      <c r="I45" s="104">
        <v>1000</v>
      </c>
      <c r="J45" s="102">
        <v>100</v>
      </c>
      <c r="L45" s="26">
        <v>182</v>
      </c>
      <c r="M45" s="26">
        <v>45.1</v>
      </c>
    </row>
    <row r="46" spans="1:21" x14ac:dyDescent="0.25">
      <c r="A46" s="96">
        <v>20</v>
      </c>
      <c r="B46" s="97">
        <v>20</v>
      </c>
      <c r="L46" s="26">
        <v>79</v>
      </c>
      <c r="M46" s="26">
        <v>100</v>
      </c>
    </row>
    <row r="47" spans="1:21" x14ac:dyDescent="0.25">
      <c r="A47" s="96">
        <v>20</v>
      </c>
      <c r="B47" s="97">
        <v>100</v>
      </c>
      <c r="L47">
        <v>39.56</v>
      </c>
      <c r="M47" s="60">
        <v>100</v>
      </c>
    </row>
    <row r="48" spans="1:21" x14ac:dyDescent="0.25">
      <c r="A48" s="96">
        <v>688</v>
      </c>
      <c r="B48" s="97">
        <v>50</v>
      </c>
      <c r="L48">
        <v>50</v>
      </c>
      <c r="M48" s="60">
        <v>100</v>
      </c>
    </row>
    <row r="49" spans="1:13" x14ac:dyDescent="0.25">
      <c r="A49" s="96">
        <v>30</v>
      </c>
      <c r="B49" s="97">
        <v>100</v>
      </c>
      <c r="L49" s="26">
        <v>36</v>
      </c>
      <c r="M49" s="26">
        <v>100</v>
      </c>
    </row>
    <row r="50" spans="1:13" x14ac:dyDescent="0.25">
      <c r="A50" s="96">
        <v>42</v>
      </c>
      <c r="B50" s="97">
        <v>100</v>
      </c>
      <c r="L50" s="26">
        <v>1000</v>
      </c>
      <c r="M50" s="26">
        <v>100</v>
      </c>
    </row>
    <row r="51" spans="1:13" x14ac:dyDescent="0.25">
      <c r="A51" s="96">
        <v>19</v>
      </c>
      <c r="B51" s="97">
        <v>100</v>
      </c>
      <c r="L51" s="26">
        <v>99.8</v>
      </c>
      <c r="M51" s="26">
        <v>100</v>
      </c>
    </row>
    <row r="52" spans="1:13" x14ac:dyDescent="0.25">
      <c r="A52" s="96">
        <v>20</v>
      </c>
      <c r="B52" s="97">
        <v>100</v>
      </c>
      <c r="L52" s="26">
        <v>160</v>
      </c>
      <c r="M52" s="26">
        <v>100</v>
      </c>
    </row>
    <row r="53" spans="1:13" x14ac:dyDescent="0.25">
      <c r="A53" s="96">
        <v>140</v>
      </c>
      <c r="B53" s="97">
        <v>100</v>
      </c>
      <c r="L53" s="26">
        <v>186.25</v>
      </c>
      <c r="M53" s="26">
        <v>83.4</v>
      </c>
    </row>
    <row r="54" spans="1:13" x14ac:dyDescent="0.25">
      <c r="A54" s="96">
        <v>40</v>
      </c>
      <c r="B54" s="97">
        <v>100</v>
      </c>
      <c r="L54" s="26">
        <v>26</v>
      </c>
      <c r="M54" s="26">
        <v>100</v>
      </c>
    </row>
    <row r="55" spans="1:13" x14ac:dyDescent="0.25">
      <c r="A55" s="98">
        <v>53</v>
      </c>
      <c r="B55" s="97">
        <v>50</v>
      </c>
    </row>
    <row r="56" spans="1:13" x14ac:dyDescent="0.25">
      <c r="A56" s="96">
        <v>16.8</v>
      </c>
      <c r="B56" s="97">
        <v>100</v>
      </c>
    </row>
    <row r="57" spans="1:13" x14ac:dyDescent="0.25">
      <c r="A57" s="96">
        <v>10</v>
      </c>
      <c r="B57" s="97">
        <v>100</v>
      </c>
    </row>
    <row r="58" spans="1:13" x14ac:dyDescent="0.25">
      <c r="A58" s="96">
        <v>45</v>
      </c>
      <c r="B58" s="97">
        <v>100</v>
      </c>
    </row>
    <row r="59" spans="1:13" x14ac:dyDescent="0.25">
      <c r="A59" s="96">
        <v>34</v>
      </c>
      <c r="B59" s="97">
        <v>100</v>
      </c>
    </row>
    <row r="60" spans="1:13" x14ac:dyDescent="0.25">
      <c r="A60" s="96">
        <v>110</v>
      </c>
      <c r="B60" s="97">
        <v>60</v>
      </c>
    </row>
    <row r="61" spans="1:13" x14ac:dyDescent="0.25">
      <c r="A61" s="96">
        <v>2636</v>
      </c>
      <c r="B61" s="97">
        <v>4</v>
      </c>
    </row>
    <row r="62" spans="1:13" x14ac:dyDescent="0.25">
      <c r="A62" s="96">
        <v>300</v>
      </c>
      <c r="B62" s="97">
        <v>100</v>
      </c>
    </row>
    <row r="63" spans="1:13" x14ac:dyDescent="0.25">
      <c r="A63" s="96">
        <v>216.29999999999998</v>
      </c>
      <c r="B63" s="97">
        <v>27.6</v>
      </c>
    </row>
    <row r="64" spans="1:13" x14ac:dyDescent="0.25">
      <c r="A64" s="96">
        <v>442</v>
      </c>
      <c r="B64" s="97">
        <v>66.099999999999994</v>
      </c>
    </row>
    <row r="65" spans="1:2" x14ac:dyDescent="0.25">
      <c r="A65" s="96">
        <v>1570</v>
      </c>
      <c r="B65" s="97">
        <v>31.8</v>
      </c>
    </row>
    <row r="66" spans="1:2" x14ac:dyDescent="0.25">
      <c r="A66" s="96">
        <v>3939</v>
      </c>
      <c r="B66" s="97">
        <v>1.5</v>
      </c>
    </row>
    <row r="67" spans="1:2" x14ac:dyDescent="0.25">
      <c r="A67" s="96">
        <v>154.69999999999999</v>
      </c>
      <c r="B67" s="97">
        <v>100</v>
      </c>
    </row>
    <row r="68" spans="1:2" x14ac:dyDescent="0.25">
      <c r="A68" s="96">
        <v>32</v>
      </c>
      <c r="B68" s="97">
        <v>6.3</v>
      </c>
    </row>
    <row r="69" spans="1:2" x14ac:dyDescent="0.25">
      <c r="A69" s="96">
        <v>250</v>
      </c>
      <c r="B69" s="97">
        <v>100</v>
      </c>
    </row>
    <row r="70" spans="1:2" x14ac:dyDescent="0.25">
      <c r="A70" s="96">
        <v>5971.23</v>
      </c>
      <c r="B70" s="97">
        <v>79.900000000000006</v>
      </c>
    </row>
    <row r="71" spans="1:2" x14ac:dyDescent="0.25">
      <c r="A71" s="96">
        <v>417</v>
      </c>
      <c r="B71" s="97">
        <v>73.599999999999994</v>
      </c>
    </row>
    <row r="72" spans="1:2" x14ac:dyDescent="0.25">
      <c r="A72" s="96">
        <v>307.2</v>
      </c>
      <c r="B72" s="97">
        <v>78.099999999999994</v>
      </c>
    </row>
    <row r="73" spans="1:2" x14ac:dyDescent="0.25">
      <c r="A73" s="96">
        <v>220</v>
      </c>
      <c r="B73" s="97">
        <v>100</v>
      </c>
    </row>
    <row r="74" spans="1:2" x14ac:dyDescent="0.25">
      <c r="A74" s="96">
        <v>642.4</v>
      </c>
      <c r="B74" s="97">
        <v>100</v>
      </c>
    </row>
    <row r="75" spans="1:2" x14ac:dyDescent="0.25">
      <c r="A75" s="96">
        <v>18.5</v>
      </c>
      <c r="B75" s="97">
        <v>100</v>
      </c>
    </row>
    <row r="76" spans="1:2" x14ac:dyDescent="0.25">
      <c r="A76" s="96">
        <v>176.2</v>
      </c>
      <c r="B76" s="97">
        <v>83</v>
      </c>
    </row>
    <row r="77" spans="1:2" x14ac:dyDescent="0.25">
      <c r="A77" s="96">
        <v>649.68000000000006</v>
      </c>
      <c r="B77" s="97">
        <v>3.1</v>
      </c>
    </row>
    <row r="78" spans="1:2" x14ac:dyDescent="0.25">
      <c r="A78" s="96">
        <v>100</v>
      </c>
      <c r="B78" s="97">
        <v>100</v>
      </c>
    </row>
    <row r="79" spans="1:2" x14ac:dyDescent="0.25">
      <c r="A79" s="96">
        <v>125</v>
      </c>
      <c r="B79" s="97">
        <v>60</v>
      </c>
    </row>
    <row r="80" spans="1:2" x14ac:dyDescent="0.25">
      <c r="A80" s="96">
        <v>824</v>
      </c>
      <c r="B80" s="97">
        <v>7.8</v>
      </c>
    </row>
    <row r="81" spans="1:2" x14ac:dyDescent="0.25">
      <c r="A81" s="96">
        <v>984.4</v>
      </c>
      <c r="B81" s="97">
        <v>18.3</v>
      </c>
    </row>
    <row r="82" spans="1:2" x14ac:dyDescent="0.25">
      <c r="A82" s="96">
        <v>182</v>
      </c>
      <c r="B82" s="97">
        <v>45.1</v>
      </c>
    </row>
    <row r="83" spans="1:2" x14ac:dyDescent="0.25">
      <c r="A83" s="96">
        <v>79</v>
      </c>
      <c r="B83" s="97">
        <v>100</v>
      </c>
    </row>
    <row r="84" spans="1:2" x14ac:dyDescent="0.25">
      <c r="A84" s="98">
        <v>39.56</v>
      </c>
      <c r="B84" s="100">
        <v>100</v>
      </c>
    </row>
    <row r="85" spans="1:2" x14ac:dyDescent="0.25">
      <c r="A85" s="98">
        <v>50</v>
      </c>
      <c r="B85" s="100">
        <v>100</v>
      </c>
    </row>
    <row r="86" spans="1:2" x14ac:dyDescent="0.25">
      <c r="A86" s="98">
        <v>20.25</v>
      </c>
      <c r="B86" s="100">
        <v>100</v>
      </c>
    </row>
    <row r="87" spans="1:2" x14ac:dyDescent="0.25">
      <c r="A87" s="98">
        <v>39.06</v>
      </c>
      <c r="B87" s="100">
        <v>100</v>
      </c>
    </row>
    <row r="88" spans="1:2" x14ac:dyDescent="0.25">
      <c r="A88" s="98">
        <v>19.98</v>
      </c>
      <c r="B88" s="100">
        <v>100</v>
      </c>
    </row>
    <row r="89" spans="1:2" x14ac:dyDescent="0.25">
      <c r="A89" s="98">
        <v>20.2</v>
      </c>
      <c r="B89" s="100">
        <v>100</v>
      </c>
    </row>
    <row r="90" spans="1:2" x14ac:dyDescent="0.25">
      <c r="A90" s="98">
        <v>66.8</v>
      </c>
      <c r="B90" s="100">
        <v>100</v>
      </c>
    </row>
    <row r="91" spans="1:2" x14ac:dyDescent="0.25">
      <c r="A91" s="96">
        <v>10</v>
      </c>
      <c r="B91" s="97">
        <v>100</v>
      </c>
    </row>
    <row r="92" spans="1:2" x14ac:dyDescent="0.25">
      <c r="A92" s="96">
        <v>36</v>
      </c>
      <c r="B92" s="97">
        <v>100</v>
      </c>
    </row>
    <row r="93" spans="1:2" x14ac:dyDescent="0.25">
      <c r="A93" s="96">
        <v>1000</v>
      </c>
      <c r="B93" s="97">
        <v>100</v>
      </c>
    </row>
    <row r="94" spans="1:2" x14ac:dyDescent="0.25">
      <c r="A94" s="96">
        <v>99.8</v>
      </c>
      <c r="B94" s="97">
        <v>100</v>
      </c>
    </row>
    <row r="95" spans="1:2" x14ac:dyDescent="0.25">
      <c r="A95" s="96">
        <v>160</v>
      </c>
      <c r="B95" s="97">
        <v>100</v>
      </c>
    </row>
    <row r="96" spans="1:2" x14ac:dyDescent="0.25">
      <c r="A96" s="96">
        <v>186.25</v>
      </c>
      <c r="B96" s="97">
        <v>83.4</v>
      </c>
    </row>
    <row r="97" spans="1:2" x14ac:dyDescent="0.25">
      <c r="A97" s="101">
        <v>26</v>
      </c>
      <c r="B97" s="102">
        <v>100</v>
      </c>
    </row>
  </sheetData>
  <mergeCells count="40">
    <mergeCell ref="CB1:CC1"/>
    <mergeCell ref="CD1:CE1"/>
    <mergeCell ref="CF1:CG1"/>
    <mergeCell ref="CH1:CI1"/>
    <mergeCell ref="BO1:BP1"/>
    <mergeCell ref="BQ1:BR1"/>
    <mergeCell ref="BS1:BT1"/>
    <mergeCell ref="BU1:BV1"/>
    <mergeCell ref="BW1:BX1"/>
    <mergeCell ref="BZ1:CA1"/>
    <mergeCell ref="BL1:BM1"/>
    <mergeCell ref="AN1:AO1"/>
    <mergeCell ref="AP1:AQ1"/>
    <mergeCell ref="AS1:AT1"/>
    <mergeCell ref="AU1:AV1"/>
    <mergeCell ref="AW1:AX1"/>
    <mergeCell ref="AY1:AZ1"/>
    <mergeCell ref="BA1:BB1"/>
    <mergeCell ref="BD1:BE1"/>
    <mergeCell ref="BF1:BG1"/>
    <mergeCell ref="BH1:BI1"/>
    <mergeCell ref="BJ1:BK1"/>
    <mergeCell ref="AL1:AM1"/>
    <mergeCell ref="N1:O1"/>
    <mergeCell ref="P1:Q1"/>
    <mergeCell ref="R1:S1"/>
    <mergeCell ref="T1:U1"/>
    <mergeCell ref="W1:X1"/>
    <mergeCell ref="Y1:Z1"/>
    <mergeCell ref="AA1:AB1"/>
    <mergeCell ref="AC1:AD1"/>
    <mergeCell ref="AE1:AF1"/>
    <mergeCell ref="AH1:AI1"/>
    <mergeCell ref="AJ1:AK1"/>
    <mergeCell ref="L1:M1"/>
    <mergeCell ref="A1:B1"/>
    <mergeCell ref="C1:D1"/>
    <mergeCell ref="E1:F1"/>
    <mergeCell ref="G1:H1"/>
    <mergeCell ref="I1:J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6CFD-A7DE-4AF5-858D-9C459A1F6009}">
  <sheetPr codeName="Sheet3" filterMode="1"/>
  <dimension ref="A1:E104"/>
  <sheetViews>
    <sheetView workbookViewId="0">
      <selection activeCell="C27" sqref="C27"/>
    </sheetView>
  </sheetViews>
  <sheetFormatPr defaultRowHeight="15" x14ac:dyDescent="0.25"/>
  <cols>
    <col min="1" max="1" width="29" customWidth="1"/>
    <col min="3" max="3" width="10.140625" customWidth="1"/>
    <col min="4" max="4" width="10.5703125" customWidth="1"/>
  </cols>
  <sheetData>
    <row r="1" spans="1:5" x14ac:dyDescent="0.25">
      <c r="A1" s="58" t="s">
        <v>381</v>
      </c>
      <c r="B1" s="58" t="s">
        <v>3579</v>
      </c>
      <c r="C1" s="58" t="s">
        <v>3572</v>
      </c>
      <c r="D1" s="58" t="s">
        <v>3674</v>
      </c>
      <c r="E1" s="59" t="s">
        <v>3675</v>
      </c>
    </row>
    <row r="2" spans="1:5" x14ac:dyDescent="0.25">
      <c r="A2" t="s">
        <v>3573</v>
      </c>
      <c r="B2">
        <v>6</v>
      </c>
      <c r="C2">
        <v>1</v>
      </c>
      <c r="D2">
        <v>4</v>
      </c>
      <c r="E2" t="s">
        <v>3679</v>
      </c>
    </row>
    <row r="3" spans="1:5" x14ac:dyDescent="0.25">
      <c r="A3" s="57" t="s">
        <v>3574</v>
      </c>
      <c r="B3">
        <v>4.5999999999999996</v>
      </c>
      <c r="C3">
        <v>1</v>
      </c>
      <c r="D3">
        <v>6</v>
      </c>
      <c r="E3" t="s">
        <v>3679</v>
      </c>
    </row>
    <row r="4" spans="1:5" x14ac:dyDescent="0.25">
      <c r="A4" t="s">
        <v>3575</v>
      </c>
      <c r="B4">
        <v>4</v>
      </c>
      <c r="C4">
        <v>1</v>
      </c>
      <c r="D4">
        <v>7</v>
      </c>
      <c r="E4" t="s">
        <v>3679</v>
      </c>
    </row>
    <row r="5" spans="1:5" hidden="1" x14ac:dyDescent="0.25">
      <c r="A5" s="57" t="s">
        <v>3576</v>
      </c>
      <c r="B5">
        <v>19.5</v>
      </c>
      <c r="C5">
        <v>2</v>
      </c>
      <c r="D5">
        <v>2</v>
      </c>
      <c r="E5" t="s">
        <v>3680</v>
      </c>
    </row>
    <row r="6" spans="1:5" hidden="1" x14ac:dyDescent="0.25">
      <c r="A6" s="57" t="s">
        <v>3577</v>
      </c>
      <c r="B6">
        <v>12</v>
      </c>
      <c r="C6">
        <v>2</v>
      </c>
      <c r="D6">
        <v>2</v>
      </c>
      <c r="E6" t="s">
        <v>3680</v>
      </c>
    </row>
    <row r="7" spans="1:5" x14ac:dyDescent="0.25">
      <c r="A7" s="57" t="s">
        <v>3578</v>
      </c>
      <c r="B7">
        <v>500</v>
      </c>
      <c r="C7">
        <v>1</v>
      </c>
      <c r="D7">
        <v>65</v>
      </c>
      <c r="E7" t="s">
        <v>3679</v>
      </c>
    </row>
    <row r="8" spans="1:5" x14ac:dyDescent="0.25">
      <c r="A8" t="s">
        <v>3580</v>
      </c>
      <c r="B8">
        <v>7.5</v>
      </c>
      <c r="C8">
        <v>1</v>
      </c>
      <c r="D8">
        <v>2</v>
      </c>
      <c r="E8" t="s">
        <v>3679</v>
      </c>
    </row>
    <row r="9" spans="1:5" x14ac:dyDescent="0.25">
      <c r="A9" s="57" t="s">
        <v>3581</v>
      </c>
      <c r="B9">
        <v>129.76</v>
      </c>
      <c r="C9">
        <v>2</v>
      </c>
      <c r="D9">
        <v>8</v>
      </c>
      <c r="E9" t="s">
        <v>3679</v>
      </c>
    </row>
    <row r="10" spans="1:5" x14ac:dyDescent="0.25">
      <c r="A10" s="57" t="s">
        <v>3582</v>
      </c>
      <c r="B10">
        <v>16</v>
      </c>
      <c r="C10">
        <v>1</v>
      </c>
      <c r="D10">
        <v>10</v>
      </c>
      <c r="E10" t="s">
        <v>3679</v>
      </c>
    </row>
    <row r="11" spans="1:5" x14ac:dyDescent="0.25">
      <c r="A11" s="57" t="s">
        <v>3583</v>
      </c>
      <c r="B11">
        <v>9.85</v>
      </c>
      <c r="C11">
        <v>1</v>
      </c>
      <c r="D11">
        <v>3</v>
      </c>
      <c r="E11" t="s">
        <v>3679</v>
      </c>
    </row>
    <row r="12" spans="1:5" x14ac:dyDescent="0.25">
      <c r="A12" s="57" t="s">
        <v>3584</v>
      </c>
      <c r="B12">
        <v>4.3499999999999996</v>
      </c>
      <c r="C12">
        <v>1</v>
      </c>
      <c r="D12">
        <v>2</v>
      </c>
      <c r="E12" t="s">
        <v>3679</v>
      </c>
    </row>
    <row r="13" spans="1:5" x14ac:dyDescent="0.25">
      <c r="A13" s="57" t="s">
        <v>3585</v>
      </c>
      <c r="B13">
        <v>18.46</v>
      </c>
      <c r="C13">
        <v>1</v>
      </c>
      <c r="D13">
        <v>3</v>
      </c>
      <c r="E13" t="s">
        <v>3679</v>
      </c>
    </row>
    <row r="14" spans="1:5" x14ac:dyDescent="0.25">
      <c r="A14" s="57" t="s">
        <v>3586</v>
      </c>
      <c r="B14">
        <v>400</v>
      </c>
      <c r="C14">
        <v>1</v>
      </c>
      <c r="D14">
        <v>5</v>
      </c>
      <c r="E14" t="s">
        <v>3679</v>
      </c>
    </row>
    <row r="15" spans="1:5" x14ac:dyDescent="0.25">
      <c r="A15" s="57" t="s">
        <v>3587</v>
      </c>
      <c r="B15">
        <v>8.26</v>
      </c>
      <c r="C15">
        <v>2</v>
      </c>
      <c r="D15">
        <v>2</v>
      </c>
      <c r="E15" t="s">
        <v>3679</v>
      </c>
    </row>
    <row r="16" spans="1:5" x14ac:dyDescent="0.25">
      <c r="A16" s="57" t="s">
        <v>3588</v>
      </c>
      <c r="B16">
        <v>52.5</v>
      </c>
      <c r="C16">
        <v>1</v>
      </c>
      <c r="D16">
        <v>1</v>
      </c>
      <c r="E16" t="s">
        <v>3679</v>
      </c>
    </row>
    <row r="17" spans="1:5" x14ac:dyDescent="0.25">
      <c r="A17" s="57" t="s">
        <v>3589</v>
      </c>
      <c r="B17">
        <v>4</v>
      </c>
      <c r="C17">
        <v>1</v>
      </c>
      <c r="D17">
        <v>2</v>
      </c>
      <c r="E17" t="s">
        <v>3679</v>
      </c>
    </row>
    <row r="18" spans="1:5" x14ac:dyDescent="0.25">
      <c r="A18" s="57" t="s">
        <v>3590</v>
      </c>
      <c r="B18">
        <v>47</v>
      </c>
      <c r="C18">
        <v>1</v>
      </c>
      <c r="D18">
        <v>12</v>
      </c>
      <c r="E18" t="s">
        <v>3679</v>
      </c>
    </row>
    <row r="19" spans="1:5" x14ac:dyDescent="0.25">
      <c r="A19" s="57" t="s">
        <v>3591</v>
      </c>
      <c r="B19">
        <v>8</v>
      </c>
      <c r="C19">
        <v>2</v>
      </c>
      <c r="D19">
        <v>3</v>
      </c>
      <c r="E19" t="s">
        <v>3679</v>
      </c>
    </row>
    <row r="20" spans="1:5" x14ac:dyDescent="0.25">
      <c r="A20" t="s">
        <v>3592</v>
      </c>
      <c r="B20">
        <v>8.98</v>
      </c>
      <c r="C20">
        <v>1</v>
      </c>
      <c r="D20">
        <v>2</v>
      </c>
      <c r="E20" t="s">
        <v>3679</v>
      </c>
    </row>
    <row r="21" spans="1:5" x14ac:dyDescent="0.25">
      <c r="A21" s="57" t="s">
        <v>3593</v>
      </c>
      <c r="B21">
        <v>19.55</v>
      </c>
      <c r="C21">
        <v>1</v>
      </c>
      <c r="D21">
        <v>2</v>
      </c>
      <c r="E21" t="s">
        <v>3679</v>
      </c>
    </row>
    <row r="22" spans="1:5" x14ac:dyDescent="0.25">
      <c r="A22" s="57" t="s">
        <v>3594</v>
      </c>
      <c r="B22">
        <v>5.25</v>
      </c>
      <c r="C22">
        <v>1</v>
      </c>
      <c r="D22">
        <v>2</v>
      </c>
      <c r="E22" t="s">
        <v>3679</v>
      </c>
    </row>
    <row r="23" spans="1:5" hidden="1" x14ac:dyDescent="0.25">
      <c r="A23" s="57" t="s">
        <v>3595</v>
      </c>
      <c r="B23">
        <v>18.559999999999999</v>
      </c>
      <c r="C23">
        <v>1</v>
      </c>
      <c r="D23">
        <v>28</v>
      </c>
      <c r="E23" t="s">
        <v>3680</v>
      </c>
    </row>
    <row r="24" spans="1:5" x14ac:dyDescent="0.25">
      <c r="A24" t="s">
        <v>3596</v>
      </c>
      <c r="B24">
        <v>14.04</v>
      </c>
      <c r="C24">
        <v>2</v>
      </c>
      <c r="D24">
        <v>2</v>
      </c>
      <c r="E24" t="s">
        <v>3679</v>
      </c>
    </row>
    <row r="25" spans="1:5" x14ac:dyDescent="0.25">
      <c r="A25" s="57" t="s">
        <v>3597</v>
      </c>
      <c r="B25">
        <v>20</v>
      </c>
      <c r="C25">
        <v>1</v>
      </c>
      <c r="D25">
        <v>38</v>
      </c>
      <c r="E25" t="s">
        <v>3679</v>
      </c>
    </row>
    <row r="26" spans="1:5" x14ac:dyDescent="0.25">
      <c r="A26" t="s">
        <v>3598</v>
      </c>
      <c r="B26">
        <v>6</v>
      </c>
      <c r="C26">
        <v>1</v>
      </c>
      <c r="D26">
        <v>2</v>
      </c>
      <c r="E26" t="s">
        <v>3679</v>
      </c>
    </row>
    <row r="27" spans="1:5" x14ac:dyDescent="0.25">
      <c r="A27" s="57" t="s">
        <v>3599</v>
      </c>
      <c r="B27">
        <v>6</v>
      </c>
      <c r="C27">
        <v>1</v>
      </c>
      <c r="D27">
        <v>2</v>
      </c>
      <c r="E27" t="s">
        <v>3679</v>
      </c>
    </row>
    <row r="28" spans="1:5" x14ac:dyDescent="0.25">
      <c r="A28" t="s">
        <v>3600</v>
      </c>
      <c r="B28">
        <v>244</v>
      </c>
      <c r="C28">
        <v>2</v>
      </c>
      <c r="D28">
        <v>4</v>
      </c>
      <c r="E28" t="s">
        <v>3679</v>
      </c>
    </row>
    <row r="29" spans="1:5" x14ac:dyDescent="0.25">
      <c r="A29" s="57" t="s">
        <v>3601</v>
      </c>
      <c r="B29">
        <v>39.549999999999997</v>
      </c>
      <c r="C29">
        <v>2</v>
      </c>
      <c r="D29">
        <v>13</v>
      </c>
      <c r="E29" t="s">
        <v>3679</v>
      </c>
    </row>
    <row r="30" spans="1:5" hidden="1" x14ac:dyDescent="0.25">
      <c r="A30" t="s">
        <v>3602</v>
      </c>
      <c r="B30">
        <v>75</v>
      </c>
      <c r="C30">
        <v>1</v>
      </c>
      <c r="D30">
        <v>16</v>
      </c>
      <c r="E30" t="s">
        <v>3680</v>
      </c>
    </row>
    <row r="31" spans="1:5" hidden="1" x14ac:dyDescent="0.25">
      <c r="A31" s="57" t="s">
        <v>3603</v>
      </c>
      <c r="B31">
        <v>299.89999999999998</v>
      </c>
      <c r="C31">
        <v>2</v>
      </c>
      <c r="D31">
        <v>8</v>
      </c>
      <c r="E31" t="s">
        <v>3680</v>
      </c>
    </row>
    <row r="32" spans="1:5" hidden="1" x14ac:dyDescent="0.25">
      <c r="A32" t="s">
        <v>3604</v>
      </c>
      <c r="B32">
        <v>27</v>
      </c>
      <c r="C32">
        <v>1</v>
      </c>
      <c r="D32">
        <v>2</v>
      </c>
      <c r="E32" t="s">
        <v>3680</v>
      </c>
    </row>
    <row r="33" spans="1:5" x14ac:dyDescent="0.25">
      <c r="A33" s="57" t="s">
        <v>3605</v>
      </c>
      <c r="B33">
        <v>49.99</v>
      </c>
      <c r="C33">
        <v>1</v>
      </c>
      <c r="D33">
        <v>6</v>
      </c>
      <c r="E33" t="s">
        <v>3679</v>
      </c>
    </row>
    <row r="34" spans="1:5" hidden="1" x14ac:dyDescent="0.25">
      <c r="A34" t="s">
        <v>3606</v>
      </c>
      <c r="B34">
        <v>20</v>
      </c>
      <c r="C34">
        <v>1</v>
      </c>
      <c r="D34">
        <v>5</v>
      </c>
      <c r="E34" t="s">
        <v>3680</v>
      </c>
    </row>
    <row r="35" spans="1:5" x14ac:dyDescent="0.25">
      <c r="A35" s="57" t="s">
        <v>3607</v>
      </c>
      <c r="B35">
        <v>304.60000000000002</v>
      </c>
      <c r="C35">
        <v>4</v>
      </c>
      <c r="D35">
        <v>5</v>
      </c>
      <c r="E35" t="s">
        <v>3679</v>
      </c>
    </row>
    <row r="36" spans="1:5" x14ac:dyDescent="0.25">
      <c r="A36" t="s">
        <v>3608</v>
      </c>
      <c r="B36">
        <v>19.190000000000001</v>
      </c>
      <c r="C36">
        <v>1</v>
      </c>
      <c r="D36">
        <v>3</v>
      </c>
      <c r="E36" t="s">
        <v>3679</v>
      </c>
    </row>
    <row r="37" spans="1:5" hidden="1" x14ac:dyDescent="0.25">
      <c r="A37" s="57" t="s">
        <v>3609</v>
      </c>
      <c r="B37">
        <v>19.600000000000001</v>
      </c>
      <c r="C37">
        <v>1</v>
      </c>
      <c r="D37">
        <v>7</v>
      </c>
      <c r="E37" t="s">
        <v>3680</v>
      </c>
    </row>
    <row r="38" spans="1:5" x14ac:dyDescent="0.25">
      <c r="A38" t="s">
        <v>3610</v>
      </c>
      <c r="B38">
        <v>900</v>
      </c>
      <c r="C38">
        <v>1</v>
      </c>
      <c r="D38">
        <v>1</v>
      </c>
      <c r="E38" t="s">
        <v>3679</v>
      </c>
    </row>
    <row r="39" spans="1:5" hidden="1" x14ac:dyDescent="0.25">
      <c r="A39" s="57" t="s">
        <v>3611</v>
      </c>
      <c r="B39">
        <v>24.8</v>
      </c>
      <c r="C39">
        <v>1</v>
      </c>
      <c r="D39">
        <v>5</v>
      </c>
      <c r="E39" t="s">
        <v>3680</v>
      </c>
    </row>
    <row r="40" spans="1:5" hidden="1" x14ac:dyDescent="0.25">
      <c r="A40" t="s">
        <v>3612</v>
      </c>
      <c r="B40">
        <v>46.5</v>
      </c>
      <c r="C40">
        <v>2</v>
      </c>
      <c r="D40">
        <v>21</v>
      </c>
      <c r="E40" t="s">
        <v>3680</v>
      </c>
    </row>
    <row r="41" spans="1:5" x14ac:dyDescent="0.25">
      <c r="A41" s="57" t="s">
        <v>3613</v>
      </c>
      <c r="B41">
        <v>39.6</v>
      </c>
      <c r="C41">
        <v>2</v>
      </c>
      <c r="D41">
        <v>15</v>
      </c>
      <c r="E41" t="s">
        <v>3679</v>
      </c>
    </row>
    <row r="42" spans="1:5" hidden="1" x14ac:dyDescent="0.25">
      <c r="A42" t="s">
        <v>3614</v>
      </c>
      <c r="B42">
        <v>19.5</v>
      </c>
      <c r="C42">
        <v>2</v>
      </c>
      <c r="D42">
        <v>16</v>
      </c>
      <c r="E42" t="s">
        <v>3680</v>
      </c>
    </row>
    <row r="43" spans="1:5" hidden="1" x14ac:dyDescent="0.25">
      <c r="A43" s="57" t="s">
        <v>3615</v>
      </c>
      <c r="B43">
        <v>19.8</v>
      </c>
      <c r="C43">
        <v>1</v>
      </c>
      <c r="D43">
        <v>8</v>
      </c>
      <c r="E43" t="s">
        <v>3680</v>
      </c>
    </row>
    <row r="44" spans="1:5" hidden="1" x14ac:dyDescent="0.25">
      <c r="A44" t="s">
        <v>3616</v>
      </c>
      <c r="B44">
        <v>20.02</v>
      </c>
      <c r="C44">
        <v>1</v>
      </c>
      <c r="D44">
        <v>3</v>
      </c>
      <c r="E44" t="s">
        <v>3680</v>
      </c>
    </row>
    <row r="45" spans="1:5" x14ac:dyDescent="0.25">
      <c r="A45" s="57" t="s">
        <v>3617</v>
      </c>
      <c r="B45">
        <v>250</v>
      </c>
      <c r="C45">
        <v>1</v>
      </c>
      <c r="D45">
        <v>5</v>
      </c>
      <c r="E45" t="s">
        <v>3679</v>
      </c>
    </row>
    <row r="46" spans="1:5" x14ac:dyDescent="0.25">
      <c r="A46" t="s">
        <v>3618</v>
      </c>
      <c r="B46">
        <v>19.350000000000001</v>
      </c>
      <c r="C46">
        <v>1</v>
      </c>
      <c r="D46">
        <v>5</v>
      </c>
      <c r="E46" t="s">
        <v>3679</v>
      </c>
    </row>
    <row r="47" spans="1:5" x14ac:dyDescent="0.25">
      <c r="A47" t="s">
        <v>3618</v>
      </c>
      <c r="B47">
        <v>75</v>
      </c>
      <c r="C47">
        <v>1</v>
      </c>
      <c r="D47">
        <v>8</v>
      </c>
      <c r="E47" t="s">
        <v>3679</v>
      </c>
    </row>
    <row r="48" spans="1:5" hidden="1" x14ac:dyDescent="0.25">
      <c r="A48" t="s">
        <v>3619</v>
      </c>
      <c r="B48">
        <v>47.56</v>
      </c>
      <c r="C48">
        <v>1</v>
      </c>
      <c r="D48">
        <v>6</v>
      </c>
      <c r="E48" t="s">
        <v>3680</v>
      </c>
    </row>
    <row r="49" spans="1:5" x14ac:dyDescent="0.25">
      <c r="A49" s="57" t="s">
        <v>3620</v>
      </c>
      <c r="B49">
        <v>6</v>
      </c>
      <c r="C49">
        <v>1</v>
      </c>
      <c r="D49">
        <v>5</v>
      </c>
      <c r="E49" t="s">
        <v>3679</v>
      </c>
    </row>
    <row r="50" spans="1:5" x14ac:dyDescent="0.25">
      <c r="A50" s="57" t="s">
        <v>3621</v>
      </c>
      <c r="B50">
        <v>171</v>
      </c>
      <c r="C50">
        <v>2</v>
      </c>
      <c r="D50">
        <v>15</v>
      </c>
      <c r="E50" t="s">
        <v>3679</v>
      </c>
    </row>
    <row r="51" spans="1:5" hidden="1" x14ac:dyDescent="0.25">
      <c r="A51" t="s">
        <v>3622</v>
      </c>
      <c r="B51">
        <v>89.6</v>
      </c>
      <c r="C51">
        <v>2</v>
      </c>
      <c r="D51">
        <v>6</v>
      </c>
      <c r="E51" t="s">
        <v>3680</v>
      </c>
    </row>
    <row r="52" spans="1:5" hidden="1" x14ac:dyDescent="0.25">
      <c r="A52" s="57" t="s">
        <v>3623</v>
      </c>
      <c r="B52">
        <v>6</v>
      </c>
      <c r="C52">
        <v>1</v>
      </c>
      <c r="D52">
        <v>3</v>
      </c>
      <c r="E52" t="s">
        <v>3680</v>
      </c>
    </row>
    <row r="53" spans="1:5" hidden="1" x14ac:dyDescent="0.25">
      <c r="A53" s="57" t="s">
        <v>3624</v>
      </c>
      <c r="B53">
        <v>400</v>
      </c>
      <c r="C53">
        <v>4</v>
      </c>
      <c r="D53">
        <v>1</v>
      </c>
      <c r="E53" t="s">
        <v>3680</v>
      </c>
    </row>
    <row r="54" spans="1:5" hidden="1" x14ac:dyDescent="0.25">
      <c r="A54" s="57" t="s">
        <v>3625</v>
      </c>
      <c r="B54">
        <v>4.5</v>
      </c>
      <c r="C54">
        <v>1</v>
      </c>
      <c r="D54">
        <v>2</v>
      </c>
      <c r="E54" t="s">
        <v>3680</v>
      </c>
    </row>
    <row r="55" spans="1:5" hidden="1" x14ac:dyDescent="0.25">
      <c r="A55" s="57" t="s">
        <v>3626</v>
      </c>
      <c r="B55">
        <v>37.14</v>
      </c>
      <c r="C55">
        <v>1</v>
      </c>
      <c r="D55">
        <v>2</v>
      </c>
      <c r="E55" t="s">
        <v>3680</v>
      </c>
    </row>
    <row r="56" spans="1:5" x14ac:dyDescent="0.25">
      <c r="A56" s="57" t="s">
        <v>3627</v>
      </c>
      <c r="B56">
        <v>20.25</v>
      </c>
      <c r="C56">
        <v>1</v>
      </c>
      <c r="D56">
        <v>4</v>
      </c>
      <c r="E56" t="s">
        <v>3679</v>
      </c>
    </row>
    <row r="57" spans="1:5" x14ac:dyDescent="0.25">
      <c r="A57" t="s">
        <v>3628</v>
      </c>
      <c r="B57">
        <v>99.63</v>
      </c>
      <c r="C57">
        <v>1</v>
      </c>
      <c r="D57">
        <v>2</v>
      </c>
      <c r="E57" t="s">
        <v>3679</v>
      </c>
    </row>
    <row r="58" spans="1:5" x14ac:dyDescent="0.25">
      <c r="A58" s="57" t="s">
        <v>3629</v>
      </c>
      <c r="B58">
        <v>93.6</v>
      </c>
      <c r="C58">
        <v>1</v>
      </c>
      <c r="D58">
        <v>2</v>
      </c>
      <c r="E58" t="s">
        <v>3679</v>
      </c>
    </row>
    <row r="59" spans="1:5" x14ac:dyDescent="0.25">
      <c r="A59" t="s">
        <v>3630</v>
      </c>
      <c r="B59">
        <v>19.600000000000001</v>
      </c>
      <c r="C59">
        <v>1</v>
      </c>
      <c r="D59">
        <v>16</v>
      </c>
      <c r="E59" t="s">
        <v>3679</v>
      </c>
    </row>
    <row r="60" spans="1:5" hidden="1" x14ac:dyDescent="0.25">
      <c r="A60" s="57" t="s">
        <v>3631</v>
      </c>
      <c r="B60">
        <v>22.65</v>
      </c>
      <c r="C60">
        <v>2</v>
      </c>
      <c r="D60">
        <v>16</v>
      </c>
      <c r="E60" t="s">
        <v>3680</v>
      </c>
    </row>
    <row r="61" spans="1:5" x14ac:dyDescent="0.25">
      <c r="A61" t="s">
        <v>3632</v>
      </c>
      <c r="B61">
        <v>200</v>
      </c>
      <c r="C61">
        <v>2</v>
      </c>
      <c r="D61">
        <v>7</v>
      </c>
      <c r="E61" t="s">
        <v>3679</v>
      </c>
    </row>
    <row r="62" spans="1:5" x14ac:dyDescent="0.25">
      <c r="A62" s="57" t="s">
        <v>3633</v>
      </c>
      <c r="B62">
        <v>182.25</v>
      </c>
      <c r="C62">
        <v>1</v>
      </c>
      <c r="D62">
        <v>2</v>
      </c>
      <c r="E62" t="s">
        <v>3679</v>
      </c>
    </row>
    <row r="63" spans="1:5" hidden="1" x14ac:dyDescent="0.25">
      <c r="A63" t="s">
        <v>3634</v>
      </c>
      <c r="B63">
        <v>70</v>
      </c>
      <c r="C63">
        <v>1</v>
      </c>
      <c r="D63">
        <v>4</v>
      </c>
      <c r="E63" t="s">
        <v>3680</v>
      </c>
    </row>
    <row r="64" spans="1:5" hidden="1" x14ac:dyDescent="0.25">
      <c r="A64" t="s">
        <v>3635</v>
      </c>
      <c r="B64">
        <v>9.75</v>
      </c>
      <c r="C64">
        <v>1</v>
      </c>
      <c r="D64">
        <v>4</v>
      </c>
      <c r="E64" t="s">
        <v>3680</v>
      </c>
    </row>
    <row r="65" spans="1:5" hidden="1" x14ac:dyDescent="0.25">
      <c r="A65" t="s">
        <v>3636</v>
      </c>
      <c r="B65">
        <v>107.8</v>
      </c>
      <c r="C65">
        <v>1</v>
      </c>
      <c r="D65">
        <v>3</v>
      </c>
      <c r="E65" t="s">
        <v>3680</v>
      </c>
    </row>
    <row r="66" spans="1:5" x14ac:dyDescent="0.25">
      <c r="A66" t="s">
        <v>3637</v>
      </c>
      <c r="B66">
        <v>39.06</v>
      </c>
      <c r="C66">
        <v>1</v>
      </c>
      <c r="D66">
        <v>2</v>
      </c>
      <c r="E66" t="s">
        <v>3679</v>
      </c>
    </row>
    <row r="67" spans="1:5" hidden="1" x14ac:dyDescent="0.25">
      <c r="A67" t="s">
        <v>3638</v>
      </c>
      <c r="B67">
        <v>999</v>
      </c>
      <c r="C67">
        <v>1</v>
      </c>
      <c r="D67">
        <v>3</v>
      </c>
      <c r="E67" t="s">
        <v>3680</v>
      </c>
    </row>
    <row r="68" spans="1:5" hidden="1" x14ac:dyDescent="0.25">
      <c r="A68" t="s">
        <v>3639</v>
      </c>
      <c r="B68">
        <v>10</v>
      </c>
      <c r="C68">
        <v>1</v>
      </c>
      <c r="D68">
        <v>5</v>
      </c>
      <c r="E68" t="s">
        <v>3680</v>
      </c>
    </row>
    <row r="69" spans="1:5" hidden="1" x14ac:dyDescent="0.25">
      <c r="A69" t="s">
        <v>3640</v>
      </c>
      <c r="B69">
        <v>27.62</v>
      </c>
      <c r="C69">
        <v>1</v>
      </c>
      <c r="D69">
        <v>5</v>
      </c>
      <c r="E69" t="s">
        <v>3680</v>
      </c>
    </row>
    <row r="70" spans="1:5" x14ac:dyDescent="0.25">
      <c r="A70" t="s">
        <v>3641</v>
      </c>
      <c r="B70">
        <v>36</v>
      </c>
      <c r="C70">
        <v>1</v>
      </c>
      <c r="D70">
        <v>2</v>
      </c>
      <c r="E70" t="s">
        <v>3679</v>
      </c>
    </row>
    <row r="71" spans="1:5" hidden="1" x14ac:dyDescent="0.25">
      <c r="A71" t="s">
        <v>3642</v>
      </c>
      <c r="B71">
        <v>30.03</v>
      </c>
      <c r="C71">
        <v>1</v>
      </c>
      <c r="D71">
        <v>3</v>
      </c>
      <c r="E71" t="s">
        <v>3680</v>
      </c>
    </row>
    <row r="72" spans="1:5" hidden="1" x14ac:dyDescent="0.25">
      <c r="A72" t="s">
        <v>3643</v>
      </c>
      <c r="B72">
        <v>42</v>
      </c>
      <c r="C72">
        <v>1</v>
      </c>
      <c r="D72">
        <v>6</v>
      </c>
      <c r="E72" t="s">
        <v>3680</v>
      </c>
    </row>
    <row r="73" spans="1:5" x14ac:dyDescent="0.25">
      <c r="A73" t="s">
        <v>3644</v>
      </c>
      <c r="B73">
        <v>180</v>
      </c>
      <c r="C73">
        <v>2</v>
      </c>
      <c r="D73">
        <v>5</v>
      </c>
      <c r="E73" t="s">
        <v>3679</v>
      </c>
    </row>
    <row r="74" spans="1:5" x14ac:dyDescent="0.25">
      <c r="A74" t="s">
        <v>3645</v>
      </c>
      <c r="B74">
        <v>5.81</v>
      </c>
      <c r="C74">
        <v>1</v>
      </c>
      <c r="D74">
        <v>2</v>
      </c>
      <c r="E74" t="s">
        <v>3679</v>
      </c>
    </row>
    <row r="75" spans="1:5" hidden="1" x14ac:dyDescent="0.25">
      <c r="A75" t="s">
        <v>3646</v>
      </c>
      <c r="B75">
        <v>54.78</v>
      </c>
      <c r="C75">
        <v>1</v>
      </c>
      <c r="D75">
        <v>13</v>
      </c>
      <c r="E75" t="s">
        <v>3680</v>
      </c>
    </row>
    <row r="76" spans="1:5" x14ac:dyDescent="0.25">
      <c r="A76" s="57" t="s">
        <v>3647</v>
      </c>
      <c r="B76">
        <v>69.3</v>
      </c>
      <c r="C76">
        <v>1</v>
      </c>
      <c r="D76">
        <v>1</v>
      </c>
      <c r="E76" t="s">
        <v>3679</v>
      </c>
    </row>
    <row r="77" spans="1:5" x14ac:dyDescent="0.25">
      <c r="A77" t="s">
        <v>3648</v>
      </c>
      <c r="B77">
        <v>19.84</v>
      </c>
      <c r="C77">
        <v>1</v>
      </c>
      <c r="D77">
        <v>3</v>
      </c>
      <c r="E77" t="s">
        <v>3679</v>
      </c>
    </row>
    <row r="78" spans="1:5" x14ac:dyDescent="0.25">
      <c r="A78" t="s">
        <v>3649</v>
      </c>
      <c r="B78">
        <v>90.2</v>
      </c>
      <c r="C78">
        <v>1</v>
      </c>
      <c r="D78">
        <v>4</v>
      </c>
      <c r="E78" t="s">
        <v>3679</v>
      </c>
    </row>
    <row r="79" spans="1:5" x14ac:dyDescent="0.25">
      <c r="A79" t="s">
        <v>3650</v>
      </c>
      <c r="B79">
        <v>26.4</v>
      </c>
      <c r="C79">
        <v>1</v>
      </c>
      <c r="D79">
        <v>3</v>
      </c>
      <c r="E79" t="s">
        <v>3679</v>
      </c>
    </row>
    <row r="80" spans="1:5" x14ac:dyDescent="0.25">
      <c r="A80" t="s">
        <v>3651</v>
      </c>
      <c r="B80">
        <v>99.19</v>
      </c>
      <c r="C80">
        <v>1</v>
      </c>
      <c r="D80">
        <v>2</v>
      </c>
      <c r="E80" t="s">
        <v>3679</v>
      </c>
    </row>
    <row r="81" spans="1:5" x14ac:dyDescent="0.25">
      <c r="A81" t="s">
        <v>3652</v>
      </c>
      <c r="B81">
        <v>12</v>
      </c>
      <c r="C81">
        <v>2</v>
      </c>
      <c r="D81">
        <v>4</v>
      </c>
      <c r="E81" t="s">
        <v>3679</v>
      </c>
    </row>
    <row r="82" spans="1:5" x14ac:dyDescent="0.25">
      <c r="A82" t="s">
        <v>3653</v>
      </c>
      <c r="B82">
        <v>19.98</v>
      </c>
      <c r="C82">
        <v>1</v>
      </c>
      <c r="D82">
        <v>3</v>
      </c>
      <c r="E82" t="s">
        <v>3679</v>
      </c>
    </row>
    <row r="83" spans="1:5" x14ac:dyDescent="0.25">
      <c r="A83" t="s">
        <v>3654</v>
      </c>
      <c r="B83">
        <v>10.1</v>
      </c>
      <c r="C83">
        <v>1</v>
      </c>
      <c r="D83">
        <v>7</v>
      </c>
      <c r="E83" t="s">
        <v>3679</v>
      </c>
    </row>
    <row r="84" spans="1:5" x14ac:dyDescent="0.25">
      <c r="A84" t="s">
        <v>3654</v>
      </c>
      <c r="B84">
        <v>10.1</v>
      </c>
      <c r="C84">
        <v>1</v>
      </c>
      <c r="D84">
        <v>4</v>
      </c>
      <c r="E84" t="s">
        <v>3679</v>
      </c>
    </row>
    <row r="85" spans="1:5" hidden="1" x14ac:dyDescent="0.25">
      <c r="A85" s="57" t="s">
        <v>3655</v>
      </c>
      <c r="B85">
        <v>4.8</v>
      </c>
      <c r="C85">
        <v>1</v>
      </c>
      <c r="D85">
        <v>8</v>
      </c>
      <c r="E85" t="s">
        <v>3680</v>
      </c>
    </row>
    <row r="86" spans="1:5" x14ac:dyDescent="0.25">
      <c r="A86" s="57" t="s">
        <v>3656</v>
      </c>
      <c r="B86">
        <v>66.8</v>
      </c>
      <c r="C86">
        <v>1</v>
      </c>
      <c r="D86">
        <v>30</v>
      </c>
      <c r="E86" t="s">
        <v>3679</v>
      </c>
    </row>
    <row r="87" spans="1:5" x14ac:dyDescent="0.25">
      <c r="A87" t="s">
        <v>3657</v>
      </c>
      <c r="B87">
        <v>10</v>
      </c>
      <c r="C87">
        <v>1</v>
      </c>
      <c r="D87">
        <v>4</v>
      </c>
      <c r="E87" t="s">
        <v>3679</v>
      </c>
    </row>
    <row r="88" spans="1:5" x14ac:dyDescent="0.25">
      <c r="A88" t="s">
        <v>3658</v>
      </c>
      <c r="B88">
        <v>9.8000000000000007</v>
      </c>
      <c r="C88">
        <v>1</v>
      </c>
      <c r="D88">
        <v>3</v>
      </c>
      <c r="E88" t="s">
        <v>3679</v>
      </c>
    </row>
    <row r="89" spans="1:5" hidden="1" x14ac:dyDescent="0.25">
      <c r="A89" t="s">
        <v>3659</v>
      </c>
      <c r="B89">
        <v>19.5</v>
      </c>
      <c r="C89">
        <v>1</v>
      </c>
      <c r="D89">
        <v>3</v>
      </c>
      <c r="E89" t="s">
        <v>3680</v>
      </c>
    </row>
    <row r="90" spans="1:5" hidden="1" x14ac:dyDescent="0.25">
      <c r="A90" t="s">
        <v>3660</v>
      </c>
      <c r="B90">
        <v>20.16</v>
      </c>
      <c r="C90">
        <v>1</v>
      </c>
      <c r="D90">
        <v>4</v>
      </c>
      <c r="E90" t="s">
        <v>3680</v>
      </c>
    </row>
    <row r="91" spans="1:5" x14ac:dyDescent="0.25">
      <c r="A91" t="s">
        <v>3661</v>
      </c>
      <c r="B91">
        <v>6</v>
      </c>
      <c r="C91">
        <v>1</v>
      </c>
      <c r="D91">
        <v>19</v>
      </c>
      <c r="E91" t="s">
        <v>3679</v>
      </c>
    </row>
    <row r="92" spans="1:5" hidden="1" x14ac:dyDescent="0.25">
      <c r="A92" t="s">
        <v>3662</v>
      </c>
      <c r="B92">
        <v>18</v>
      </c>
      <c r="C92">
        <v>3</v>
      </c>
      <c r="D92">
        <v>8</v>
      </c>
      <c r="E92" t="s">
        <v>3680</v>
      </c>
    </row>
    <row r="93" spans="1:5" x14ac:dyDescent="0.25">
      <c r="A93" t="s">
        <v>3663</v>
      </c>
      <c r="B93">
        <v>39.76</v>
      </c>
      <c r="C93">
        <v>3</v>
      </c>
      <c r="D93">
        <v>6</v>
      </c>
      <c r="E93" t="s">
        <v>3679</v>
      </c>
    </row>
    <row r="94" spans="1:5" x14ac:dyDescent="0.25">
      <c r="A94" t="s">
        <v>3664</v>
      </c>
      <c r="B94">
        <v>999.99</v>
      </c>
      <c r="C94">
        <v>1</v>
      </c>
      <c r="D94">
        <v>2</v>
      </c>
      <c r="E94" t="s">
        <v>3679</v>
      </c>
    </row>
    <row r="95" spans="1:5" x14ac:dyDescent="0.25">
      <c r="A95" t="s">
        <v>3665</v>
      </c>
      <c r="B95">
        <v>10</v>
      </c>
      <c r="C95">
        <v>1</v>
      </c>
      <c r="D95">
        <v>4</v>
      </c>
      <c r="E95" t="s">
        <v>3679</v>
      </c>
    </row>
    <row r="96" spans="1:5" x14ac:dyDescent="0.25">
      <c r="A96" t="s">
        <v>3666</v>
      </c>
      <c r="B96">
        <v>36.799999999999997</v>
      </c>
      <c r="C96">
        <v>2</v>
      </c>
      <c r="D96">
        <v>3</v>
      </c>
      <c r="E96" t="s">
        <v>3679</v>
      </c>
    </row>
    <row r="97" spans="1:5" x14ac:dyDescent="0.25">
      <c r="A97" t="s">
        <v>3667</v>
      </c>
      <c r="B97">
        <v>25.8</v>
      </c>
      <c r="C97">
        <v>2</v>
      </c>
      <c r="D97">
        <v>16</v>
      </c>
      <c r="E97" t="s">
        <v>3679</v>
      </c>
    </row>
    <row r="98" spans="1:5" x14ac:dyDescent="0.25">
      <c r="A98" t="s">
        <v>3668</v>
      </c>
      <c r="B98">
        <v>6</v>
      </c>
      <c r="C98">
        <v>1</v>
      </c>
      <c r="D98">
        <v>3</v>
      </c>
      <c r="E98" t="s">
        <v>3679</v>
      </c>
    </row>
    <row r="99" spans="1:5" x14ac:dyDescent="0.25">
      <c r="A99" t="s">
        <v>3669</v>
      </c>
      <c r="B99">
        <v>12</v>
      </c>
      <c r="C99">
        <v>1</v>
      </c>
      <c r="D99">
        <v>12</v>
      </c>
      <c r="E99" t="s">
        <v>3679</v>
      </c>
    </row>
    <row r="100" spans="1:5" hidden="1" x14ac:dyDescent="0.25">
      <c r="A100" t="s">
        <v>3670</v>
      </c>
      <c r="B100">
        <v>109.88</v>
      </c>
      <c r="C100">
        <v>1</v>
      </c>
      <c r="D100">
        <v>9</v>
      </c>
      <c r="E100" t="s">
        <v>3680</v>
      </c>
    </row>
    <row r="101" spans="1:5" hidden="1" x14ac:dyDescent="0.25">
      <c r="A101" t="s">
        <v>3671</v>
      </c>
      <c r="B101">
        <v>44.4</v>
      </c>
      <c r="C101">
        <v>1</v>
      </c>
      <c r="D101">
        <v>40</v>
      </c>
      <c r="E101" t="s">
        <v>3680</v>
      </c>
    </row>
    <row r="102" spans="1:5" hidden="1" x14ac:dyDescent="0.25">
      <c r="A102" t="s">
        <v>3672</v>
      </c>
      <c r="B102">
        <v>60</v>
      </c>
      <c r="C102">
        <v>1</v>
      </c>
      <c r="D102">
        <v>48</v>
      </c>
      <c r="E102" t="s">
        <v>3680</v>
      </c>
    </row>
    <row r="103" spans="1:5" hidden="1" x14ac:dyDescent="0.25">
      <c r="A103" t="s">
        <v>3672</v>
      </c>
      <c r="B103">
        <v>11.07</v>
      </c>
      <c r="C103">
        <v>1</v>
      </c>
      <c r="D103">
        <v>5</v>
      </c>
      <c r="E103" t="s">
        <v>3680</v>
      </c>
    </row>
    <row r="104" spans="1:5" hidden="1" x14ac:dyDescent="0.25">
      <c r="A104" t="s">
        <v>3673</v>
      </c>
      <c r="B104">
        <v>19</v>
      </c>
      <c r="C104">
        <v>1</v>
      </c>
      <c r="D104">
        <v>11</v>
      </c>
      <c r="E104" t="s">
        <v>3680</v>
      </c>
    </row>
  </sheetData>
  <autoFilter ref="A1:E104" xr:uid="{33A26CFD-A7DE-4AF5-858D-9C459A1F6009}">
    <filterColumn colId="4">
      <filters>
        <filter val="no"/>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DC4A3-D1E3-46DD-8426-8688079C84BD}">
  <sheetPr codeName="Sheet2"/>
  <dimension ref="A1:V1105"/>
  <sheetViews>
    <sheetView topLeftCell="F1" zoomScale="80" zoomScaleNormal="80" workbookViewId="0">
      <pane ySplit="1" topLeftCell="A446" activePane="bottomLeft" state="frozen"/>
      <selection pane="bottomLeft" activeCell="V448" sqref="V448"/>
    </sheetView>
  </sheetViews>
  <sheetFormatPr defaultRowHeight="15" x14ac:dyDescent="0.25"/>
  <cols>
    <col min="1" max="1" width="11.42578125" customWidth="1"/>
    <col min="2" max="2" width="33.42578125" style="1" customWidth="1"/>
    <col min="3" max="3" width="13.85546875" style="1" customWidth="1"/>
    <col min="4" max="4" width="19.140625" style="1" customWidth="1"/>
    <col min="5" max="5" width="16" style="1" customWidth="1"/>
    <col min="6" max="6" width="29.85546875" customWidth="1"/>
    <col min="7" max="7" width="10.28515625" customWidth="1"/>
    <col min="9" max="9" width="12.7109375" customWidth="1"/>
    <col min="10" max="10" width="10.42578125" style="1" customWidth="1"/>
    <col min="11" max="11" width="14.85546875" customWidth="1"/>
    <col min="12" max="12" width="15.28515625" customWidth="1"/>
    <col min="13" max="13" width="14.85546875" customWidth="1"/>
    <col min="14" max="14" width="15" customWidth="1"/>
    <col min="15" max="15" width="18.7109375" style="1" customWidth="1"/>
    <col min="16" max="16" width="12.140625" customWidth="1"/>
    <col min="19" max="19" width="12.140625" style="1" customWidth="1"/>
  </cols>
  <sheetData>
    <row r="1" spans="1:22" s="55" customFormat="1" ht="41.25" customHeight="1" x14ac:dyDescent="0.25">
      <c r="A1" s="55" t="s">
        <v>1260</v>
      </c>
      <c r="B1" s="55" t="s">
        <v>1262</v>
      </c>
      <c r="C1" s="55" t="s">
        <v>1277</v>
      </c>
      <c r="D1" s="55" t="s">
        <v>1270</v>
      </c>
      <c r="E1" s="55" t="s">
        <v>1275</v>
      </c>
      <c r="F1" s="56" t="s">
        <v>1261</v>
      </c>
      <c r="G1" s="56" t="s">
        <v>1263</v>
      </c>
      <c r="H1" s="56" t="s">
        <v>1264</v>
      </c>
      <c r="I1" s="56" t="s">
        <v>1265</v>
      </c>
      <c r="J1" s="56" t="s">
        <v>1266</v>
      </c>
      <c r="K1" s="56" t="s">
        <v>1267</v>
      </c>
      <c r="L1" s="56" t="s">
        <v>1268</v>
      </c>
      <c r="M1" s="56" t="s">
        <v>1269</v>
      </c>
      <c r="N1" s="56" t="s">
        <v>1271</v>
      </c>
      <c r="O1" s="55" t="s">
        <v>1272</v>
      </c>
      <c r="P1" s="56" t="s">
        <v>1273</v>
      </c>
      <c r="Q1" s="56" t="s">
        <v>1274</v>
      </c>
      <c r="S1" s="56" t="s">
        <v>1276</v>
      </c>
      <c r="T1" s="56" t="s">
        <v>1278</v>
      </c>
      <c r="U1" s="56" t="s">
        <v>1279</v>
      </c>
      <c r="V1" s="56" t="s">
        <v>1280</v>
      </c>
    </row>
    <row r="2" spans="1:22" x14ac:dyDescent="0.25">
      <c r="A2" t="s">
        <v>1281</v>
      </c>
      <c r="B2" s="1" t="s">
        <v>1347</v>
      </c>
      <c r="C2" s="1" t="s">
        <v>1345</v>
      </c>
      <c r="D2" s="1" t="s">
        <v>1288</v>
      </c>
      <c r="E2" s="1" t="s">
        <v>1350</v>
      </c>
      <c r="F2" t="s">
        <v>1346</v>
      </c>
      <c r="G2" t="s">
        <v>1348</v>
      </c>
      <c r="H2" t="s">
        <v>381</v>
      </c>
      <c r="I2" t="s">
        <v>1285</v>
      </c>
      <c r="J2" t="s">
        <v>1170</v>
      </c>
      <c r="K2" t="s">
        <v>1153</v>
      </c>
      <c r="L2" t="s">
        <v>1349</v>
      </c>
      <c r="M2" t="s">
        <v>1325</v>
      </c>
      <c r="N2" t="s">
        <v>1289</v>
      </c>
      <c r="O2" s="1" t="s">
        <v>1305</v>
      </c>
      <c r="P2" t="s">
        <v>1291</v>
      </c>
      <c r="Q2" t="s">
        <v>1294</v>
      </c>
      <c r="S2" t="s">
        <v>1294</v>
      </c>
      <c r="T2" t="s">
        <v>1296</v>
      </c>
      <c r="U2">
        <v>0</v>
      </c>
      <c r="V2" t="s">
        <v>1347</v>
      </c>
    </row>
    <row r="3" spans="1:22" x14ac:dyDescent="0.25">
      <c r="A3" t="s">
        <v>1281</v>
      </c>
      <c r="B3" s="1" t="s">
        <v>1347</v>
      </c>
      <c r="C3" s="1" t="s">
        <v>1327</v>
      </c>
      <c r="D3" s="1" t="s">
        <v>1288</v>
      </c>
      <c r="E3" s="1" t="s">
        <v>1374</v>
      </c>
      <c r="F3" t="s">
        <v>1384</v>
      </c>
      <c r="G3" t="s">
        <v>1348</v>
      </c>
      <c r="H3" t="s">
        <v>381</v>
      </c>
      <c r="I3" t="s">
        <v>1285</v>
      </c>
      <c r="J3" t="s">
        <v>1170</v>
      </c>
      <c r="K3" t="s">
        <v>1153</v>
      </c>
      <c r="L3" t="s">
        <v>1349</v>
      </c>
      <c r="M3" t="s">
        <v>1325</v>
      </c>
      <c r="N3" t="s">
        <v>1289</v>
      </c>
      <c r="O3" s="1" t="s">
        <v>1305</v>
      </c>
      <c r="P3" t="s">
        <v>1291</v>
      </c>
      <c r="Q3" t="s">
        <v>1294</v>
      </c>
      <c r="S3" t="s">
        <v>1294</v>
      </c>
      <c r="T3" t="s">
        <v>1296</v>
      </c>
      <c r="U3">
        <v>0</v>
      </c>
      <c r="V3" t="s">
        <v>1347</v>
      </c>
    </row>
    <row r="4" spans="1:22" x14ac:dyDescent="0.25">
      <c r="A4" t="s">
        <v>1281</v>
      </c>
      <c r="B4" s="1" t="s">
        <v>1347</v>
      </c>
      <c r="C4" s="1" t="s">
        <v>1295</v>
      </c>
      <c r="D4" s="1" t="s">
        <v>1288</v>
      </c>
      <c r="E4" s="1" t="s">
        <v>1350</v>
      </c>
      <c r="F4" t="s">
        <v>1435</v>
      </c>
      <c r="G4" t="s">
        <v>1348</v>
      </c>
      <c r="H4" t="s">
        <v>381</v>
      </c>
      <c r="I4" t="s">
        <v>1285</v>
      </c>
      <c r="J4" t="s">
        <v>1170</v>
      </c>
      <c r="K4" t="s">
        <v>1153</v>
      </c>
      <c r="L4" t="s">
        <v>1349</v>
      </c>
      <c r="M4" t="s">
        <v>1325</v>
      </c>
      <c r="N4" t="s">
        <v>1289</v>
      </c>
      <c r="O4" s="1" t="s">
        <v>1305</v>
      </c>
      <c r="P4" t="s">
        <v>1291</v>
      </c>
      <c r="Q4" t="s">
        <v>1294</v>
      </c>
      <c r="S4" t="s">
        <v>1294</v>
      </c>
      <c r="T4" t="s">
        <v>1296</v>
      </c>
      <c r="U4">
        <v>0</v>
      </c>
      <c r="V4" t="s">
        <v>1347</v>
      </c>
    </row>
    <row r="5" spans="1:22" x14ac:dyDescent="0.25">
      <c r="A5" t="s">
        <v>1460</v>
      </c>
      <c r="B5" s="1" t="s">
        <v>1347</v>
      </c>
      <c r="C5" s="1" t="s">
        <v>1345</v>
      </c>
      <c r="D5" s="1" t="s">
        <v>1288</v>
      </c>
      <c r="E5" s="1" t="s">
        <v>1350</v>
      </c>
      <c r="F5" t="s">
        <v>1487</v>
      </c>
      <c r="G5" t="s">
        <v>1348</v>
      </c>
      <c r="H5" t="s">
        <v>381</v>
      </c>
      <c r="I5" t="s">
        <v>1285</v>
      </c>
      <c r="J5" t="s">
        <v>1170</v>
      </c>
      <c r="K5" t="s">
        <v>1153</v>
      </c>
      <c r="L5" t="s">
        <v>1349</v>
      </c>
      <c r="M5" t="s">
        <v>1325</v>
      </c>
      <c r="N5" t="s">
        <v>1289</v>
      </c>
      <c r="O5" s="1" t="s">
        <v>1305</v>
      </c>
      <c r="P5" t="s">
        <v>1291</v>
      </c>
      <c r="Q5" t="s">
        <v>1294</v>
      </c>
      <c r="S5" t="s">
        <v>1294</v>
      </c>
      <c r="T5" t="s">
        <v>1488</v>
      </c>
      <c r="U5">
        <v>0</v>
      </c>
      <c r="V5" t="s">
        <v>1347</v>
      </c>
    </row>
    <row r="6" spans="1:22" ht="30" x14ac:dyDescent="0.25">
      <c r="A6" t="s">
        <v>1460</v>
      </c>
      <c r="B6" s="1" t="s">
        <v>1347</v>
      </c>
      <c r="C6" s="1" t="s">
        <v>1345</v>
      </c>
      <c r="D6" s="1" t="s">
        <v>1288</v>
      </c>
      <c r="E6" s="1" t="s">
        <v>1293</v>
      </c>
      <c r="F6" t="s">
        <v>1537</v>
      </c>
      <c r="G6" t="s">
        <v>1348</v>
      </c>
      <c r="H6" t="s">
        <v>381</v>
      </c>
      <c r="I6" t="s">
        <v>1285</v>
      </c>
      <c r="J6" t="s">
        <v>1170</v>
      </c>
      <c r="K6" t="s">
        <v>1153</v>
      </c>
      <c r="L6" t="s">
        <v>1349</v>
      </c>
      <c r="M6" t="s">
        <v>1325</v>
      </c>
      <c r="N6" t="s">
        <v>1289</v>
      </c>
      <c r="O6" s="1" t="s">
        <v>1305</v>
      </c>
      <c r="P6" t="s">
        <v>1291</v>
      </c>
      <c r="Q6" t="s">
        <v>1294</v>
      </c>
      <c r="S6" t="s">
        <v>1294</v>
      </c>
      <c r="T6" t="s">
        <v>1538</v>
      </c>
      <c r="U6">
        <v>0</v>
      </c>
      <c r="V6" t="s">
        <v>1347</v>
      </c>
    </row>
    <row r="7" spans="1:22" ht="30" x14ac:dyDescent="0.25">
      <c r="A7" t="s">
        <v>1460</v>
      </c>
      <c r="B7" s="1" t="s">
        <v>1347</v>
      </c>
      <c r="C7" s="1" t="s">
        <v>1327</v>
      </c>
      <c r="D7" s="1" t="s">
        <v>1288</v>
      </c>
      <c r="E7" s="1" t="s">
        <v>1293</v>
      </c>
      <c r="F7" t="s">
        <v>1548</v>
      </c>
      <c r="G7" t="s">
        <v>1348</v>
      </c>
      <c r="H7" t="s">
        <v>381</v>
      </c>
      <c r="I7" t="s">
        <v>1285</v>
      </c>
      <c r="J7" t="s">
        <v>1170</v>
      </c>
      <c r="K7" t="s">
        <v>1153</v>
      </c>
      <c r="L7" t="s">
        <v>1349</v>
      </c>
      <c r="M7" t="s">
        <v>1325</v>
      </c>
      <c r="N7" t="s">
        <v>1289</v>
      </c>
      <c r="O7" s="1" t="s">
        <v>1305</v>
      </c>
      <c r="P7" t="s">
        <v>1291</v>
      </c>
      <c r="Q7" t="s">
        <v>1294</v>
      </c>
      <c r="S7" t="s">
        <v>1294</v>
      </c>
      <c r="T7" t="s">
        <v>1549</v>
      </c>
      <c r="U7">
        <v>0</v>
      </c>
      <c r="V7" t="s">
        <v>1347</v>
      </c>
    </row>
    <row r="8" spans="1:22" x14ac:dyDescent="0.25">
      <c r="A8" t="s">
        <v>1460</v>
      </c>
      <c r="B8" s="1" t="s">
        <v>1347</v>
      </c>
      <c r="C8" s="1" t="s">
        <v>1295</v>
      </c>
      <c r="D8" s="1" t="s">
        <v>1288</v>
      </c>
      <c r="E8" s="1" t="s">
        <v>1368</v>
      </c>
      <c r="F8" t="s">
        <v>1565</v>
      </c>
      <c r="G8" t="s">
        <v>1348</v>
      </c>
      <c r="H8" t="s">
        <v>381</v>
      </c>
      <c r="I8" t="s">
        <v>1285</v>
      </c>
      <c r="J8" t="s">
        <v>1170</v>
      </c>
      <c r="K8" t="s">
        <v>1153</v>
      </c>
      <c r="L8" t="s">
        <v>1349</v>
      </c>
      <c r="M8" t="s">
        <v>1325</v>
      </c>
      <c r="N8" t="s">
        <v>1289</v>
      </c>
      <c r="O8" s="1" t="s">
        <v>1305</v>
      </c>
      <c r="P8" t="s">
        <v>1291</v>
      </c>
      <c r="Q8" t="s">
        <v>1294</v>
      </c>
      <c r="S8" t="s">
        <v>1294</v>
      </c>
      <c r="T8" t="s">
        <v>1566</v>
      </c>
      <c r="U8">
        <v>0</v>
      </c>
      <c r="V8" t="s">
        <v>1347</v>
      </c>
    </row>
    <row r="9" spans="1:22" x14ac:dyDescent="0.25">
      <c r="A9" t="s">
        <v>1460</v>
      </c>
      <c r="B9" s="1" t="s">
        <v>1347</v>
      </c>
      <c r="C9" s="1" t="s">
        <v>1327</v>
      </c>
      <c r="D9" s="1" t="s">
        <v>1288</v>
      </c>
      <c r="E9" s="1" t="s">
        <v>1319</v>
      </c>
      <c r="F9" t="s">
        <v>1604</v>
      </c>
      <c r="G9" t="s">
        <v>1348</v>
      </c>
      <c r="H9" t="s">
        <v>381</v>
      </c>
      <c r="I9" t="s">
        <v>1285</v>
      </c>
      <c r="J9" t="s">
        <v>1170</v>
      </c>
      <c r="K9" t="s">
        <v>1153</v>
      </c>
      <c r="L9" t="s">
        <v>1349</v>
      </c>
      <c r="M9" t="s">
        <v>1325</v>
      </c>
      <c r="N9" t="s">
        <v>1289</v>
      </c>
      <c r="O9" s="1" t="s">
        <v>1305</v>
      </c>
      <c r="P9" t="s">
        <v>1291</v>
      </c>
      <c r="Q9" t="s">
        <v>1294</v>
      </c>
      <c r="S9" t="s">
        <v>1294</v>
      </c>
      <c r="T9" t="s">
        <v>1605</v>
      </c>
      <c r="U9">
        <v>0</v>
      </c>
      <c r="V9" t="s">
        <v>1347</v>
      </c>
    </row>
    <row r="10" spans="1:22" x14ac:dyDescent="0.25">
      <c r="A10" t="s">
        <v>1460</v>
      </c>
      <c r="B10" s="1" t="s">
        <v>1347</v>
      </c>
      <c r="C10" s="1" t="s">
        <v>1295</v>
      </c>
      <c r="D10" s="1" t="s">
        <v>1288</v>
      </c>
      <c r="E10" s="1" t="s">
        <v>1350</v>
      </c>
      <c r="F10" t="s">
        <v>1809</v>
      </c>
      <c r="G10" t="s">
        <v>1348</v>
      </c>
      <c r="H10" t="s">
        <v>381</v>
      </c>
      <c r="I10" t="s">
        <v>1285</v>
      </c>
      <c r="J10" t="s">
        <v>1170</v>
      </c>
      <c r="K10" t="s">
        <v>1153</v>
      </c>
      <c r="L10" t="s">
        <v>1349</v>
      </c>
      <c r="M10" t="s">
        <v>1325</v>
      </c>
      <c r="N10" t="s">
        <v>1289</v>
      </c>
      <c r="O10" s="1" t="s">
        <v>1305</v>
      </c>
      <c r="P10" t="s">
        <v>1291</v>
      </c>
      <c r="Q10" t="s">
        <v>1294</v>
      </c>
      <c r="S10" t="s">
        <v>1294</v>
      </c>
      <c r="T10" t="s">
        <v>1810</v>
      </c>
      <c r="U10">
        <v>0</v>
      </c>
      <c r="V10" t="s">
        <v>1347</v>
      </c>
    </row>
    <row r="11" spans="1:22" x14ac:dyDescent="0.25">
      <c r="A11" t="s">
        <v>1460</v>
      </c>
      <c r="B11" s="1" t="s">
        <v>1347</v>
      </c>
      <c r="C11" s="1" t="s">
        <v>1295</v>
      </c>
      <c r="D11" s="1" t="s">
        <v>1288</v>
      </c>
      <c r="E11" s="1" t="s">
        <v>1350</v>
      </c>
      <c r="F11" t="s">
        <v>1833</v>
      </c>
      <c r="G11" t="s">
        <v>1348</v>
      </c>
      <c r="H11" t="s">
        <v>381</v>
      </c>
      <c r="I11" t="s">
        <v>1285</v>
      </c>
      <c r="J11" t="s">
        <v>1170</v>
      </c>
      <c r="K11" t="s">
        <v>1153</v>
      </c>
      <c r="L11" t="s">
        <v>1349</v>
      </c>
      <c r="M11" t="s">
        <v>1325</v>
      </c>
      <c r="N11" t="s">
        <v>1289</v>
      </c>
      <c r="O11" s="1" t="s">
        <v>1305</v>
      </c>
      <c r="P11" t="s">
        <v>1291</v>
      </c>
      <c r="Q11" t="s">
        <v>1294</v>
      </c>
      <c r="S11" t="s">
        <v>1294</v>
      </c>
      <c r="T11" t="s">
        <v>1834</v>
      </c>
      <c r="U11">
        <v>0</v>
      </c>
      <c r="V11" t="s">
        <v>1347</v>
      </c>
    </row>
    <row r="12" spans="1:22" x14ac:dyDescent="0.25">
      <c r="A12" t="s">
        <v>1460</v>
      </c>
      <c r="B12" s="1" t="s">
        <v>1347</v>
      </c>
      <c r="C12" s="1" t="s">
        <v>1345</v>
      </c>
      <c r="D12" s="1" t="s">
        <v>1288</v>
      </c>
      <c r="E12" s="1" t="s">
        <v>1374</v>
      </c>
      <c r="F12" t="s">
        <v>1843</v>
      </c>
      <c r="G12" t="s">
        <v>1348</v>
      </c>
      <c r="H12" t="s">
        <v>381</v>
      </c>
      <c r="I12" t="s">
        <v>1285</v>
      </c>
      <c r="J12" t="s">
        <v>1170</v>
      </c>
      <c r="K12" t="s">
        <v>1153</v>
      </c>
      <c r="L12" t="s">
        <v>1349</v>
      </c>
      <c r="M12" t="s">
        <v>1325</v>
      </c>
      <c r="N12" t="s">
        <v>1289</v>
      </c>
      <c r="O12" s="1" t="s">
        <v>1305</v>
      </c>
      <c r="P12" t="s">
        <v>1291</v>
      </c>
      <c r="Q12" t="s">
        <v>1294</v>
      </c>
      <c r="S12" t="s">
        <v>1294</v>
      </c>
      <c r="T12" t="s">
        <v>1844</v>
      </c>
      <c r="U12">
        <v>0</v>
      </c>
      <c r="V12" t="s">
        <v>1347</v>
      </c>
    </row>
    <row r="13" spans="1:22" x14ac:dyDescent="0.25">
      <c r="A13" t="s">
        <v>1871</v>
      </c>
      <c r="B13" s="1" t="s">
        <v>1347</v>
      </c>
      <c r="C13" s="1" t="s">
        <v>1530</v>
      </c>
      <c r="D13" s="1" t="s">
        <v>1288</v>
      </c>
      <c r="E13" s="1" t="s">
        <v>1350</v>
      </c>
      <c r="F13" t="s">
        <v>3048</v>
      </c>
      <c r="G13" t="s">
        <v>1348</v>
      </c>
      <c r="H13" t="s">
        <v>381</v>
      </c>
      <c r="I13" t="s">
        <v>1285</v>
      </c>
      <c r="J13" t="s">
        <v>1170</v>
      </c>
      <c r="K13" t="s">
        <v>1153</v>
      </c>
      <c r="L13" t="s">
        <v>1349</v>
      </c>
      <c r="M13" t="s">
        <v>1325</v>
      </c>
      <c r="N13" t="s">
        <v>1289</v>
      </c>
      <c r="O13" s="1" t="s">
        <v>1305</v>
      </c>
      <c r="P13" t="s">
        <v>1291</v>
      </c>
      <c r="Q13" t="s">
        <v>1294</v>
      </c>
      <c r="S13" t="s">
        <v>1294</v>
      </c>
      <c r="T13" t="s">
        <v>3049</v>
      </c>
      <c r="U13">
        <v>0</v>
      </c>
      <c r="V13" t="s">
        <v>1347</v>
      </c>
    </row>
    <row r="14" spans="1:22" x14ac:dyDescent="0.25">
      <c r="A14" t="s">
        <v>1871</v>
      </c>
      <c r="B14" s="1" t="s">
        <v>1347</v>
      </c>
      <c r="C14" s="1" t="s">
        <v>1530</v>
      </c>
      <c r="D14" s="1" t="s">
        <v>1288</v>
      </c>
      <c r="E14" s="1" t="s">
        <v>1368</v>
      </c>
      <c r="F14" t="s">
        <v>3058</v>
      </c>
      <c r="G14" t="s">
        <v>1348</v>
      </c>
      <c r="H14" t="s">
        <v>381</v>
      </c>
      <c r="I14" t="s">
        <v>1285</v>
      </c>
      <c r="J14" t="s">
        <v>1170</v>
      </c>
      <c r="K14" t="s">
        <v>1153</v>
      </c>
      <c r="L14" t="s">
        <v>1349</v>
      </c>
      <c r="M14" t="s">
        <v>1325</v>
      </c>
      <c r="N14" t="s">
        <v>1289</v>
      </c>
      <c r="O14" s="1" t="s">
        <v>1305</v>
      </c>
      <c r="P14" t="s">
        <v>1291</v>
      </c>
      <c r="Q14" t="s">
        <v>1294</v>
      </c>
      <c r="S14" t="s">
        <v>1294</v>
      </c>
      <c r="T14" t="s">
        <v>3059</v>
      </c>
      <c r="U14">
        <v>0</v>
      </c>
      <c r="V14" t="s">
        <v>1347</v>
      </c>
    </row>
    <row r="15" spans="1:22" x14ac:dyDescent="0.25">
      <c r="A15" t="s">
        <v>1871</v>
      </c>
      <c r="B15" s="1" t="s">
        <v>1347</v>
      </c>
      <c r="C15" s="1" t="s">
        <v>1530</v>
      </c>
      <c r="D15" s="1" t="s">
        <v>1288</v>
      </c>
      <c r="E15" s="1" t="s">
        <v>1350</v>
      </c>
      <c r="F15" t="s">
        <v>3294</v>
      </c>
      <c r="G15" t="s">
        <v>1348</v>
      </c>
      <c r="H15" t="s">
        <v>381</v>
      </c>
      <c r="I15" t="s">
        <v>1285</v>
      </c>
      <c r="J15" t="s">
        <v>1170</v>
      </c>
      <c r="K15" t="s">
        <v>1153</v>
      </c>
      <c r="L15" t="s">
        <v>1349</v>
      </c>
      <c r="M15" t="s">
        <v>1325</v>
      </c>
      <c r="N15" t="s">
        <v>1289</v>
      </c>
      <c r="O15" s="1" t="s">
        <v>1305</v>
      </c>
      <c r="P15" t="s">
        <v>1291</v>
      </c>
      <c r="Q15" t="s">
        <v>1294</v>
      </c>
      <c r="S15" t="s">
        <v>1294</v>
      </c>
      <c r="T15" t="s">
        <v>3295</v>
      </c>
      <c r="U15">
        <v>0</v>
      </c>
      <c r="V15" t="s">
        <v>1347</v>
      </c>
    </row>
    <row r="16" spans="1:22" ht="45" x14ac:dyDescent="0.25">
      <c r="A16" t="s">
        <v>1325</v>
      </c>
      <c r="B16" s="1" t="s">
        <v>3474</v>
      </c>
      <c r="C16" s="1" t="s">
        <v>1530</v>
      </c>
      <c r="D16" s="1" t="s">
        <v>1325</v>
      </c>
      <c r="E16" s="1" t="s">
        <v>1410</v>
      </c>
      <c r="F16" t="s">
        <v>3473</v>
      </c>
      <c r="G16" t="s">
        <v>3475</v>
      </c>
      <c r="H16" t="s">
        <v>1311</v>
      </c>
      <c r="I16" t="s">
        <v>1285</v>
      </c>
      <c r="J16" t="s">
        <v>3476</v>
      </c>
      <c r="K16" t="s">
        <v>3477</v>
      </c>
      <c r="L16" t="s">
        <v>3478</v>
      </c>
      <c r="M16" t="s">
        <v>1325</v>
      </c>
      <c r="N16">
        <v>60000</v>
      </c>
      <c r="O16" s="1" t="s">
        <v>1305</v>
      </c>
      <c r="P16" t="s">
        <v>1306</v>
      </c>
      <c r="Q16" t="s">
        <v>1294</v>
      </c>
      <c r="S16" t="s">
        <v>1294</v>
      </c>
      <c r="T16" t="s">
        <v>1296</v>
      </c>
      <c r="U16">
        <v>0</v>
      </c>
      <c r="V16" t="s">
        <v>3474</v>
      </c>
    </row>
    <row r="17" spans="1:22" x14ac:dyDescent="0.25">
      <c r="A17" t="s">
        <v>1281</v>
      </c>
      <c r="B17" s="1" t="s">
        <v>1395</v>
      </c>
      <c r="C17" s="1" t="s">
        <v>1343</v>
      </c>
      <c r="D17" s="1" t="s">
        <v>1288</v>
      </c>
      <c r="E17" s="1" t="s">
        <v>1393</v>
      </c>
      <c r="F17" t="s">
        <v>1394</v>
      </c>
      <c r="G17" t="s">
        <v>1396</v>
      </c>
      <c r="H17" t="s">
        <v>381</v>
      </c>
      <c r="I17" t="s">
        <v>1285</v>
      </c>
      <c r="J17" t="s">
        <v>1170</v>
      </c>
      <c r="K17" t="s">
        <v>1157</v>
      </c>
      <c r="L17" t="s">
        <v>1397</v>
      </c>
      <c r="M17" t="s">
        <v>1325</v>
      </c>
      <c r="N17" t="s">
        <v>1289</v>
      </c>
      <c r="O17" s="1" t="s">
        <v>1305</v>
      </c>
      <c r="P17" t="s">
        <v>1291</v>
      </c>
      <c r="Q17" t="s">
        <v>1294</v>
      </c>
      <c r="S17" t="s">
        <v>1294</v>
      </c>
      <c r="T17" t="s">
        <v>1296</v>
      </c>
      <c r="U17">
        <v>0</v>
      </c>
      <c r="V17" t="s">
        <v>1395</v>
      </c>
    </row>
    <row r="18" spans="1:22" x14ac:dyDescent="0.25">
      <c r="A18" t="s">
        <v>1281</v>
      </c>
      <c r="B18" s="1" t="s">
        <v>1395</v>
      </c>
      <c r="C18" s="1" t="s">
        <v>1295</v>
      </c>
      <c r="D18" s="1" t="s">
        <v>1288</v>
      </c>
      <c r="E18" s="1" t="s">
        <v>1374</v>
      </c>
      <c r="F18" t="s">
        <v>1398</v>
      </c>
      <c r="G18" t="s">
        <v>1396</v>
      </c>
      <c r="H18" t="s">
        <v>381</v>
      </c>
      <c r="I18" t="s">
        <v>1285</v>
      </c>
      <c r="J18" t="s">
        <v>1170</v>
      </c>
      <c r="K18" t="s">
        <v>1157</v>
      </c>
      <c r="L18" t="s">
        <v>1397</v>
      </c>
      <c r="M18" t="s">
        <v>1325</v>
      </c>
      <c r="N18" t="s">
        <v>1289</v>
      </c>
      <c r="O18" s="1" t="s">
        <v>1305</v>
      </c>
      <c r="P18" t="s">
        <v>1291</v>
      </c>
      <c r="Q18" t="s">
        <v>1294</v>
      </c>
      <c r="S18" t="s">
        <v>1294</v>
      </c>
      <c r="T18" t="s">
        <v>1296</v>
      </c>
      <c r="U18">
        <v>0</v>
      </c>
      <c r="V18" t="s">
        <v>1395</v>
      </c>
    </row>
    <row r="19" spans="1:22" ht="30" x14ac:dyDescent="0.25">
      <c r="A19" t="s">
        <v>1460</v>
      </c>
      <c r="B19" s="1" t="s">
        <v>1395</v>
      </c>
      <c r="C19" s="1" t="s">
        <v>1295</v>
      </c>
      <c r="D19" s="1" t="s">
        <v>1288</v>
      </c>
      <c r="E19" s="1" t="s">
        <v>1462</v>
      </c>
      <c r="F19" t="s">
        <v>1489</v>
      </c>
      <c r="G19" t="s">
        <v>1396</v>
      </c>
      <c r="H19" t="s">
        <v>381</v>
      </c>
      <c r="I19" t="s">
        <v>1285</v>
      </c>
      <c r="J19" t="s">
        <v>1170</v>
      </c>
      <c r="K19" t="s">
        <v>1157</v>
      </c>
      <c r="L19" t="s">
        <v>1397</v>
      </c>
      <c r="M19" t="s">
        <v>1325</v>
      </c>
      <c r="N19" t="s">
        <v>1289</v>
      </c>
      <c r="O19" s="1" t="s">
        <v>1305</v>
      </c>
      <c r="P19" t="s">
        <v>1291</v>
      </c>
      <c r="Q19" t="s">
        <v>1294</v>
      </c>
      <c r="S19" t="s">
        <v>1294</v>
      </c>
      <c r="T19" t="s">
        <v>1490</v>
      </c>
      <c r="U19">
        <v>0</v>
      </c>
      <c r="V19" t="s">
        <v>1395</v>
      </c>
    </row>
    <row r="20" spans="1:22" ht="30" x14ac:dyDescent="0.25">
      <c r="A20" t="s">
        <v>1460</v>
      </c>
      <c r="B20" s="1" t="s">
        <v>1395</v>
      </c>
      <c r="C20" s="1" t="s">
        <v>1295</v>
      </c>
      <c r="D20" s="1" t="s">
        <v>1288</v>
      </c>
      <c r="E20" s="1" t="s">
        <v>1462</v>
      </c>
      <c r="F20" t="s">
        <v>1491</v>
      </c>
      <c r="G20" t="s">
        <v>1396</v>
      </c>
      <c r="H20" t="s">
        <v>381</v>
      </c>
      <c r="I20" t="s">
        <v>1285</v>
      </c>
      <c r="J20" t="s">
        <v>1170</v>
      </c>
      <c r="K20" t="s">
        <v>1157</v>
      </c>
      <c r="L20" t="s">
        <v>1397</v>
      </c>
      <c r="M20" t="s">
        <v>1325</v>
      </c>
      <c r="N20" t="s">
        <v>1289</v>
      </c>
      <c r="O20" s="1" t="s">
        <v>1305</v>
      </c>
      <c r="P20" t="s">
        <v>1291</v>
      </c>
      <c r="Q20" t="s">
        <v>1294</v>
      </c>
      <c r="S20" t="s">
        <v>1294</v>
      </c>
      <c r="T20" t="s">
        <v>1492</v>
      </c>
      <c r="U20">
        <v>0</v>
      </c>
      <c r="V20" t="s">
        <v>1395</v>
      </c>
    </row>
    <row r="21" spans="1:22" ht="30" x14ac:dyDescent="0.25">
      <c r="A21" t="s">
        <v>1460</v>
      </c>
      <c r="B21" s="1" t="s">
        <v>1395</v>
      </c>
      <c r="C21" s="1" t="s">
        <v>1295</v>
      </c>
      <c r="D21" s="1" t="s">
        <v>1288</v>
      </c>
      <c r="E21" s="1" t="s">
        <v>1462</v>
      </c>
      <c r="F21" t="s">
        <v>1493</v>
      </c>
      <c r="G21" t="s">
        <v>1396</v>
      </c>
      <c r="H21" t="s">
        <v>381</v>
      </c>
      <c r="I21" t="s">
        <v>1285</v>
      </c>
      <c r="J21" t="s">
        <v>1170</v>
      </c>
      <c r="K21" t="s">
        <v>1157</v>
      </c>
      <c r="L21" t="s">
        <v>1397</v>
      </c>
      <c r="M21" t="s">
        <v>1325</v>
      </c>
      <c r="N21" t="s">
        <v>1289</v>
      </c>
      <c r="O21" s="1" t="s">
        <v>1305</v>
      </c>
      <c r="P21" t="s">
        <v>1291</v>
      </c>
      <c r="Q21" t="s">
        <v>1294</v>
      </c>
      <c r="S21" t="s">
        <v>1294</v>
      </c>
      <c r="T21">
        <v>858660302</v>
      </c>
      <c r="U21">
        <v>0</v>
      </c>
      <c r="V21" t="s">
        <v>1395</v>
      </c>
    </row>
    <row r="22" spans="1:22" ht="30" x14ac:dyDescent="0.25">
      <c r="A22" t="s">
        <v>1460</v>
      </c>
      <c r="B22" s="1" t="s">
        <v>1395</v>
      </c>
      <c r="C22" s="1" t="s">
        <v>1295</v>
      </c>
      <c r="D22" s="1" t="s">
        <v>1288</v>
      </c>
      <c r="E22" s="1" t="s">
        <v>1462</v>
      </c>
      <c r="F22" t="s">
        <v>1494</v>
      </c>
      <c r="G22" t="s">
        <v>1396</v>
      </c>
      <c r="H22" t="s">
        <v>381</v>
      </c>
      <c r="I22" t="s">
        <v>1285</v>
      </c>
      <c r="J22" t="s">
        <v>1170</v>
      </c>
      <c r="K22" t="s">
        <v>1157</v>
      </c>
      <c r="L22" t="s">
        <v>1397</v>
      </c>
      <c r="M22" t="s">
        <v>1325</v>
      </c>
      <c r="N22" t="s">
        <v>1289</v>
      </c>
      <c r="O22" s="1" t="s">
        <v>1305</v>
      </c>
      <c r="P22" t="s">
        <v>1291</v>
      </c>
      <c r="Q22" t="s">
        <v>1294</v>
      </c>
      <c r="S22" t="s">
        <v>1294</v>
      </c>
      <c r="T22">
        <v>858660417</v>
      </c>
      <c r="U22">
        <v>0</v>
      </c>
      <c r="V22" t="s">
        <v>1395</v>
      </c>
    </row>
    <row r="23" spans="1:22" ht="30" x14ac:dyDescent="0.25">
      <c r="A23" t="s">
        <v>1460</v>
      </c>
      <c r="B23" s="1" t="s">
        <v>1395</v>
      </c>
      <c r="C23" s="1" t="s">
        <v>1295</v>
      </c>
      <c r="D23" s="1" t="s">
        <v>1288</v>
      </c>
      <c r="E23" s="1" t="s">
        <v>1462</v>
      </c>
      <c r="F23" t="s">
        <v>1495</v>
      </c>
      <c r="G23" t="s">
        <v>1396</v>
      </c>
      <c r="H23" t="s">
        <v>381</v>
      </c>
      <c r="I23" t="s">
        <v>1285</v>
      </c>
      <c r="J23" t="s">
        <v>1170</v>
      </c>
      <c r="K23" t="s">
        <v>1157</v>
      </c>
      <c r="L23" t="s">
        <v>1397</v>
      </c>
      <c r="M23" t="s">
        <v>1325</v>
      </c>
      <c r="N23" t="s">
        <v>1289</v>
      </c>
      <c r="O23" s="1" t="s">
        <v>1305</v>
      </c>
      <c r="P23" t="s">
        <v>1291</v>
      </c>
      <c r="Q23" t="s">
        <v>1294</v>
      </c>
      <c r="S23" t="s">
        <v>1294</v>
      </c>
      <c r="T23" t="s">
        <v>1496</v>
      </c>
      <c r="U23">
        <v>0</v>
      </c>
      <c r="V23" t="s">
        <v>1395</v>
      </c>
    </row>
    <row r="24" spans="1:22" x14ac:dyDescent="0.25">
      <c r="A24" t="s">
        <v>1460</v>
      </c>
      <c r="B24" s="1" t="s">
        <v>1395</v>
      </c>
      <c r="C24" s="1" t="s">
        <v>1327</v>
      </c>
      <c r="D24" s="1" t="s">
        <v>1288</v>
      </c>
      <c r="E24" s="1" t="s">
        <v>1374</v>
      </c>
      <c r="F24" t="s">
        <v>1497</v>
      </c>
      <c r="G24" t="s">
        <v>1396</v>
      </c>
      <c r="H24" t="s">
        <v>381</v>
      </c>
      <c r="I24" t="s">
        <v>1285</v>
      </c>
      <c r="J24" t="s">
        <v>1170</v>
      </c>
      <c r="K24" t="s">
        <v>1157</v>
      </c>
      <c r="L24" t="s">
        <v>1397</v>
      </c>
      <c r="M24" t="s">
        <v>1325</v>
      </c>
      <c r="N24" t="s">
        <v>1289</v>
      </c>
      <c r="O24" s="1" t="s">
        <v>1305</v>
      </c>
      <c r="P24" t="s">
        <v>1291</v>
      </c>
      <c r="Q24" t="s">
        <v>1294</v>
      </c>
      <c r="S24" t="s">
        <v>1294</v>
      </c>
      <c r="T24" t="s">
        <v>1498</v>
      </c>
      <c r="U24">
        <v>0</v>
      </c>
      <c r="V24" t="s">
        <v>1395</v>
      </c>
    </row>
    <row r="25" spans="1:22" x14ac:dyDescent="0.25">
      <c r="A25" t="s">
        <v>1460</v>
      </c>
      <c r="B25" s="1" t="s">
        <v>1395</v>
      </c>
      <c r="C25" s="1" t="s">
        <v>1320</v>
      </c>
      <c r="D25" s="1" t="s">
        <v>1288</v>
      </c>
      <c r="E25" s="1" t="s">
        <v>1368</v>
      </c>
      <c r="F25" t="s">
        <v>1701</v>
      </c>
      <c r="G25" t="s">
        <v>1396</v>
      </c>
      <c r="H25" t="s">
        <v>381</v>
      </c>
      <c r="I25" t="s">
        <v>1285</v>
      </c>
      <c r="J25" t="s">
        <v>1170</v>
      </c>
      <c r="K25" t="s">
        <v>1157</v>
      </c>
      <c r="L25" t="s">
        <v>1397</v>
      </c>
      <c r="M25" t="s">
        <v>1325</v>
      </c>
      <c r="N25" t="s">
        <v>1289</v>
      </c>
      <c r="O25" s="1" t="s">
        <v>1305</v>
      </c>
      <c r="P25" t="s">
        <v>1291</v>
      </c>
      <c r="Q25" t="s">
        <v>1294</v>
      </c>
      <c r="S25" t="s">
        <v>1294</v>
      </c>
      <c r="T25" t="s">
        <v>1702</v>
      </c>
      <c r="U25">
        <v>0</v>
      </c>
      <c r="V25" t="s">
        <v>1395</v>
      </c>
    </row>
    <row r="26" spans="1:22" x14ac:dyDescent="0.25">
      <c r="A26" t="s">
        <v>1460</v>
      </c>
      <c r="B26" s="1" t="s">
        <v>1395</v>
      </c>
      <c r="C26" s="1" t="s">
        <v>1320</v>
      </c>
      <c r="D26" s="1" t="s">
        <v>1288</v>
      </c>
      <c r="E26" s="1" t="s">
        <v>1350</v>
      </c>
      <c r="F26" t="s">
        <v>1807</v>
      </c>
      <c r="G26" t="s">
        <v>1396</v>
      </c>
      <c r="H26" t="s">
        <v>381</v>
      </c>
      <c r="I26" t="s">
        <v>1285</v>
      </c>
      <c r="J26" t="s">
        <v>1170</v>
      </c>
      <c r="K26" t="s">
        <v>1157</v>
      </c>
      <c r="L26" t="s">
        <v>1397</v>
      </c>
      <c r="M26" t="s">
        <v>1325</v>
      </c>
      <c r="N26" t="s">
        <v>1289</v>
      </c>
      <c r="O26" s="1" t="s">
        <v>1305</v>
      </c>
      <c r="P26" t="s">
        <v>1291</v>
      </c>
      <c r="Q26" t="s">
        <v>1294</v>
      </c>
      <c r="S26" t="s">
        <v>1294</v>
      </c>
      <c r="T26" t="s">
        <v>1808</v>
      </c>
      <c r="U26">
        <v>0</v>
      </c>
      <c r="V26" t="s">
        <v>1395</v>
      </c>
    </row>
    <row r="27" spans="1:22" x14ac:dyDescent="0.25">
      <c r="A27" t="s">
        <v>1460</v>
      </c>
      <c r="B27" s="1" t="s">
        <v>1395</v>
      </c>
      <c r="C27" s="1" t="s">
        <v>1295</v>
      </c>
      <c r="D27" s="1" t="s">
        <v>1288</v>
      </c>
      <c r="E27" s="1" t="s">
        <v>1350</v>
      </c>
      <c r="F27" t="s">
        <v>1839</v>
      </c>
      <c r="G27" t="s">
        <v>1396</v>
      </c>
      <c r="H27" t="s">
        <v>381</v>
      </c>
      <c r="I27" t="s">
        <v>1285</v>
      </c>
      <c r="J27" t="s">
        <v>1170</v>
      </c>
      <c r="K27" t="s">
        <v>1157</v>
      </c>
      <c r="L27" t="s">
        <v>1397</v>
      </c>
      <c r="M27" t="s">
        <v>1325</v>
      </c>
      <c r="N27" t="s">
        <v>1289</v>
      </c>
      <c r="O27" s="1" t="s">
        <v>1305</v>
      </c>
      <c r="P27" t="s">
        <v>1291</v>
      </c>
      <c r="Q27" t="s">
        <v>1294</v>
      </c>
      <c r="S27" t="s">
        <v>1294</v>
      </c>
      <c r="T27" t="s">
        <v>1840</v>
      </c>
      <c r="U27">
        <v>0</v>
      </c>
      <c r="V27" t="s">
        <v>1395</v>
      </c>
    </row>
    <row r="28" spans="1:22" ht="30" x14ac:dyDescent="0.25">
      <c r="A28" t="s">
        <v>1871</v>
      </c>
      <c r="B28" s="1" t="s">
        <v>1395</v>
      </c>
      <c r="C28" s="1" t="s">
        <v>1530</v>
      </c>
      <c r="D28" s="1" t="s">
        <v>1288</v>
      </c>
      <c r="E28" s="1" t="s">
        <v>1462</v>
      </c>
      <c r="F28" t="s">
        <v>1970</v>
      </c>
      <c r="G28" t="s">
        <v>1396</v>
      </c>
      <c r="H28" t="s">
        <v>381</v>
      </c>
      <c r="I28" t="s">
        <v>1285</v>
      </c>
      <c r="J28" t="s">
        <v>1170</v>
      </c>
      <c r="K28" t="s">
        <v>1157</v>
      </c>
      <c r="L28" t="s">
        <v>1397</v>
      </c>
      <c r="M28" t="s">
        <v>1325</v>
      </c>
      <c r="N28" t="s">
        <v>1289</v>
      </c>
      <c r="O28" s="1" t="s">
        <v>1305</v>
      </c>
      <c r="P28" t="s">
        <v>1291</v>
      </c>
      <c r="Q28" t="s">
        <v>1294</v>
      </c>
      <c r="S28" t="s">
        <v>1294</v>
      </c>
      <c r="T28">
        <v>858660344</v>
      </c>
      <c r="U28">
        <v>0</v>
      </c>
      <c r="V28" t="s">
        <v>1395</v>
      </c>
    </row>
    <row r="29" spans="1:22" x14ac:dyDescent="0.25">
      <c r="A29" t="s">
        <v>1871</v>
      </c>
      <c r="B29" s="1" t="s">
        <v>1395</v>
      </c>
      <c r="C29" s="1" t="s">
        <v>1530</v>
      </c>
      <c r="D29" s="1" t="s">
        <v>1288</v>
      </c>
      <c r="E29" s="1" t="s">
        <v>1368</v>
      </c>
      <c r="F29" t="s">
        <v>2008</v>
      </c>
      <c r="G29" t="s">
        <v>1396</v>
      </c>
      <c r="H29" t="s">
        <v>381</v>
      </c>
      <c r="I29" t="s">
        <v>1285</v>
      </c>
      <c r="J29" t="s">
        <v>1170</v>
      </c>
      <c r="K29" t="s">
        <v>1157</v>
      </c>
      <c r="L29" t="s">
        <v>1397</v>
      </c>
      <c r="M29" t="s">
        <v>1325</v>
      </c>
      <c r="N29" t="s">
        <v>1289</v>
      </c>
      <c r="O29" s="1" t="s">
        <v>1305</v>
      </c>
      <c r="P29" t="s">
        <v>1291</v>
      </c>
      <c r="Q29" t="s">
        <v>1294</v>
      </c>
      <c r="S29" t="s">
        <v>1294</v>
      </c>
      <c r="T29" t="s">
        <v>2009</v>
      </c>
      <c r="U29">
        <v>0</v>
      </c>
      <c r="V29" t="s">
        <v>1395</v>
      </c>
    </row>
    <row r="30" spans="1:22" ht="30" x14ac:dyDescent="0.25">
      <c r="A30" t="s">
        <v>1871</v>
      </c>
      <c r="B30" s="1" t="s">
        <v>1395</v>
      </c>
      <c r="C30" s="1" t="s">
        <v>1530</v>
      </c>
      <c r="D30" s="1" t="s">
        <v>1288</v>
      </c>
      <c r="E30" s="1" t="s">
        <v>1649</v>
      </c>
      <c r="F30" t="s">
        <v>2696</v>
      </c>
      <c r="G30" t="s">
        <v>1396</v>
      </c>
      <c r="H30" t="s">
        <v>381</v>
      </c>
      <c r="I30" t="s">
        <v>1285</v>
      </c>
      <c r="J30" t="s">
        <v>1170</v>
      </c>
      <c r="K30" t="s">
        <v>1157</v>
      </c>
      <c r="L30" t="s">
        <v>1397</v>
      </c>
      <c r="M30" t="s">
        <v>1325</v>
      </c>
      <c r="N30" t="s">
        <v>1289</v>
      </c>
      <c r="O30" s="1" t="s">
        <v>1305</v>
      </c>
      <c r="P30" t="s">
        <v>1291</v>
      </c>
      <c r="Q30" t="s">
        <v>1294</v>
      </c>
      <c r="S30" t="s">
        <v>1294</v>
      </c>
      <c r="T30" t="s">
        <v>2697</v>
      </c>
      <c r="U30">
        <v>0</v>
      </c>
      <c r="V30" t="s">
        <v>1395</v>
      </c>
    </row>
    <row r="31" spans="1:22" ht="30" x14ac:dyDescent="0.25">
      <c r="A31" t="s">
        <v>1871</v>
      </c>
      <c r="B31" s="1" t="s">
        <v>1395</v>
      </c>
      <c r="C31" s="1" t="s">
        <v>1530</v>
      </c>
      <c r="D31" s="1" t="s">
        <v>1288</v>
      </c>
      <c r="E31" s="1" t="s">
        <v>1649</v>
      </c>
      <c r="F31" t="s">
        <v>2698</v>
      </c>
      <c r="G31" t="s">
        <v>1396</v>
      </c>
      <c r="H31" t="s">
        <v>381</v>
      </c>
      <c r="I31" t="s">
        <v>1285</v>
      </c>
      <c r="J31" t="s">
        <v>1170</v>
      </c>
      <c r="K31" t="s">
        <v>1157</v>
      </c>
      <c r="L31" t="s">
        <v>1397</v>
      </c>
      <c r="M31" t="s">
        <v>1325</v>
      </c>
      <c r="N31" t="s">
        <v>1289</v>
      </c>
      <c r="O31" s="1" t="s">
        <v>1305</v>
      </c>
      <c r="P31" t="s">
        <v>1291</v>
      </c>
      <c r="Q31" t="s">
        <v>1294</v>
      </c>
      <c r="S31" t="s">
        <v>1294</v>
      </c>
      <c r="T31" t="s">
        <v>2699</v>
      </c>
      <c r="U31">
        <v>0</v>
      </c>
      <c r="V31" t="s">
        <v>1395</v>
      </c>
    </row>
    <row r="32" spans="1:22" ht="30" x14ac:dyDescent="0.25">
      <c r="A32" t="s">
        <v>1871</v>
      </c>
      <c r="B32" s="1" t="s">
        <v>1395</v>
      </c>
      <c r="C32" s="1" t="s">
        <v>1530</v>
      </c>
      <c r="D32" s="1" t="s">
        <v>1288</v>
      </c>
      <c r="E32" s="1" t="s">
        <v>1649</v>
      </c>
      <c r="F32" t="s">
        <v>2700</v>
      </c>
      <c r="G32" t="s">
        <v>1396</v>
      </c>
      <c r="H32" t="s">
        <v>381</v>
      </c>
      <c r="I32" t="s">
        <v>1285</v>
      </c>
      <c r="J32" t="s">
        <v>1170</v>
      </c>
      <c r="K32" t="s">
        <v>1157</v>
      </c>
      <c r="L32" t="s">
        <v>1397</v>
      </c>
      <c r="M32" t="s">
        <v>1325</v>
      </c>
      <c r="N32" t="s">
        <v>1289</v>
      </c>
      <c r="O32" s="1" t="s">
        <v>1305</v>
      </c>
      <c r="P32" t="s">
        <v>1291</v>
      </c>
      <c r="Q32" t="s">
        <v>1294</v>
      </c>
      <c r="S32" t="s">
        <v>1294</v>
      </c>
      <c r="T32" t="s">
        <v>2701</v>
      </c>
      <c r="U32">
        <v>0</v>
      </c>
      <c r="V32" t="s">
        <v>1395</v>
      </c>
    </row>
    <row r="33" spans="1:22" ht="30" x14ac:dyDescent="0.25">
      <c r="A33" t="s">
        <v>1871</v>
      </c>
      <c r="B33" s="1" t="s">
        <v>1395</v>
      </c>
      <c r="C33" s="1" t="s">
        <v>1530</v>
      </c>
      <c r="D33" s="1" t="s">
        <v>1288</v>
      </c>
      <c r="E33" s="1" t="s">
        <v>1649</v>
      </c>
      <c r="F33" t="s">
        <v>2704</v>
      </c>
      <c r="G33" t="s">
        <v>1396</v>
      </c>
      <c r="H33" t="s">
        <v>381</v>
      </c>
      <c r="I33" t="s">
        <v>1285</v>
      </c>
      <c r="J33" t="s">
        <v>1170</v>
      </c>
      <c r="K33" t="s">
        <v>1157</v>
      </c>
      <c r="L33" t="s">
        <v>1397</v>
      </c>
      <c r="M33" t="s">
        <v>1325</v>
      </c>
      <c r="N33" t="s">
        <v>1289</v>
      </c>
      <c r="O33" s="1" t="s">
        <v>1305</v>
      </c>
      <c r="P33" t="s">
        <v>1291</v>
      </c>
      <c r="Q33" t="s">
        <v>1294</v>
      </c>
      <c r="S33" t="s">
        <v>1294</v>
      </c>
      <c r="T33" t="s">
        <v>2705</v>
      </c>
      <c r="U33">
        <v>0</v>
      </c>
      <c r="V33" t="s">
        <v>1395</v>
      </c>
    </row>
    <row r="34" spans="1:22" x14ac:dyDescent="0.25">
      <c r="A34" t="s">
        <v>1871</v>
      </c>
      <c r="B34" s="1" t="s">
        <v>1395</v>
      </c>
      <c r="C34" s="1" t="s">
        <v>1530</v>
      </c>
      <c r="D34" s="1" t="s">
        <v>1288</v>
      </c>
      <c r="E34" s="1" t="s">
        <v>1350</v>
      </c>
      <c r="F34" t="s">
        <v>2878</v>
      </c>
      <c r="G34" t="s">
        <v>1396</v>
      </c>
      <c r="H34" t="s">
        <v>381</v>
      </c>
      <c r="I34" t="s">
        <v>1285</v>
      </c>
      <c r="J34" t="s">
        <v>1170</v>
      </c>
      <c r="K34" t="s">
        <v>1157</v>
      </c>
      <c r="L34" t="s">
        <v>1397</v>
      </c>
      <c r="M34" t="s">
        <v>1325</v>
      </c>
      <c r="N34" t="s">
        <v>1289</v>
      </c>
      <c r="O34" s="1" t="s">
        <v>1305</v>
      </c>
      <c r="P34" t="s">
        <v>1291</v>
      </c>
      <c r="Q34" t="s">
        <v>1294</v>
      </c>
      <c r="S34" t="s">
        <v>1294</v>
      </c>
      <c r="T34" t="s">
        <v>2879</v>
      </c>
      <c r="U34">
        <v>0</v>
      </c>
      <c r="V34" t="s">
        <v>1395</v>
      </c>
    </row>
    <row r="35" spans="1:22" x14ac:dyDescent="0.25">
      <c r="A35" t="s">
        <v>1871</v>
      </c>
      <c r="B35" s="1" t="s">
        <v>1395</v>
      </c>
      <c r="C35" s="1" t="s">
        <v>1530</v>
      </c>
      <c r="D35" s="1" t="s">
        <v>1288</v>
      </c>
      <c r="E35" s="1" t="s">
        <v>1350</v>
      </c>
      <c r="F35" t="s">
        <v>3288</v>
      </c>
      <c r="G35" t="s">
        <v>1396</v>
      </c>
      <c r="H35" t="s">
        <v>381</v>
      </c>
      <c r="I35" t="s">
        <v>1285</v>
      </c>
      <c r="J35" t="s">
        <v>1170</v>
      </c>
      <c r="K35" t="s">
        <v>1157</v>
      </c>
      <c r="L35" t="s">
        <v>1397</v>
      </c>
      <c r="M35" t="s">
        <v>1325</v>
      </c>
      <c r="N35" t="s">
        <v>1289</v>
      </c>
      <c r="O35" s="1" t="s">
        <v>1305</v>
      </c>
      <c r="P35" t="s">
        <v>1291</v>
      </c>
      <c r="Q35" t="s">
        <v>1294</v>
      </c>
      <c r="S35" t="s">
        <v>1294</v>
      </c>
      <c r="T35" t="s">
        <v>3289</v>
      </c>
      <c r="U35">
        <v>0</v>
      </c>
      <c r="V35" t="s">
        <v>1395</v>
      </c>
    </row>
    <row r="36" spans="1:22" x14ac:dyDescent="0.25">
      <c r="A36" t="s">
        <v>1281</v>
      </c>
      <c r="B36" s="1" t="s">
        <v>1160</v>
      </c>
      <c r="C36" s="1" t="s">
        <v>1402</v>
      </c>
      <c r="D36" s="1" t="s">
        <v>1288</v>
      </c>
      <c r="E36" s="1" t="s">
        <v>1374</v>
      </c>
      <c r="F36" t="s">
        <v>1399</v>
      </c>
      <c r="G36" t="s">
        <v>1400</v>
      </c>
      <c r="H36" t="s">
        <v>381</v>
      </c>
      <c r="I36" t="s">
        <v>1285</v>
      </c>
      <c r="J36" t="s">
        <v>1170</v>
      </c>
      <c r="K36" t="s">
        <v>1161</v>
      </c>
      <c r="L36" t="s">
        <v>1401</v>
      </c>
      <c r="M36" t="s">
        <v>1325</v>
      </c>
      <c r="N36" t="s">
        <v>1289</v>
      </c>
      <c r="O36" s="1" t="s">
        <v>1305</v>
      </c>
      <c r="P36" t="s">
        <v>1291</v>
      </c>
      <c r="Q36" t="s">
        <v>1294</v>
      </c>
      <c r="S36" t="s">
        <v>1294</v>
      </c>
      <c r="T36" t="s">
        <v>1296</v>
      </c>
      <c r="U36">
        <v>0</v>
      </c>
      <c r="V36" t="s">
        <v>1160</v>
      </c>
    </row>
    <row r="37" spans="1:22" ht="30" x14ac:dyDescent="0.25">
      <c r="A37" t="s">
        <v>1460</v>
      </c>
      <c r="B37" s="1" t="s">
        <v>1160</v>
      </c>
      <c r="C37" s="1" t="s">
        <v>1345</v>
      </c>
      <c r="D37" s="1" t="s">
        <v>1288</v>
      </c>
      <c r="E37" s="1" t="s">
        <v>1293</v>
      </c>
      <c r="F37" t="s">
        <v>1505</v>
      </c>
      <c r="G37" t="s">
        <v>1400</v>
      </c>
      <c r="H37" t="s">
        <v>381</v>
      </c>
      <c r="I37" t="s">
        <v>1285</v>
      </c>
      <c r="J37" t="s">
        <v>1170</v>
      </c>
      <c r="K37" t="s">
        <v>1161</v>
      </c>
      <c r="L37" t="s">
        <v>1401</v>
      </c>
      <c r="M37" t="s">
        <v>1325</v>
      </c>
      <c r="N37" t="s">
        <v>1289</v>
      </c>
      <c r="O37" s="1" t="s">
        <v>1305</v>
      </c>
      <c r="P37" t="s">
        <v>1291</v>
      </c>
      <c r="Q37" t="s">
        <v>1294</v>
      </c>
      <c r="S37" t="s">
        <v>1294</v>
      </c>
      <c r="T37" t="s">
        <v>1506</v>
      </c>
      <c r="U37">
        <v>0</v>
      </c>
      <c r="V37" t="s">
        <v>1160</v>
      </c>
    </row>
    <row r="38" spans="1:22" x14ac:dyDescent="0.25">
      <c r="A38" t="s">
        <v>1460</v>
      </c>
      <c r="B38" s="1" t="s">
        <v>1160</v>
      </c>
      <c r="C38" s="1" t="s">
        <v>1295</v>
      </c>
      <c r="D38" s="1" t="s">
        <v>1288</v>
      </c>
      <c r="E38" s="1" t="s">
        <v>1504</v>
      </c>
      <c r="F38" t="s">
        <v>1556</v>
      </c>
      <c r="G38" t="s">
        <v>1400</v>
      </c>
      <c r="H38" t="s">
        <v>381</v>
      </c>
      <c r="I38" t="s">
        <v>1285</v>
      </c>
      <c r="J38" t="s">
        <v>1170</v>
      </c>
      <c r="K38" t="s">
        <v>1161</v>
      </c>
      <c r="L38" t="s">
        <v>1401</v>
      </c>
      <c r="M38" t="s">
        <v>1325</v>
      </c>
      <c r="N38" t="s">
        <v>1289</v>
      </c>
      <c r="O38" s="1" t="s">
        <v>1305</v>
      </c>
      <c r="P38" t="s">
        <v>1291</v>
      </c>
      <c r="Q38" t="s">
        <v>1294</v>
      </c>
      <c r="S38" t="s">
        <v>1294</v>
      </c>
      <c r="T38" t="s">
        <v>1557</v>
      </c>
      <c r="U38">
        <v>0</v>
      </c>
      <c r="V38" t="s">
        <v>1160</v>
      </c>
    </row>
    <row r="39" spans="1:22" x14ac:dyDescent="0.25">
      <c r="A39" t="s">
        <v>1460</v>
      </c>
      <c r="B39" s="1" t="s">
        <v>1160</v>
      </c>
      <c r="C39" s="1" t="s">
        <v>1320</v>
      </c>
      <c r="D39" s="1" t="s">
        <v>1288</v>
      </c>
      <c r="E39" s="1" t="s">
        <v>1504</v>
      </c>
      <c r="F39" t="s">
        <v>1559</v>
      </c>
      <c r="G39" t="s">
        <v>1400</v>
      </c>
      <c r="H39" t="s">
        <v>381</v>
      </c>
      <c r="I39" t="s">
        <v>1285</v>
      </c>
      <c r="J39" t="s">
        <v>1170</v>
      </c>
      <c r="K39" t="s">
        <v>1161</v>
      </c>
      <c r="L39" t="s">
        <v>1401</v>
      </c>
      <c r="M39" t="s">
        <v>1325</v>
      </c>
      <c r="N39" t="s">
        <v>1289</v>
      </c>
      <c r="O39" s="1" t="s">
        <v>1305</v>
      </c>
      <c r="P39" t="s">
        <v>1291</v>
      </c>
      <c r="Q39" t="s">
        <v>1294</v>
      </c>
      <c r="S39" t="s">
        <v>1294</v>
      </c>
      <c r="T39" t="s">
        <v>1296</v>
      </c>
      <c r="U39">
        <v>0</v>
      </c>
      <c r="V39" t="s">
        <v>1160</v>
      </c>
    </row>
    <row r="40" spans="1:22" ht="30" x14ac:dyDescent="0.25">
      <c r="A40" t="s">
        <v>1460</v>
      </c>
      <c r="B40" s="1" t="s">
        <v>1160</v>
      </c>
      <c r="C40" s="1" t="s">
        <v>1327</v>
      </c>
      <c r="D40" s="1" t="s">
        <v>1288</v>
      </c>
      <c r="E40" s="1" t="s">
        <v>1326</v>
      </c>
      <c r="F40" t="s">
        <v>1629</v>
      </c>
      <c r="G40" t="s">
        <v>1400</v>
      </c>
      <c r="H40" t="s">
        <v>381</v>
      </c>
      <c r="I40" t="s">
        <v>1285</v>
      </c>
      <c r="J40" t="s">
        <v>1170</v>
      </c>
      <c r="K40" t="s">
        <v>1161</v>
      </c>
      <c r="L40" t="s">
        <v>1401</v>
      </c>
      <c r="M40" t="s">
        <v>1325</v>
      </c>
      <c r="N40" t="s">
        <v>1289</v>
      </c>
      <c r="O40" s="1" t="s">
        <v>1305</v>
      </c>
      <c r="P40" t="s">
        <v>1291</v>
      </c>
      <c r="Q40" t="s">
        <v>1294</v>
      </c>
      <c r="S40" t="s">
        <v>1294</v>
      </c>
      <c r="T40" t="s">
        <v>1296</v>
      </c>
      <c r="U40">
        <v>0</v>
      </c>
      <c r="V40" t="s">
        <v>1160</v>
      </c>
    </row>
    <row r="41" spans="1:22" x14ac:dyDescent="0.25">
      <c r="A41" t="s">
        <v>1460</v>
      </c>
      <c r="B41" s="1" t="s">
        <v>1160</v>
      </c>
      <c r="C41" s="1" t="s">
        <v>1345</v>
      </c>
      <c r="D41" s="1" t="s">
        <v>1288</v>
      </c>
      <c r="E41" s="1" t="s">
        <v>1374</v>
      </c>
      <c r="F41" t="s">
        <v>1703</v>
      </c>
      <c r="G41" t="s">
        <v>1400</v>
      </c>
      <c r="H41" t="s">
        <v>381</v>
      </c>
      <c r="I41" t="s">
        <v>1285</v>
      </c>
      <c r="J41" t="s">
        <v>1170</v>
      </c>
      <c r="K41" t="s">
        <v>1161</v>
      </c>
      <c r="L41" t="s">
        <v>1401</v>
      </c>
      <c r="M41" t="s">
        <v>1325</v>
      </c>
      <c r="N41" t="s">
        <v>1289</v>
      </c>
      <c r="O41" s="1" t="s">
        <v>1305</v>
      </c>
      <c r="P41" t="s">
        <v>1291</v>
      </c>
      <c r="Q41" t="s">
        <v>1294</v>
      </c>
      <c r="S41" t="s">
        <v>1294</v>
      </c>
      <c r="T41" t="s">
        <v>1704</v>
      </c>
      <c r="U41">
        <v>0</v>
      </c>
      <c r="V41" t="s">
        <v>1160</v>
      </c>
    </row>
    <row r="42" spans="1:22" ht="30" x14ac:dyDescent="0.25">
      <c r="A42" t="s">
        <v>1460</v>
      </c>
      <c r="B42" s="1" t="s">
        <v>1160</v>
      </c>
      <c r="C42" s="1" t="s">
        <v>1345</v>
      </c>
      <c r="D42" s="1" t="s">
        <v>1288</v>
      </c>
      <c r="E42" s="1" t="s">
        <v>1293</v>
      </c>
      <c r="F42" t="s">
        <v>1858</v>
      </c>
      <c r="G42" t="s">
        <v>1400</v>
      </c>
      <c r="H42" t="s">
        <v>381</v>
      </c>
      <c r="I42" t="s">
        <v>1285</v>
      </c>
      <c r="J42" t="s">
        <v>1170</v>
      </c>
      <c r="K42" t="s">
        <v>1161</v>
      </c>
      <c r="L42" t="s">
        <v>1401</v>
      </c>
      <c r="M42" t="s">
        <v>1325</v>
      </c>
      <c r="N42" t="s">
        <v>1289</v>
      </c>
      <c r="O42" s="1" t="s">
        <v>1305</v>
      </c>
      <c r="P42" t="s">
        <v>1291</v>
      </c>
      <c r="Q42" t="s">
        <v>1294</v>
      </c>
      <c r="S42" t="s">
        <v>1294</v>
      </c>
      <c r="T42" t="s">
        <v>1859</v>
      </c>
      <c r="U42">
        <v>0</v>
      </c>
      <c r="V42" t="s">
        <v>1160</v>
      </c>
    </row>
    <row r="43" spans="1:22" x14ac:dyDescent="0.25">
      <c r="A43" t="s">
        <v>1871</v>
      </c>
      <c r="B43" s="1" t="s">
        <v>1160</v>
      </c>
      <c r="C43" s="1" t="s">
        <v>1530</v>
      </c>
      <c r="D43" s="1" t="s">
        <v>1288</v>
      </c>
      <c r="E43" s="1" t="s">
        <v>1378</v>
      </c>
      <c r="F43" t="s">
        <v>2060</v>
      </c>
      <c r="G43" t="s">
        <v>1400</v>
      </c>
      <c r="H43" t="s">
        <v>381</v>
      </c>
      <c r="I43" t="s">
        <v>1285</v>
      </c>
      <c r="J43" t="s">
        <v>1170</v>
      </c>
      <c r="K43" t="s">
        <v>1161</v>
      </c>
      <c r="L43" t="s">
        <v>1401</v>
      </c>
      <c r="M43" t="s">
        <v>1325</v>
      </c>
      <c r="N43" t="s">
        <v>1289</v>
      </c>
      <c r="O43" s="1" t="s">
        <v>1305</v>
      </c>
      <c r="P43" t="s">
        <v>1291</v>
      </c>
      <c r="Q43" t="s">
        <v>1294</v>
      </c>
      <c r="S43" t="s">
        <v>1294</v>
      </c>
      <c r="T43" t="s">
        <v>2061</v>
      </c>
      <c r="U43">
        <v>0</v>
      </c>
      <c r="V43" t="s">
        <v>1160</v>
      </c>
    </row>
    <row r="44" spans="1:22" x14ac:dyDescent="0.25">
      <c r="A44" t="s">
        <v>1871</v>
      </c>
      <c r="B44" s="1" t="s">
        <v>1160</v>
      </c>
      <c r="C44" s="1" t="s">
        <v>1530</v>
      </c>
      <c r="D44" s="1" t="s">
        <v>1288</v>
      </c>
      <c r="E44" s="1" t="s">
        <v>1504</v>
      </c>
      <c r="F44" t="s">
        <v>2659</v>
      </c>
      <c r="G44" t="s">
        <v>1400</v>
      </c>
      <c r="H44" t="s">
        <v>381</v>
      </c>
      <c r="I44" t="s">
        <v>1285</v>
      </c>
      <c r="J44" t="s">
        <v>1170</v>
      </c>
      <c r="K44" t="s">
        <v>1161</v>
      </c>
      <c r="L44" t="s">
        <v>1401</v>
      </c>
      <c r="M44" t="s">
        <v>1325</v>
      </c>
      <c r="N44" t="s">
        <v>1289</v>
      </c>
      <c r="O44" s="1" t="s">
        <v>1305</v>
      </c>
      <c r="P44" t="s">
        <v>1291</v>
      </c>
      <c r="Q44" t="s">
        <v>1294</v>
      </c>
      <c r="S44" t="s">
        <v>1294</v>
      </c>
      <c r="T44" t="s">
        <v>2660</v>
      </c>
      <c r="U44">
        <v>0</v>
      </c>
      <c r="V44" t="s">
        <v>1160</v>
      </c>
    </row>
    <row r="45" spans="1:22" x14ac:dyDescent="0.25">
      <c r="A45" t="s">
        <v>1871</v>
      </c>
      <c r="B45" s="1" t="s">
        <v>1160</v>
      </c>
      <c r="C45" s="1" t="s">
        <v>1530</v>
      </c>
      <c r="D45" s="1" t="s">
        <v>1288</v>
      </c>
      <c r="E45" s="1" t="s">
        <v>1504</v>
      </c>
      <c r="F45" t="s">
        <v>2661</v>
      </c>
      <c r="G45" t="s">
        <v>1400</v>
      </c>
      <c r="H45" t="s">
        <v>381</v>
      </c>
      <c r="I45" t="s">
        <v>1285</v>
      </c>
      <c r="J45" t="s">
        <v>1170</v>
      </c>
      <c r="K45" t="s">
        <v>1161</v>
      </c>
      <c r="L45" t="s">
        <v>1401</v>
      </c>
      <c r="M45" t="s">
        <v>1325</v>
      </c>
      <c r="N45" t="s">
        <v>1289</v>
      </c>
      <c r="O45" s="1" t="s">
        <v>1305</v>
      </c>
      <c r="P45" t="s">
        <v>1291</v>
      </c>
      <c r="Q45" t="s">
        <v>1294</v>
      </c>
      <c r="S45" t="s">
        <v>1294</v>
      </c>
      <c r="T45" t="s">
        <v>2662</v>
      </c>
      <c r="U45">
        <v>0</v>
      </c>
      <c r="V45" t="s">
        <v>1160</v>
      </c>
    </row>
    <row r="46" spans="1:22" x14ac:dyDescent="0.25">
      <c r="A46" t="s">
        <v>1871</v>
      </c>
      <c r="B46" s="1" t="s">
        <v>1160</v>
      </c>
      <c r="C46" s="1" t="s">
        <v>1530</v>
      </c>
      <c r="D46" s="1" t="s">
        <v>1288</v>
      </c>
      <c r="E46" s="1" t="s">
        <v>1504</v>
      </c>
      <c r="F46" t="s">
        <v>2681</v>
      </c>
      <c r="G46" t="s">
        <v>1400</v>
      </c>
      <c r="H46" t="s">
        <v>381</v>
      </c>
      <c r="I46" t="s">
        <v>1285</v>
      </c>
      <c r="J46" t="s">
        <v>1170</v>
      </c>
      <c r="K46" t="s">
        <v>1161</v>
      </c>
      <c r="L46" t="s">
        <v>1401</v>
      </c>
      <c r="M46" t="s">
        <v>1325</v>
      </c>
      <c r="N46" t="s">
        <v>1289</v>
      </c>
      <c r="O46" s="1" t="s">
        <v>1305</v>
      </c>
      <c r="P46" t="s">
        <v>1291</v>
      </c>
      <c r="Q46" t="s">
        <v>1294</v>
      </c>
      <c r="S46" t="s">
        <v>1294</v>
      </c>
      <c r="T46" t="s">
        <v>1296</v>
      </c>
      <c r="U46">
        <v>0</v>
      </c>
      <c r="V46" t="s">
        <v>1160</v>
      </c>
    </row>
    <row r="47" spans="1:22" x14ac:dyDescent="0.25">
      <c r="A47" t="s">
        <v>1871</v>
      </c>
      <c r="B47" s="1" t="s">
        <v>1160</v>
      </c>
      <c r="C47" s="1" t="s">
        <v>1530</v>
      </c>
      <c r="D47" s="1" t="s">
        <v>1288</v>
      </c>
      <c r="E47" s="1" t="s">
        <v>1350</v>
      </c>
      <c r="F47" t="s">
        <v>3060</v>
      </c>
      <c r="G47" t="s">
        <v>1400</v>
      </c>
      <c r="H47" t="s">
        <v>381</v>
      </c>
      <c r="I47" t="s">
        <v>1285</v>
      </c>
      <c r="J47" t="s">
        <v>1170</v>
      </c>
      <c r="K47" t="s">
        <v>1161</v>
      </c>
      <c r="L47" t="s">
        <v>1401</v>
      </c>
      <c r="M47" t="s">
        <v>1325</v>
      </c>
      <c r="N47" t="s">
        <v>1289</v>
      </c>
      <c r="O47" s="1" t="s">
        <v>1305</v>
      </c>
      <c r="P47" t="s">
        <v>1291</v>
      </c>
      <c r="Q47" t="s">
        <v>1294</v>
      </c>
      <c r="S47" t="s">
        <v>1294</v>
      </c>
      <c r="T47" t="s">
        <v>3061</v>
      </c>
      <c r="U47">
        <v>0</v>
      </c>
      <c r="V47" t="s">
        <v>1160</v>
      </c>
    </row>
    <row r="48" spans="1:22" x14ac:dyDescent="0.25">
      <c r="A48" t="s">
        <v>1871</v>
      </c>
      <c r="B48" s="1" t="s">
        <v>1160</v>
      </c>
      <c r="C48" s="1" t="s">
        <v>1530</v>
      </c>
      <c r="D48" s="1" t="s">
        <v>1288</v>
      </c>
      <c r="E48" s="1" t="s">
        <v>1350</v>
      </c>
      <c r="F48" t="s">
        <v>3191</v>
      </c>
      <c r="G48" t="s">
        <v>1400</v>
      </c>
      <c r="H48" t="s">
        <v>381</v>
      </c>
      <c r="I48" t="s">
        <v>1285</v>
      </c>
      <c r="J48" t="s">
        <v>1170</v>
      </c>
      <c r="K48" t="s">
        <v>1161</v>
      </c>
      <c r="L48" t="s">
        <v>1401</v>
      </c>
      <c r="M48" t="s">
        <v>1325</v>
      </c>
      <c r="N48" t="s">
        <v>1289</v>
      </c>
      <c r="O48" s="1" t="s">
        <v>1305</v>
      </c>
      <c r="P48" t="s">
        <v>1291</v>
      </c>
      <c r="Q48" t="s">
        <v>1294</v>
      </c>
      <c r="S48" t="s">
        <v>1294</v>
      </c>
      <c r="T48" t="s">
        <v>3192</v>
      </c>
      <c r="U48">
        <v>0</v>
      </c>
      <c r="V48" t="s">
        <v>1160</v>
      </c>
    </row>
    <row r="49" spans="1:22" x14ac:dyDescent="0.25">
      <c r="A49" t="s">
        <v>1871</v>
      </c>
      <c r="B49" s="1" t="s">
        <v>1160</v>
      </c>
      <c r="C49" s="1" t="s">
        <v>1530</v>
      </c>
      <c r="D49" s="1" t="s">
        <v>1288</v>
      </c>
      <c r="E49" s="1" t="s">
        <v>1350</v>
      </c>
      <c r="F49" t="s">
        <v>3227</v>
      </c>
      <c r="G49" t="s">
        <v>1400</v>
      </c>
      <c r="H49" t="s">
        <v>381</v>
      </c>
      <c r="I49" t="s">
        <v>1285</v>
      </c>
      <c r="J49" t="s">
        <v>1170</v>
      </c>
      <c r="K49" t="s">
        <v>1161</v>
      </c>
      <c r="L49" t="s">
        <v>1401</v>
      </c>
      <c r="M49" t="s">
        <v>1325</v>
      </c>
      <c r="N49" t="s">
        <v>1289</v>
      </c>
      <c r="O49" s="1" t="s">
        <v>1305</v>
      </c>
      <c r="P49" t="s">
        <v>1291</v>
      </c>
      <c r="Q49" t="s">
        <v>1294</v>
      </c>
      <c r="S49" t="s">
        <v>1294</v>
      </c>
      <c r="T49" t="s">
        <v>3228</v>
      </c>
      <c r="U49">
        <v>0</v>
      </c>
      <c r="V49" t="s">
        <v>1160</v>
      </c>
    </row>
    <row r="50" spans="1:22" x14ac:dyDescent="0.25">
      <c r="A50" t="s">
        <v>1871</v>
      </c>
      <c r="B50" s="1" t="s">
        <v>1160</v>
      </c>
      <c r="C50" s="1" t="s">
        <v>1530</v>
      </c>
      <c r="D50" s="1" t="s">
        <v>1288</v>
      </c>
      <c r="E50" s="1" t="s">
        <v>1350</v>
      </c>
      <c r="F50" t="s">
        <v>3257</v>
      </c>
      <c r="G50" t="s">
        <v>1400</v>
      </c>
      <c r="H50" t="s">
        <v>381</v>
      </c>
      <c r="I50" t="s">
        <v>1285</v>
      </c>
      <c r="J50" t="s">
        <v>1170</v>
      </c>
      <c r="K50" t="s">
        <v>1161</v>
      </c>
      <c r="L50" t="s">
        <v>1401</v>
      </c>
      <c r="M50" t="s">
        <v>1325</v>
      </c>
      <c r="N50" t="s">
        <v>1289</v>
      </c>
      <c r="O50" s="1" t="s">
        <v>1305</v>
      </c>
      <c r="P50" t="s">
        <v>1291</v>
      </c>
      <c r="Q50" t="s">
        <v>1294</v>
      </c>
      <c r="S50" t="s">
        <v>1294</v>
      </c>
      <c r="T50" t="s">
        <v>3258</v>
      </c>
      <c r="U50">
        <v>0</v>
      </c>
      <c r="V50" t="s">
        <v>1160</v>
      </c>
    </row>
    <row r="51" spans="1:22" x14ac:dyDescent="0.25">
      <c r="A51" t="s">
        <v>1871</v>
      </c>
      <c r="B51" s="1" t="s">
        <v>1160</v>
      </c>
      <c r="C51" s="1" t="s">
        <v>1530</v>
      </c>
      <c r="D51" s="1" t="s">
        <v>1288</v>
      </c>
      <c r="E51" s="1" t="s">
        <v>1504</v>
      </c>
      <c r="F51" t="s">
        <v>3336</v>
      </c>
      <c r="G51" t="s">
        <v>1400</v>
      </c>
      <c r="H51" t="s">
        <v>381</v>
      </c>
      <c r="I51" t="s">
        <v>1285</v>
      </c>
      <c r="J51" t="s">
        <v>1170</v>
      </c>
      <c r="K51" t="s">
        <v>1161</v>
      </c>
      <c r="L51" t="s">
        <v>1401</v>
      </c>
      <c r="M51" t="s">
        <v>1325</v>
      </c>
      <c r="N51" t="s">
        <v>1289</v>
      </c>
      <c r="O51" s="1" t="s">
        <v>1305</v>
      </c>
      <c r="P51" t="s">
        <v>1291</v>
      </c>
      <c r="Q51" t="s">
        <v>1294</v>
      </c>
      <c r="S51" t="s">
        <v>1294</v>
      </c>
      <c r="T51" t="s">
        <v>3337</v>
      </c>
      <c r="U51">
        <v>0</v>
      </c>
      <c r="V51" t="s">
        <v>1160</v>
      </c>
    </row>
    <row r="52" spans="1:22" x14ac:dyDescent="0.25">
      <c r="A52" t="s">
        <v>1871</v>
      </c>
      <c r="B52" s="1" t="s">
        <v>1160</v>
      </c>
      <c r="C52" s="1" t="s">
        <v>1530</v>
      </c>
      <c r="D52" s="1" t="s">
        <v>1288</v>
      </c>
      <c r="E52" s="1" t="s">
        <v>1504</v>
      </c>
      <c r="F52" t="s">
        <v>3445</v>
      </c>
      <c r="G52" t="s">
        <v>1400</v>
      </c>
      <c r="H52" t="s">
        <v>381</v>
      </c>
      <c r="I52" t="s">
        <v>1285</v>
      </c>
      <c r="J52" t="s">
        <v>1170</v>
      </c>
      <c r="K52" t="s">
        <v>1161</v>
      </c>
      <c r="L52" t="s">
        <v>1401</v>
      </c>
      <c r="M52" t="s">
        <v>1325</v>
      </c>
      <c r="N52" t="s">
        <v>1289</v>
      </c>
      <c r="O52" s="1" t="s">
        <v>1305</v>
      </c>
      <c r="P52" t="s">
        <v>1291</v>
      </c>
      <c r="Q52" t="s">
        <v>1294</v>
      </c>
      <c r="S52" t="s">
        <v>1294</v>
      </c>
      <c r="T52" t="s">
        <v>3446</v>
      </c>
      <c r="U52">
        <v>0</v>
      </c>
      <c r="V52" t="s">
        <v>1160</v>
      </c>
    </row>
    <row r="53" spans="1:22" ht="30" x14ac:dyDescent="0.25">
      <c r="A53" t="s">
        <v>1460</v>
      </c>
      <c r="B53" s="1" t="s">
        <v>1520</v>
      </c>
      <c r="C53" s="1" t="s">
        <v>1327</v>
      </c>
      <c r="D53" s="1" t="s">
        <v>1288</v>
      </c>
      <c r="E53" s="1" t="s">
        <v>1368</v>
      </c>
      <c r="F53" t="s">
        <v>1519</v>
      </c>
      <c r="G53" t="s">
        <v>1521</v>
      </c>
      <c r="H53" t="s">
        <v>381</v>
      </c>
      <c r="I53" t="s">
        <v>1285</v>
      </c>
      <c r="J53" t="s">
        <v>1170</v>
      </c>
      <c r="K53" t="s">
        <v>1167</v>
      </c>
      <c r="L53" t="s">
        <v>1522</v>
      </c>
      <c r="M53" t="s">
        <v>1523</v>
      </c>
      <c r="N53">
        <v>112500</v>
      </c>
      <c r="O53" s="1" t="s">
        <v>1336</v>
      </c>
      <c r="P53" t="s">
        <v>1524</v>
      </c>
      <c r="Q53" t="s">
        <v>1292</v>
      </c>
      <c r="S53" t="s">
        <v>1294</v>
      </c>
      <c r="T53" t="s">
        <v>1525</v>
      </c>
      <c r="U53">
        <v>6529</v>
      </c>
      <c r="V53" t="s">
        <v>1526</v>
      </c>
    </row>
    <row r="54" spans="1:22" ht="30" x14ac:dyDescent="0.25">
      <c r="A54" t="s">
        <v>1460</v>
      </c>
      <c r="B54" s="1" t="s">
        <v>1520</v>
      </c>
      <c r="C54" s="1" t="s">
        <v>1345</v>
      </c>
      <c r="D54" s="1" t="s">
        <v>1288</v>
      </c>
      <c r="E54" s="1" t="s">
        <v>1374</v>
      </c>
      <c r="F54" t="s">
        <v>1562</v>
      </c>
      <c r="G54" t="s">
        <v>1521</v>
      </c>
      <c r="H54" t="s">
        <v>381</v>
      </c>
      <c r="I54" t="s">
        <v>1285</v>
      </c>
      <c r="J54" t="s">
        <v>1170</v>
      </c>
      <c r="K54" t="s">
        <v>1167</v>
      </c>
      <c r="L54" t="s">
        <v>1522</v>
      </c>
      <c r="M54" t="s">
        <v>1523</v>
      </c>
      <c r="N54">
        <v>112500</v>
      </c>
      <c r="O54" s="1" t="s">
        <v>1336</v>
      </c>
      <c r="P54" t="s">
        <v>1524</v>
      </c>
      <c r="Q54" t="s">
        <v>1292</v>
      </c>
      <c r="S54" t="s">
        <v>1294</v>
      </c>
      <c r="T54" t="s">
        <v>1563</v>
      </c>
      <c r="U54">
        <v>5871</v>
      </c>
      <c r="V54" t="s">
        <v>1564</v>
      </c>
    </row>
    <row r="55" spans="1:22" ht="30" x14ac:dyDescent="0.25">
      <c r="A55" t="s">
        <v>1460</v>
      </c>
      <c r="B55" s="1" t="s">
        <v>1520</v>
      </c>
      <c r="C55" s="1" t="s">
        <v>1345</v>
      </c>
      <c r="D55" s="1" t="s">
        <v>1288</v>
      </c>
      <c r="E55" s="1" t="s">
        <v>1374</v>
      </c>
      <c r="F55" t="s">
        <v>1671</v>
      </c>
      <c r="G55" t="s">
        <v>1521</v>
      </c>
      <c r="H55" t="s">
        <v>381</v>
      </c>
      <c r="I55" t="s">
        <v>1285</v>
      </c>
      <c r="J55" t="s">
        <v>1170</v>
      </c>
      <c r="K55" t="s">
        <v>1167</v>
      </c>
      <c r="L55" t="s">
        <v>1522</v>
      </c>
      <c r="M55" t="s">
        <v>1523</v>
      </c>
      <c r="N55">
        <v>112500</v>
      </c>
      <c r="O55" s="1" t="s">
        <v>1336</v>
      </c>
      <c r="P55" t="s">
        <v>1524</v>
      </c>
      <c r="Q55" t="s">
        <v>1292</v>
      </c>
      <c r="S55" t="s">
        <v>1294</v>
      </c>
      <c r="T55" t="s">
        <v>1672</v>
      </c>
      <c r="U55">
        <v>3807</v>
      </c>
      <c r="V55" t="s">
        <v>1526</v>
      </c>
    </row>
    <row r="56" spans="1:22" ht="30" x14ac:dyDescent="0.25">
      <c r="A56" t="s">
        <v>1460</v>
      </c>
      <c r="B56" s="1" t="s">
        <v>1520</v>
      </c>
      <c r="C56" s="1" t="s">
        <v>1345</v>
      </c>
      <c r="D56" s="1" t="s">
        <v>1288</v>
      </c>
      <c r="E56" s="1" t="s">
        <v>1374</v>
      </c>
      <c r="F56" t="s">
        <v>1673</v>
      </c>
      <c r="G56" t="s">
        <v>1521</v>
      </c>
      <c r="H56" t="s">
        <v>381</v>
      </c>
      <c r="I56" t="s">
        <v>1285</v>
      </c>
      <c r="J56" t="s">
        <v>1170</v>
      </c>
      <c r="K56" t="s">
        <v>1167</v>
      </c>
      <c r="L56" t="s">
        <v>1522</v>
      </c>
      <c r="M56" t="s">
        <v>1523</v>
      </c>
      <c r="N56">
        <v>112500</v>
      </c>
      <c r="O56" s="1" t="s">
        <v>1336</v>
      </c>
      <c r="P56" t="s">
        <v>1524</v>
      </c>
      <c r="Q56" t="s">
        <v>1292</v>
      </c>
      <c r="S56" t="s">
        <v>1294</v>
      </c>
      <c r="T56" t="s">
        <v>1674</v>
      </c>
      <c r="U56">
        <v>4656</v>
      </c>
      <c r="V56" t="s">
        <v>1526</v>
      </c>
    </row>
    <row r="57" spans="1:22" ht="30" x14ac:dyDescent="0.25">
      <c r="A57" t="s">
        <v>1460</v>
      </c>
      <c r="B57" s="1" t="s">
        <v>1520</v>
      </c>
      <c r="C57" s="1" t="s">
        <v>1327</v>
      </c>
      <c r="D57" s="1" t="s">
        <v>1288</v>
      </c>
      <c r="E57" s="1" t="s">
        <v>1374</v>
      </c>
      <c r="F57" t="s">
        <v>1679</v>
      </c>
      <c r="G57" t="s">
        <v>1521</v>
      </c>
      <c r="H57" t="s">
        <v>381</v>
      </c>
      <c r="I57" t="s">
        <v>1285</v>
      </c>
      <c r="J57" t="s">
        <v>1170</v>
      </c>
      <c r="K57" t="s">
        <v>1167</v>
      </c>
      <c r="L57" t="s">
        <v>1522</v>
      </c>
      <c r="M57" t="s">
        <v>1523</v>
      </c>
      <c r="N57">
        <v>112500</v>
      </c>
      <c r="O57" s="1" t="s">
        <v>1336</v>
      </c>
      <c r="P57" t="s">
        <v>1524</v>
      </c>
      <c r="Q57" t="s">
        <v>1292</v>
      </c>
      <c r="S57" t="s">
        <v>1294</v>
      </c>
      <c r="T57" t="s">
        <v>1680</v>
      </c>
      <c r="U57">
        <v>13248</v>
      </c>
      <c r="V57" t="s">
        <v>1564</v>
      </c>
    </row>
    <row r="58" spans="1:22" ht="30" x14ac:dyDescent="0.25">
      <c r="A58" t="s">
        <v>1460</v>
      </c>
      <c r="B58" s="1" t="s">
        <v>1520</v>
      </c>
      <c r="C58" s="1" t="s">
        <v>1345</v>
      </c>
      <c r="D58" s="1" t="s">
        <v>1288</v>
      </c>
      <c r="E58" s="1" t="s">
        <v>1374</v>
      </c>
      <c r="F58" t="s">
        <v>1681</v>
      </c>
      <c r="G58" t="s">
        <v>1521</v>
      </c>
      <c r="H58" t="s">
        <v>381</v>
      </c>
      <c r="I58" t="s">
        <v>1285</v>
      </c>
      <c r="J58" t="s">
        <v>1170</v>
      </c>
      <c r="K58" t="s">
        <v>1167</v>
      </c>
      <c r="L58" t="s">
        <v>1522</v>
      </c>
      <c r="M58" t="s">
        <v>1523</v>
      </c>
      <c r="N58">
        <v>112500</v>
      </c>
      <c r="O58" s="1" t="s">
        <v>1336</v>
      </c>
      <c r="P58" t="s">
        <v>1524</v>
      </c>
      <c r="Q58" t="s">
        <v>1292</v>
      </c>
      <c r="S58" t="s">
        <v>1294</v>
      </c>
      <c r="T58" t="s">
        <v>1682</v>
      </c>
      <c r="U58">
        <v>32444</v>
      </c>
      <c r="V58" t="s">
        <v>1526</v>
      </c>
    </row>
    <row r="59" spans="1:22" ht="30" x14ac:dyDescent="0.25">
      <c r="A59" t="s">
        <v>1460</v>
      </c>
      <c r="B59" s="1" t="s">
        <v>1520</v>
      </c>
      <c r="C59" s="1" t="s">
        <v>1345</v>
      </c>
      <c r="D59" s="1" t="s">
        <v>1288</v>
      </c>
      <c r="E59" s="1" t="s">
        <v>1374</v>
      </c>
      <c r="F59" t="s">
        <v>1685</v>
      </c>
      <c r="G59" t="s">
        <v>1521</v>
      </c>
      <c r="H59" t="s">
        <v>381</v>
      </c>
      <c r="I59" t="s">
        <v>1285</v>
      </c>
      <c r="J59" t="s">
        <v>1170</v>
      </c>
      <c r="K59" t="s">
        <v>1167</v>
      </c>
      <c r="L59" t="s">
        <v>1522</v>
      </c>
      <c r="M59" t="s">
        <v>1523</v>
      </c>
      <c r="N59">
        <v>112500</v>
      </c>
      <c r="O59" s="1" t="s">
        <v>1336</v>
      </c>
      <c r="P59" t="s">
        <v>1524</v>
      </c>
      <c r="Q59" t="s">
        <v>1292</v>
      </c>
      <c r="S59" t="s">
        <v>1294</v>
      </c>
      <c r="T59" t="s">
        <v>1686</v>
      </c>
      <c r="U59">
        <v>7812</v>
      </c>
      <c r="V59" t="s">
        <v>1526</v>
      </c>
    </row>
    <row r="60" spans="1:22" ht="30" x14ac:dyDescent="0.25">
      <c r="A60" t="s">
        <v>1460</v>
      </c>
      <c r="B60" s="1" t="s">
        <v>1520</v>
      </c>
      <c r="C60" s="1" t="s">
        <v>1345</v>
      </c>
      <c r="D60" s="1" t="s">
        <v>1288</v>
      </c>
      <c r="E60" s="1" t="s">
        <v>1350</v>
      </c>
      <c r="F60" t="s">
        <v>1797</v>
      </c>
      <c r="G60" t="s">
        <v>1521</v>
      </c>
      <c r="H60" t="s">
        <v>381</v>
      </c>
      <c r="I60" t="s">
        <v>1285</v>
      </c>
      <c r="J60" t="s">
        <v>1170</v>
      </c>
      <c r="K60" t="s">
        <v>1167</v>
      </c>
      <c r="L60" t="s">
        <v>1522</v>
      </c>
      <c r="M60" t="s">
        <v>1523</v>
      </c>
      <c r="N60">
        <v>112500</v>
      </c>
      <c r="O60" s="1" t="s">
        <v>1336</v>
      </c>
      <c r="P60" t="s">
        <v>1524</v>
      </c>
      <c r="Q60" t="s">
        <v>1292</v>
      </c>
      <c r="S60" t="s">
        <v>1294</v>
      </c>
      <c r="T60" t="s">
        <v>1798</v>
      </c>
      <c r="U60">
        <v>8308</v>
      </c>
      <c r="V60" t="s">
        <v>1564</v>
      </c>
    </row>
    <row r="61" spans="1:22" ht="30" x14ac:dyDescent="0.25">
      <c r="A61" t="s">
        <v>1460</v>
      </c>
      <c r="B61" s="1" t="s">
        <v>1520</v>
      </c>
      <c r="C61" s="1" t="s">
        <v>1345</v>
      </c>
      <c r="D61" s="1" t="s">
        <v>1288</v>
      </c>
      <c r="E61" s="1" t="s">
        <v>1350</v>
      </c>
      <c r="F61" t="s">
        <v>1799</v>
      </c>
      <c r="G61" t="s">
        <v>1521</v>
      </c>
      <c r="H61" t="s">
        <v>381</v>
      </c>
      <c r="I61" t="s">
        <v>1285</v>
      </c>
      <c r="J61" t="s">
        <v>1170</v>
      </c>
      <c r="K61" t="s">
        <v>1167</v>
      </c>
      <c r="L61" t="s">
        <v>1522</v>
      </c>
      <c r="M61" t="s">
        <v>1523</v>
      </c>
      <c r="N61">
        <v>112500</v>
      </c>
      <c r="O61" s="1" t="s">
        <v>1336</v>
      </c>
      <c r="P61" t="s">
        <v>1524</v>
      </c>
      <c r="Q61" t="s">
        <v>1292</v>
      </c>
      <c r="S61" t="s">
        <v>1294</v>
      </c>
      <c r="T61" t="s">
        <v>1800</v>
      </c>
      <c r="U61">
        <v>13518</v>
      </c>
      <c r="V61" t="s">
        <v>1526</v>
      </c>
    </row>
    <row r="62" spans="1:22" ht="30" x14ac:dyDescent="0.25">
      <c r="A62" t="s">
        <v>1460</v>
      </c>
      <c r="B62" s="1" t="s">
        <v>1520</v>
      </c>
      <c r="C62" s="1" t="s">
        <v>1345</v>
      </c>
      <c r="D62" s="1" t="s">
        <v>1288</v>
      </c>
      <c r="E62" s="1" t="s">
        <v>1350</v>
      </c>
      <c r="F62" t="s">
        <v>1819</v>
      </c>
      <c r="G62" t="s">
        <v>1521</v>
      </c>
      <c r="H62" t="s">
        <v>381</v>
      </c>
      <c r="I62" t="s">
        <v>1285</v>
      </c>
      <c r="J62" t="s">
        <v>1170</v>
      </c>
      <c r="K62" t="s">
        <v>1167</v>
      </c>
      <c r="L62" t="s">
        <v>1522</v>
      </c>
      <c r="M62" t="s">
        <v>1523</v>
      </c>
      <c r="N62">
        <v>112500</v>
      </c>
      <c r="O62" s="1" t="s">
        <v>1336</v>
      </c>
      <c r="P62" t="s">
        <v>1524</v>
      </c>
      <c r="Q62" t="s">
        <v>1292</v>
      </c>
      <c r="S62" t="s">
        <v>1294</v>
      </c>
      <c r="T62" t="s">
        <v>1820</v>
      </c>
      <c r="U62">
        <v>8480</v>
      </c>
      <c r="V62" t="s">
        <v>1526</v>
      </c>
    </row>
    <row r="63" spans="1:22" ht="30" x14ac:dyDescent="0.25">
      <c r="A63" t="s">
        <v>1871</v>
      </c>
      <c r="B63" s="1" t="s">
        <v>1520</v>
      </c>
      <c r="C63" s="1" t="s">
        <v>1530</v>
      </c>
      <c r="D63" s="1" t="s">
        <v>1288</v>
      </c>
      <c r="E63" s="1" t="s">
        <v>1358</v>
      </c>
      <c r="F63" t="s">
        <v>1872</v>
      </c>
      <c r="G63" t="s">
        <v>1521</v>
      </c>
      <c r="H63" t="s">
        <v>381</v>
      </c>
      <c r="I63" t="s">
        <v>1285</v>
      </c>
      <c r="J63" t="s">
        <v>1170</v>
      </c>
      <c r="K63" t="s">
        <v>1167</v>
      </c>
      <c r="L63" t="s">
        <v>1522</v>
      </c>
      <c r="M63" t="s">
        <v>1523</v>
      </c>
      <c r="N63">
        <v>112500</v>
      </c>
      <c r="O63" s="1" t="s">
        <v>1336</v>
      </c>
      <c r="P63" t="s">
        <v>1524</v>
      </c>
      <c r="Q63" t="s">
        <v>1292</v>
      </c>
      <c r="S63" t="s">
        <v>1294</v>
      </c>
      <c r="T63" t="s">
        <v>1296</v>
      </c>
      <c r="U63">
        <v>0</v>
      </c>
      <c r="V63" t="s">
        <v>1526</v>
      </c>
    </row>
    <row r="64" spans="1:22" ht="30" x14ac:dyDescent="0.25">
      <c r="A64" t="s">
        <v>1871</v>
      </c>
      <c r="B64" s="1" t="s">
        <v>1520</v>
      </c>
      <c r="C64" s="1" t="s">
        <v>1530</v>
      </c>
      <c r="D64" s="1" t="s">
        <v>1288</v>
      </c>
      <c r="E64" s="1" t="s">
        <v>1293</v>
      </c>
      <c r="F64" t="s">
        <v>1893</v>
      </c>
      <c r="G64" t="s">
        <v>1521</v>
      </c>
      <c r="H64" t="s">
        <v>381</v>
      </c>
      <c r="I64" t="s">
        <v>1285</v>
      </c>
      <c r="J64" t="s">
        <v>1170</v>
      </c>
      <c r="K64" t="s">
        <v>1167</v>
      </c>
      <c r="L64" t="s">
        <v>1522</v>
      </c>
      <c r="M64" t="s">
        <v>1523</v>
      </c>
      <c r="N64">
        <v>112500</v>
      </c>
      <c r="O64" s="1" t="s">
        <v>1336</v>
      </c>
      <c r="P64" t="s">
        <v>1524</v>
      </c>
      <c r="Q64" t="s">
        <v>1292</v>
      </c>
      <c r="S64" t="s">
        <v>1294</v>
      </c>
      <c r="T64" t="s">
        <v>1894</v>
      </c>
      <c r="U64">
        <v>433</v>
      </c>
      <c r="V64" t="s">
        <v>1526</v>
      </c>
    </row>
    <row r="65" spans="1:22" ht="30" x14ac:dyDescent="0.25">
      <c r="A65" t="s">
        <v>1871</v>
      </c>
      <c r="B65" s="1" t="s">
        <v>1520</v>
      </c>
      <c r="C65" s="1" t="s">
        <v>1530</v>
      </c>
      <c r="D65" s="1" t="s">
        <v>1288</v>
      </c>
      <c r="E65" s="1" t="s">
        <v>1543</v>
      </c>
      <c r="F65" t="s">
        <v>1895</v>
      </c>
      <c r="G65" t="s">
        <v>1521</v>
      </c>
      <c r="H65" t="s">
        <v>381</v>
      </c>
      <c r="I65" t="s">
        <v>1285</v>
      </c>
      <c r="J65" t="s">
        <v>1170</v>
      </c>
      <c r="K65" t="s">
        <v>1167</v>
      </c>
      <c r="L65" t="s">
        <v>1522</v>
      </c>
      <c r="M65" t="s">
        <v>1523</v>
      </c>
      <c r="N65">
        <v>112500</v>
      </c>
      <c r="O65" s="1" t="s">
        <v>1336</v>
      </c>
      <c r="P65" t="s">
        <v>1524</v>
      </c>
      <c r="Q65" t="s">
        <v>1292</v>
      </c>
      <c r="S65" t="s">
        <v>1294</v>
      </c>
      <c r="T65" t="s">
        <v>1896</v>
      </c>
      <c r="U65">
        <v>135.30000000000001</v>
      </c>
      <c r="V65" t="s">
        <v>1526</v>
      </c>
    </row>
    <row r="66" spans="1:22" ht="30" x14ac:dyDescent="0.25">
      <c r="A66" t="s">
        <v>1871</v>
      </c>
      <c r="B66" s="1" t="s">
        <v>1520</v>
      </c>
      <c r="C66" s="1" t="s">
        <v>1530</v>
      </c>
      <c r="D66" s="1" t="s">
        <v>1288</v>
      </c>
      <c r="E66" s="1" t="s">
        <v>1462</v>
      </c>
      <c r="F66" t="s">
        <v>1897</v>
      </c>
      <c r="G66" t="s">
        <v>1521</v>
      </c>
      <c r="H66" t="s">
        <v>381</v>
      </c>
      <c r="I66" t="s">
        <v>1285</v>
      </c>
      <c r="J66" t="s">
        <v>1170</v>
      </c>
      <c r="K66" t="s">
        <v>1167</v>
      </c>
      <c r="L66" t="s">
        <v>1522</v>
      </c>
      <c r="M66" t="s">
        <v>1523</v>
      </c>
      <c r="N66">
        <v>112500</v>
      </c>
      <c r="O66" s="1" t="s">
        <v>1336</v>
      </c>
      <c r="P66" t="s">
        <v>1524</v>
      </c>
      <c r="Q66" t="s">
        <v>1292</v>
      </c>
      <c r="S66" t="s">
        <v>1294</v>
      </c>
      <c r="T66" t="s">
        <v>1898</v>
      </c>
      <c r="U66">
        <v>9</v>
      </c>
      <c r="V66" t="s">
        <v>1526</v>
      </c>
    </row>
    <row r="67" spans="1:22" ht="30" x14ac:dyDescent="0.25">
      <c r="A67" t="s">
        <v>1871</v>
      </c>
      <c r="B67" s="1" t="s">
        <v>1520</v>
      </c>
      <c r="C67" s="1" t="s">
        <v>1530</v>
      </c>
      <c r="D67" s="1" t="s">
        <v>1288</v>
      </c>
      <c r="E67" s="1" t="s">
        <v>1326</v>
      </c>
      <c r="F67" t="s">
        <v>1899</v>
      </c>
      <c r="G67" t="s">
        <v>1521</v>
      </c>
      <c r="H67" t="s">
        <v>381</v>
      </c>
      <c r="I67" t="s">
        <v>1285</v>
      </c>
      <c r="J67" t="s">
        <v>1170</v>
      </c>
      <c r="K67" t="s">
        <v>1167</v>
      </c>
      <c r="L67" t="s">
        <v>1522</v>
      </c>
      <c r="M67" t="s">
        <v>1523</v>
      </c>
      <c r="N67">
        <v>112500</v>
      </c>
      <c r="O67" s="1" t="s">
        <v>1336</v>
      </c>
      <c r="P67" t="s">
        <v>1524</v>
      </c>
      <c r="Q67" t="s">
        <v>1292</v>
      </c>
      <c r="S67" t="s">
        <v>1294</v>
      </c>
      <c r="T67" t="s">
        <v>1900</v>
      </c>
      <c r="U67">
        <v>1560</v>
      </c>
      <c r="V67" t="s">
        <v>1564</v>
      </c>
    </row>
    <row r="68" spans="1:22" ht="30" x14ac:dyDescent="0.25">
      <c r="A68" t="s">
        <v>1871</v>
      </c>
      <c r="B68" s="1" t="s">
        <v>1520</v>
      </c>
      <c r="C68" s="1" t="s">
        <v>1530</v>
      </c>
      <c r="D68" s="1" t="s">
        <v>1288</v>
      </c>
      <c r="E68" s="1" t="s">
        <v>1326</v>
      </c>
      <c r="F68" t="s">
        <v>1903</v>
      </c>
      <c r="G68" t="s">
        <v>1521</v>
      </c>
      <c r="H68" t="s">
        <v>381</v>
      </c>
      <c r="I68" t="s">
        <v>1285</v>
      </c>
      <c r="J68" t="s">
        <v>1170</v>
      </c>
      <c r="K68" t="s">
        <v>1167</v>
      </c>
      <c r="L68" t="s">
        <v>1522</v>
      </c>
      <c r="M68" t="s">
        <v>1523</v>
      </c>
      <c r="N68">
        <v>112500</v>
      </c>
      <c r="O68" s="1" t="s">
        <v>1336</v>
      </c>
      <c r="P68" t="s">
        <v>1524</v>
      </c>
      <c r="Q68" t="s">
        <v>1292</v>
      </c>
      <c r="S68" t="s">
        <v>1294</v>
      </c>
      <c r="T68" t="s">
        <v>1296</v>
      </c>
      <c r="U68">
        <v>419</v>
      </c>
      <c r="V68" t="s">
        <v>1526</v>
      </c>
    </row>
    <row r="69" spans="1:22" ht="30" x14ac:dyDescent="0.25">
      <c r="A69" t="s">
        <v>1871</v>
      </c>
      <c r="B69" s="1" t="s">
        <v>1520</v>
      </c>
      <c r="C69" s="1" t="s">
        <v>1530</v>
      </c>
      <c r="D69" s="1" t="s">
        <v>1288</v>
      </c>
      <c r="E69" s="1" t="s">
        <v>1462</v>
      </c>
      <c r="F69" t="s">
        <v>1904</v>
      </c>
      <c r="G69" t="s">
        <v>1521</v>
      </c>
      <c r="H69" t="s">
        <v>381</v>
      </c>
      <c r="I69" t="s">
        <v>1285</v>
      </c>
      <c r="J69" t="s">
        <v>1170</v>
      </c>
      <c r="K69" t="s">
        <v>1167</v>
      </c>
      <c r="L69" t="s">
        <v>1522</v>
      </c>
      <c r="M69" t="s">
        <v>1523</v>
      </c>
      <c r="N69">
        <v>112500</v>
      </c>
      <c r="O69" s="1" t="s">
        <v>1336</v>
      </c>
      <c r="P69" t="s">
        <v>1524</v>
      </c>
      <c r="Q69" t="s">
        <v>1292</v>
      </c>
      <c r="S69" t="s">
        <v>1294</v>
      </c>
      <c r="T69" t="s">
        <v>1905</v>
      </c>
      <c r="U69">
        <v>84</v>
      </c>
      <c r="V69" t="s">
        <v>1526</v>
      </c>
    </row>
    <row r="70" spans="1:22" ht="30" x14ac:dyDescent="0.25">
      <c r="A70" t="s">
        <v>1871</v>
      </c>
      <c r="B70" s="1" t="s">
        <v>1520</v>
      </c>
      <c r="C70" s="1" t="s">
        <v>1530</v>
      </c>
      <c r="D70" s="1" t="s">
        <v>1288</v>
      </c>
      <c r="E70" s="1" t="s">
        <v>1378</v>
      </c>
      <c r="F70" t="s">
        <v>1906</v>
      </c>
      <c r="G70" t="s">
        <v>1521</v>
      </c>
      <c r="H70" t="s">
        <v>381</v>
      </c>
      <c r="I70" t="s">
        <v>1285</v>
      </c>
      <c r="J70" t="s">
        <v>1170</v>
      </c>
      <c r="K70" t="s">
        <v>1167</v>
      </c>
      <c r="L70" t="s">
        <v>1522</v>
      </c>
      <c r="M70" t="s">
        <v>1523</v>
      </c>
      <c r="N70">
        <v>112500</v>
      </c>
      <c r="O70" s="1" t="s">
        <v>1336</v>
      </c>
      <c r="P70" t="s">
        <v>1524</v>
      </c>
      <c r="Q70" t="s">
        <v>1292</v>
      </c>
      <c r="S70" t="s">
        <v>1294</v>
      </c>
      <c r="T70" t="s">
        <v>1907</v>
      </c>
      <c r="U70">
        <v>2008</v>
      </c>
      <c r="V70" t="s">
        <v>1526</v>
      </c>
    </row>
    <row r="71" spans="1:22" ht="30" x14ac:dyDescent="0.25">
      <c r="A71" t="s">
        <v>1871</v>
      </c>
      <c r="B71" s="1" t="s">
        <v>1520</v>
      </c>
      <c r="C71" s="1" t="s">
        <v>1530</v>
      </c>
      <c r="D71" s="1" t="s">
        <v>1288</v>
      </c>
      <c r="E71" s="1" t="s">
        <v>1378</v>
      </c>
      <c r="F71" t="s">
        <v>1910</v>
      </c>
      <c r="G71" t="s">
        <v>1521</v>
      </c>
      <c r="H71" t="s">
        <v>381</v>
      </c>
      <c r="I71" t="s">
        <v>1285</v>
      </c>
      <c r="J71" t="s">
        <v>1170</v>
      </c>
      <c r="K71" t="s">
        <v>1167</v>
      </c>
      <c r="L71" t="s">
        <v>1522</v>
      </c>
      <c r="M71" t="s">
        <v>1523</v>
      </c>
      <c r="N71">
        <v>112500</v>
      </c>
      <c r="O71" s="1" t="s">
        <v>1336</v>
      </c>
      <c r="P71" t="s">
        <v>1524</v>
      </c>
      <c r="Q71" t="s">
        <v>1292</v>
      </c>
      <c r="S71" t="s">
        <v>1294</v>
      </c>
      <c r="T71" t="s">
        <v>1911</v>
      </c>
      <c r="U71">
        <v>869</v>
      </c>
      <c r="V71" t="s">
        <v>1526</v>
      </c>
    </row>
    <row r="72" spans="1:22" ht="30" x14ac:dyDescent="0.25">
      <c r="A72" t="s">
        <v>1871</v>
      </c>
      <c r="B72" s="1" t="s">
        <v>1520</v>
      </c>
      <c r="C72" s="1" t="s">
        <v>1530</v>
      </c>
      <c r="D72" s="1" t="s">
        <v>1288</v>
      </c>
      <c r="E72" s="1" t="s">
        <v>1378</v>
      </c>
      <c r="F72" t="s">
        <v>1912</v>
      </c>
      <c r="G72" t="s">
        <v>1521</v>
      </c>
      <c r="H72" t="s">
        <v>381</v>
      </c>
      <c r="I72" t="s">
        <v>1285</v>
      </c>
      <c r="J72" t="s">
        <v>1170</v>
      </c>
      <c r="K72" t="s">
        <v>1167</v>
      </c>
      <c r="L72" t="s">
        <v>1522</v>
      </c>
      <c r="M72" t="s">
        <v>1523</v>
      </c>
      <c r="N72">
        <v>112500</v>
      </c>
      <c r="O72" s="1" t="s">
        <v>1336</v>
      </c>
      <c r="P72" t="s">
        <v>1524</v>
      </c>
      <c r="Q72" t="s">
        <v>1292</v>
      </c>
      <c r="S72" t="s">
        <v>1294</v>
      </c>
      <c r="T72" t="s">
        <v>1913</v>
      </c>
      <c r="U72">
        <v>882</v>
      </c>
      <c r="V72" t="s">
        <v>1564</v>
      </c>
    </row>
    <row r="73" spans="1:22" ht="30" x14ac:dyDescent="0.25">
      <c r="A73" t="s">
        <v>1871</v>
      </c>
      <c r="B73" s="1" t="s">
        <v>1520</v>
      </c>
      <c r="C73" s="1" t="s">
        <v>1530</v>
      </c>
      <c r="D73" s="1" t="s">
        <v>1288</v>
      </c>
      <c r="E73" s="1" t="s">
        <v>1378</v>
      </c>
      <c r="F73" t="s">
        <v>1914</v>
      </c>
      <c r="G73" t="s">
        <v>1521</v>
      </c>
      <c r="H73" t="s">
        <v>381</v>
      </c>
      <c r="I73" t="s">
        <v>1285</v>
      </c>
      <c r="J73" t="s">
        <v>1170</v>
      </c>
      <c r="K73" t="s">
        <v>1167</v>
      </c>
      <c r="L73" t="s">
        <v>1522</v>
      </c>
      <c r="M73" t="s">
        <v>1523</v>
      </c>
      <c r="N73">
        <v>112500</v>
      </c>
      <c r="O73" s="1" t="s">
        <v>1336</v>
      </c>
      <c r="P73" t="s">
        <v>1524</v>
      </c>
      <c r="Q73" t="s">
        <v>1292</v>
      </c>
      <c r="S73" t="s">
        <v>1294</v>
      </c>
      <c r="T73" t="s">
        <v>1915</v>
      </c>
      <c r="U73">
        <v>36</v>
      </c>
      <c r="V73" t="s">
        <v>1526</v>
      </c>
    </row>
    <row r="74" spans="1:22" ht="30" x14ac:dyDescent="0.25">
      <c r="A74" t="s">
        <v>1871</v>
      </c>
      <c r="B74" s="1" t="s">
        <v>1520</v>
      </c>
      <c r="C74" s="1" t="s">
        <v>1530</v>
      </c>
      <c r="D74" s="1" t="s">
        <v>1288</v>
      </c>
      <c r="E74" s="1" t="s">
        <v>1293</v>
      </c>
      <c r="F74" t="s">
        <v>1918</v>
      </c>
      <c r="G74" t="s">
        <v>1521</v>
      </c>
      <c r="H74" t="s">
        <v>381</v>
      </c>
      <c r="I74" t="s">
        <v>1285</v>
      </c>
      <c r="J74" t="s">
        <v>1170</v>
      </c>
      <c r="K74" t="s">
        <v>1167</v>
      </c>
      <c r="L74" t="s">
        <v>1522</v>
      </c>
      <c r="M74" t="s">
        <v>1523</v>
      </c>
      <c r="N74">
        <v>112500</v>
      </c>
      <c r="O74" s="1" t="s">
        <v>1336</v>
      </c>
      <c r="P74" t="s">
        <v>1524</v>
      </c>
      <c r="Q74" t="s">
        <v>1292</v>
      </c>
      <c r="S74" t="s">
        <v>1294</v>
      </c>
      <c r="T74" t="s">
        <v>1919</v>
      </c>
      <c r="U74">
        <v>10127</v>
      </c>
      <c r="V74" t="s">
        <v>1564</v>
      </c>
    </row>
    <row r="75" spans="1:22" ht="30" x14ac:dyDescent="0.25">
      <c r="A75" t="s">
        <v>1871</v>
      </c>
      <c r="B75" s="1" t="s">
        <v>1520</v>
      </c>
      <c r="C75" s="1" t="s">
        <v>1530</v>
      </c>
      <c r="D75" s="1" t="s">
        <v>1288</v>
      </c>
      <c r="E75" s="1" t="s">
        <v>1374</v>
      </c>
      <c r="F75" t="s">
        <v>1924</v>
      </c>
      <c r="G75" t="s">
        <v>1521</v>
      </c>
      <c r="H75" t="s">
        <v>381</v>
      </c>
      <c r="I75" t="s">
        <v>1285</v>
      </c>
      <c r="J75" t="s">
        <v>1170</v>
      </c>
      <c r="K75" t="s">
        <v>1167</v>
      </c>
      <c r="L75" t="s">
        <v>1522</v>
      </c>
      <c r="M75" t="s">
        <v>1523</v>
      </c>
      <c r="N75">
        <v>112500</v>
      </c>
      <c r="O75" s="1" t="s">
        <v>1336</v>
      </c>
      <c r="P75" t="s">
        <v>1524</v>
      </c>
      <c r="Q75" t="s">
        <v>1292</v>
      </c>
      <c r="S75" t="s">
        <v>1294</v>
      </c>
      <c r="T75" t="s">
        <v>1925</v>
      </c>
      <c r="U75">
        <v>594</v>
      </c>
      <c r="V75" t="s">
        <v>1526</v>
      </c>
    </row>
    <row r="76" spans="1:22" ht="30" x14ac:dyDescent="0.25">
      <c r="A76" t="s">
        <v>1871</v>
      </c>
      <c r="B76" s="1" t="s">
        <v>1520</v>
      </c>
      <c r="C76" s="1" t="s">
        <v>1530</v>
      </c>
      <c r="D76" s="1" t="s">
        <v>1288</v>
      </c>
      <c r="E76" s="1" t="s">
        <v>1316</v>
      </c>
      <c r="F76" t="s">
        <v>1944</v>
      </c>
      <c r="G76" t="s">
        <v>1521</v>
      </c>
      <c r="H76" t="s">
        <v>381</v>
      </c>
      <c r="I76" t="s">
        <v>1285</v>
      </c>
      <c r="J76" t="s">
        <v>1170</v>
      </c>
      <c r="K76" t="s">
        <v>1167</v>
      </c>
      <c r="L76" t="s">
        <v>1522</v>
      </c>
      <c r="M76" t="s">
        <v>1523</v>
      </c>
      <c r="N76">
        <v>112500</v>
      </c>
      <c r="O76" s="1" t="s">
        <v>1336</v>
      </c>
      <c r="P76" t="s">
        <v>1524</v>
      </c>
      <c r="Q76" t="s">
        <v>1292</v>
      </c>
      <c r="S76" t="s">
        <v>1294</v>
      </c>
      <c r="T76" t="s">
        <v>1296</v>
      </c>
      <c r="U76">
        <v>0</v>
      </c>
      <c r="V76" t="s">
        <v>1526</v>
      </c>
    </row>
    <row r="77" spans="1:22" ht="30" x14ac:dyDescent="0.25">
      <c r="A77" t="s">
        <v>1871</v>
      </c>
      <c r="B77" s="1" t="s">
        <v>1520</v>
      </c>
      <c r="C77" s="1" t="s">
        <v>1530</v>
      </c>
      <c r="D77" s="1" t="s">
        <v>1288</v>
      </c>
      <c r="E77" s="1" t="s">
        <v>1350</v>
      </c>
      <c r="F77" t="s">
        <v>1950</v>
      </c>
      <c r="G77" t="s">
        <v>1521</v>
      </c>
      <c r="H77" t="s">
        <v>381</v>
      </c>
      <c r="I77" t="s">
        <v>1285</v>
      </c>
      <c r="J77" t="s">
        <v>1170</v>
      </c>
      <c r="K77" t="s">
        <v>1167</v>
      </c>
      <c r="L77" t="s">
        <v>1522</v>
      </c>
      <c r="M77" t="s">
        <v>1523</v>
      </c>
      <c r="N77">
        <v>112500</v>
      </c>
      <c r="O77" s="1" t="s">
        <v>1336</v>
      </c>
      <c r="P77" t="s">
        <v>1524</v>
      </c>
      <c r="Q77" t="s">
        <v>1292</v>
      </c>
      <c r="S77" t="s">
        <v>1294</v>
      </c>
      <c r="T77" t="s">
        <v>1951</v>
      </c>
      <c r="U77">
        <v>13731</v>
      </c>
      <c r="V77" t="s">
        <v>1564</v>
      </c>
    </row>
    <row r="78" spans="1:22" ht="30" x14ac:dyDescent="0.25">
      <c r="A78" t="s">
        <v>1871</v>
      </c>
      <c r="B78" s="1" t="s">
        <v>1520</v>
      </c>
      <c r="C78" s="1" t="s">
        <v>1530</v>
      </c>
      <c r="D78" s="1" t="s">
        <v>1288</v>
      </c>
      <c r="E78" s="1" t="s">
        <v>1368</v>
      </c>
      <c r="F78" t="s">
        <v>1966</v>
      </c>
      <c r="G78" t="s">
        <v>1521</v>
      </c>
      <c r="H78" t="s">
        <v>381</v>
      </c>
      <c r="I78" t="s">
        <v>1285</v>
      </c>
      <c r="J78" t="s">
        <v>1170</v>
      </c>
      <c r="K78" t="s">
        <v>1167</v>
      </c>
      <c r="L78" t="s">
        <v>1522</v>
      </c>
      <c r="M78" t="s">
        <v>1523</v>
      </c>
      <c r="N78">
        <v>112500</v>
      </c>
      <c r="O78" s="1" t="s">
        <v>1336</v>
      </c>
      <c r="P78" t="s">
        <v>1524</v>
      </c>
      <c r="Q78" t="s">
        <v>1292</v>
      </c>
      <c r="S78" t="s">
        <v>1294</v>
      </c>
      <c r="T78" t="s">
        <v>1967</v>
      </c>
      <c r="U78">
        <v>9232</v>
      </c>
      <c r="V78" t="s">
        <v>1564</v>
      </c>
    </row>
    <row r="79" spans="1:22" ht="30" x14ac:dyDescent="0.25">
      <c r="A79" t="s">
        <v>1871</v>
      </c>
      <c r="B79" s="1" t="s">
        <v>1520</v>
      </c>
      <c r="C79" s="1" t="s">
        <v>1530</v>
      </c>
      <c r="D79" s="1" t="s">
        <v>1288</v>
      </c>
      <c r="E79" s="1" t="s">
        <v>1293</v>
      </c>
      <c r="F79" t="s">
        <v>1975</v>
      </c>
      <c r="G79" t="s">
        <v>1521</v>
      </c>
      <c r="H79" t="s">
        <v>381</v>
      </c>
      <c r="I79" t="s">
        <v>1285</v>
      </c>
      <c r="J79" t="s">
        <v>1170</v>
      </c>
      <c r="K79" t="s">
        <v>1167</v>
      </c>
      <c r="L79" t="s">
        <v>1522</v>
      </c>
      <c r="M79" t="s">
        <v>1523</v>
      </c>
      <c r="N79">
        <v>112500</v>
      </c>
      <c r="O79" s="1" t="s">
        <v>1336</v>
      </c>
      <c r="P79" t="s">
        <v>1524</v>
      </c>
      <c r="Q79" t="s">
        <v>1292</v>
      </c>
      <c r="S79" t="s">
        <v>1294</v>
      </c>
      <c r="T79" t="s">
        <v>1976</v>
      </c>
      <c r="U79">
        <v>2644</v>
      </c>
      <c r="V79" t="s">
        <v>1526</v>
      </c>
    </row>
    <row r="80" spans="1:22" ht="30" x14ac:dyDescent="0.25">
      <c r="A80" t="s">
        <v>1871</v>
      </c>
      <c r="B80" s="1" t="s">
        <v>1520</v>
      </c>
      <c r="C80" s="1" t="s">
        <v>1530</v>
      </c>
      <c r="D80" s="1" t="s">
        <v>1288</v>
      </c>
      <c r="E80" s="1" t="s">
        <v>1358</v>
      </c>
      <c r="F80" t="s">
        <v>1984</v>
      </c>
      <c r="G80" t="s">
        <v>1521</v>
      </c>
      <c r="H80" t="s">
        <v>381</v>
      </c>
      <c r="I80" t="s">
        <v>1285</v>
      </c>
      <c r="J80" t="s">
        <v>1170</v>
      </c>
      <c r="K80" t="s">
        <v>1167</v>
      </c>
      <c r="L80" t="s">
        <v>1522</v>
      </c>
      <c r="M80" t="s">
        <v>1523</v>
      </c>
      <c r="N80">
        <v>112500</v>
      </c>
      <c r="O80" s="1" t="s">
        <v>1336</v>
      </c>
      <c r="P80" t="s">
        <v>1524</v>
      </c>
      <c r="Q80" t="s">
        <v>1292</v>
      </c>
      <c r="S80" t="s">
        <v>1294</v>
      </c>
      <c r="T80" t="s">
        <v>1985</v>
      </c>
      <c r="U80">
        <v>456</v>
      </c>
      <c r="V80" t="s">
        <v>1526</v>
      </c>
    </row>
    <row r="81" spans="1:22" ht="30" x14ac:dyDescent="0.25">
      <c r="A81" t="s">
        <v>1871</v>
      </c>
      <c r="B81" s="1" t="s">
        <v>1520</v>
      </c>
      <c r="C81" s="1" t="s">
        <v>1530</v>
      </c>
      <c r="D81" s="1" t="s">
        <v>1288</v>
      </c>
      <c r="E81" s="1" t="s">
        <v>1636</v>
      </c>
      <c r="F81" t="s">
        <v>1986</v>
      </c>
      <c r="G81" t="s">
        <v>1521</v>
      </c>
      <c r="H81" t="s">
        <v>381</v>
      </c>
      <c r="I81" t="s">
        <v>1285</v>
      </c>
      <c r="J81" t="s">
        <v>1170</v>
      </c>
      <c r="K81" t="s">
        <v>1167</v>
      </c>
      <c r="L81" t="s">
        <v>1522</v>
      </c>
      <c r="M81" t="s">
        <v>1523</v>
      </c>
      <c r="N81">
        <v>112500</v>
      </c>
      <c r="O81" s="1" t="s">
        <v>1336</v>
      </c>
      <c r="P81" t="s">
        <v>1524</v>
      </c>
      <c r="Q81" t="s">
        <v>1292</v>
      </c>
      <c r="S81" t="s">
        <v>1294</v>
      </c>
      <c r="T81" t="s">
        <v>1987</v>
      </c>
      <c r="U81">
        <v>3344</v>
      </c>
      <c r="V81" t="s">
        <v>1526</v>
      </c>
    </row>
    <row r="82" spans="1:22" ht="30" x14ac:dyDescent="0.25">
      <c r="A82" t="s">
        <v>1871</v>
      </c>
      <c r="B82" s="1" t="s">
        <v>1520</v>
      </c>
      <c r="C82" s="1" t="s">
        <v>1530</v>
      </c>
      <c r="D82" s="1" t="s">
        <v>1288</v>
      </c>
      <c r="E82" s="1" t="s">
        <v>1293</v>
      </c>
      <c r="F82" t="s">
        <v>1990</v>
      </c>
      <c r="G82" t="s">
        <v>1521</v>
      </c>
      <c r="H82" t="s">
        <v>381</v>
      </c>
      <c r="I82" t="s">
        <v>1285</v>
      </c>
      <c r="J82" t="s">
        <v>1170</v>
      </c>
      <c r="K82" t="s">
        <v>1167</v>
      </c>
      <c r="L82" t="s">
        <v>1522</v>
      </c>
      <c r="M82" t="s">
        <v>1523</v>
      </c>
      <c r="N82">
        <v>112500</v>
      </c>
      <c r="O82" s="1" t="s">
        <v>1336</v>
      </c>
      <c r="P82" t="s">
        <v>1524</v>
      </c>
      <c r="Q82" t="s">
        <v>1292</v>
      </c>
      <c r="S82" t="s">
        <v>1294</v>
      </c>
      <c r="T82" t="s">
        <v>1991</v>
      </c>
      <c r="U82">
        <v>4</v>
      </c>
      <c r="V82" t="s">
        <v>1526</v>
      </c>
    </row>
    <row r="83" spans="1:22" ht="30" x14ac:dyDescent="0.25">
      <c r="A83" t="s">
        <v>1871</v>
      </c>
      <c r="B83" s="1" t="s">
        <v>1520</v>
      </c>
      <c r="C83" s="1" t="s">
        <v>1530</v>
      </c>
      <c r="D83" s="1" t="s">
        <v>1288</v>
      </c>
      <c r="E83" s="1" t="s">
        <v>1293</v>
      </c>
      <c r="F83" t="s">
        <v>1992</v>
      </c>
      <c r="G83" t="s">
        <v>1521</v>
      </c>
      <c r="H83" t="s">
        <v>381</v>
      </c>
      <c r="I83" t="s">
        <v>1285</v>
      </c>
      <c r="J83" t="s">
        <v>1170</v>
      </c>
      <c r="K83" t="s">
        <v>1167</v>
      </c>
      <c r="L83" t="s">
        <v>1522</v>
      </c>
      <c r="M83" t="s">
        <v>1523</v>
      </c>
      <c r="N83">
        <v>112500</v>
      </c>
      <c r="O83" s="1" t="s">
        <v>1336</v>
      </c>
      <c r="P83" t="s">
        <v>1524</v>
      </c>
      <c r="Q83" t="s">
        <v>1292</v>
      </c>
      <c r="S83" t="s">
        <v>1294</v>
      </c>
      <c r="T83" t="s">
        <v>1993</v>
      </c>
      <c r="U83">
        <v>901</v>
      </c>
      <c r="V83" t="s">
        <v>1526</v>
      </c>
    </row>
    <row r="84" spans="1:22" ht="30" x14ac:dyDescent="0.25">
      <c r="A84" t="s">
        <v>1871</v>
      </c>
      <c r="B84" s="1" t="s">
        <v>1520</v>
      </c>
      <c r="C84" s="1" t="s">
        <v>1530</v>
      </c>
      <c r="D84" s="1" t="s">
        <v>1288</v>
      </c>
      <c r="E84" s="1" t="s">
        <v>1293</v>
      </c>
      <c r="F84" t="s">
        <v>1996</v>
      </c>
      <c r="G84" t="s">
        <v>1521</v>
      </c>
      <c r="H84" t="s">
        <v>381</v>
      </c>
      <c r="I84" t="s">
        <v>1285</v>
      </c>
      <c r="J84" t="s">
        <v>1170</v>
      </c>
      <c r="K84" t="s">
        <v>1167</v>
      </c>
      <c r="L84" t="s">
        <v>1522</v>
      </c>
      <c r="M84" t="s">
        <v>1523</v>
      </c>
      <c r="N84">
        <v>112500</v>
      </c>
      <c r="O84" s="1" t="s">
        <v>1336</v>
      </c>
      <c r="P84" t="s">
        <v>1524</v>
      </c>
      <c r="Q84" t="s">
        <v>1292</v>
      </c>
      <c r="S84" t="s">
        <v>1294</v>
      </c>
      <c r="T84" t="s">
        <v>1997</v>
      </c>
      <c r="U84">
        <v>1439</v>
      </c>
      <c r="V84" t="s">
        <v>1564</v>
      </c>
    </row>
    <row r="85" spans="1:22" ht="30" x14ac:dyDescent="0.25">
      <c r="A85" t="s">
        <v>1871</v>
      </c>
      <c r="B85" s="1" t="s">
        <v>1520</v>
      </c>
      <c r="C85" s="1" t="s">
        <v>1530</v>
      </c>
      <c r="D85" s="1" t="s">
        <v>1288</v>
      </c>
      <c r="E85" s="1" t="s">
        <v>1293</v>
      </c>
      <c r="F85" t="s">
        <v>2000</v>
      </c>
      <c r="G85" t="s">
        <v>1521</v>
      </c>
      <c r="H85" t="s">
        <v>381</v>
      </c>
      <c r="I85" t="s">
        <v>1285</v>
      </c>
      <c r="J85" t="s">
        <v>1170</v>
      </c>
      <c r="K85" t="s">
        <v>1167</v>
      </c>
      <c r="L85" t="s">
        <v>1522</v>
      </c>
      <c r="M85" t="s">
        <v>1523</v>
      </c>
      <c r="N85">
        <v>112500</v>
      </c>
      <c r="O85" s="1" t="s">
        <v>1336</v>
      </c>
      <c r="P85" t="s">
        <v>1524</v>
      </c>
      <c r="Q85" t="s">
        <v>1292</v>
      </c>
      <c r="S85" t="s">
        <v>1294</v>
      </c>
      <c r="T85" t="s">
        <v>2001</v>
      </c>
      <c r="U85">
        <v>853</v>
      </c>
      <c r="V85" t="s">
        <v>1564</v>
      </c>
    </row>
    <row r="86" spans="1:22" ht="30" x14ac:dyDescent="0.25">
      <c r="A86" t="s">
        <v>1871</v>
      </c>
      <c r="B86" s="1" t="s">
        <v>1520</v>
      </c>
      <c r="C86" s="1" t="s">
        <v>1530</v>
      </c>
      <c r="D86" s="1" t="s">
        <v>1288</v>
      </c>
      <c r="E86" s="1" t="s">
        <v>1293</v>
      </c>
      <c r="F86" t="s">
        <v>2002</v>
      </c>
      <c r="G86" t="s">
        <v>1521</v>
      </c>
      <c r="H86" t="s">
        <v>381</v>
      </c>
      <c r="I86" t="s">
        <v>1285</v>
      </c>
      <c r="J86" t="s">
        <v>1170</v>
      </c>
      <c r="K86" t="s">
        <v>1167</v>
      </c>
      <c r="L86" t="s">
        <v>1522</v>
      </c>
      <c r="M86" t="s">
        <v>1523</v>
      </c>
      <c r="N86">
        <v>112500</v>
      </c>
      <c r="O86" s="1" t="s">
        <v>1336</v>
      </c>
      <c r="P86" t="s">
        <v>1524</v>
      </c>
      <c r="Q86" t="s">
        <v>1292</v>
      </c>
      <c r="S86" t="s">
        <v>1294</v>
      </c>
      <c r="T86" t="s">
        <v>2003</v>
      </c>
      <c r="U86">
        <v>706</v>
      </c>
      <c r="V86" t="s">
        <v>1526</v>
      </c>
    </row>
    <row r="87" spans="1:22" ht="30" x14ac:dyDescent="0.25">
      <c r="A87" t="s">
        <v>1871</v>
      </c>
      <c r="B87" s="1" t="s">
        <v>1520</v>
      </c>
      <c r="C87" s="1" t="s">
        <v>1530</v>
      </c>
      <c r="D87" s="1" t="s">
        <v>1288</v>
      </c>
      <c r="E87" s="1" t="s">
        <v>1293</v>
      </c>
      <c r="F87" t="s">
        <v>2006</v>
      </c>
      <c r="G87" t="s">
        <v>1521</v>
      </c>
      <c r="H87" t="s">
        <v>381</v>
      </c>
      <c r="I87" t="s">
        <v>1285</v>
      </c>
      <c r="J87" t="s">
        <v>1170</v>
      </c>
      <c r="K87" t="s">
        <v>1167</v>
      </c>
      <c r="L87" t="s">
        <v>1522</v>
      </c>
      <c r="M87" t="s">
        <v>1523</v>
      </c>
      <c r="N87">
        <v>112500</v>
      </c>
      <c r="O87" s="1" t="s">
        <v>1336</v>
      </c>
      <c r="P87" t="s">
        <v>1524</v>
      </c>
      <c r="Q87" t="s">
        <v>1292</v>
      </c>
      <c r="S87" t="s">
        <v>1294</v>
      </c>
      <c r="T87" t="s">
        <v>2007</v>
      </c>
      <c r="U87">
        <v>2318</v>
      </c>
      <c r="V87" t="s">
        <v>1564</v>
      </c>
    </row>
    <row r="88" spans="1:22" ht="30" x14ac:dyDescent="0.25">
      <c r="A88" t="s">
        <v>1871</v>
      </c>
      <c r="B88" s="1" t="s">
        <v>1520</v>
      </c>
      <c r="C88" s="1" t="s">
        <v>1530</v>
      </c>
      <c r="D88" s="1" t="s">
        <v>1288</v>
      </c>
      <c r="E88" s="1" t="s">
        <v>1636</v>
      </c>
      <c r="F88" t="s">
        <v>2018</v>
      </c>
      <c r="G88" t="s">
        <v>1521</v>
      </c>
      <c r="H88" t="s">
        <v>381</v>
      </c>
      <c r="I88" t="s">
        <v>1285</v>
      </c>
      <c r="J88" t="s">
        <v>1170</v>
      </c>
      <c r="K88" t="s">
        <v>1167</v>
      </c>
      <c r="L88" t="s">
        <v>1522</v>
      </c>
      <c r="M88" t="s">
        <v>1523</v>
      </c>
      <c r="N88">
        <v>112500</v>
      </c>
      <c r="O88" s="1" t="s">
        <v>1336</v>
      </c>
      <c r="P88" t="s">
        <v>1524</v>
      </c>
      <c r="Q88" t="s">
        <v>1292</v>
      </c>
      <c r="S88" t="s">
        <v>1294</v>
      </c>
      <c r="T88" t="s">
        <v>2019</v>
      </c>
      <c r="U88">
        <v>1851</v>
      </c>
      <c r="V88" t="s">
        <v>1526</v>
      </c>
    </row>
    <row r="89" spans="1:22" ht="30" x14ac:dyDescent="0.25">
      <c r="A89" t="s">
        <v>1871</v>
      </c>
      <c r="B89" s="1" t="s">
        <v>1520</v>
      </c>
      <c r="C89" s="1" t="s">
        <v>1530</v>
      </c>
      <c r="D89" s="1" t="s">
        <v>1288</v>
      </c>
      <c r="E89" s="1" t="s">
        <v>1636</v>
      </c>
      <c r="F89" t="s">
        <v>2020</v>
      </c>
      <c r="G89" t="s">
        <v>1521</v>
      </c>
      <c r="H89" t="s">
        <v>381</v>
      </c>
      <c r="I89" t="s">
        <v>1285</v>
      </c>
      <c r="J89" t="s">
        <v>1170</v>
      </c>
      <c r="K89" t="s">
        <v>1167</v>
      </c>
      <c r="L89" t="s">
        <v>1522</v>
      </c>
      <c r="M89" t="s">
        <v>1523</v>
      </c>
      <c r="N89">
        <v>112500</v>
      </c>
      <c r="O89" s="1" t="s">
        <v>1336</v>
      </c>
      <c r="P89" t="s">
        <v>1524</v>
      </c>
      <c r="Q89" t="s">
        <v>1292</v>
      </c>
      <c r="S89" t="s">
        <v>1294</v>
      </c>
      <c r="T89" t="s">
        <v>2021</v>
      </c>
      <c r="U89">
        <v>228</v>
      </c>
      <c r="V89" t="s">
        <v>1526</v>
      </c>
    </row>
    <row r="90" spans="1:22" ht="30" x14ac:dyDescent="0.25">
      <c r="A90" t="s">
        <v>1871</v>
      </c>
      <c r="B90" s="1" t="s">
        <v>1520</v>
      </c>
      <c r="C90" s="1" t="s">
        <v>1530</v>
      </c>
      <c r="D90" s="1" t="s">
        <v>1288</v>
      </c>
      <c r="E90" s="1" t="s">
        <v>1368</v>
      </c>
      <c r="F90" t="s">
        <v>2025</v>
      </c>
      <c r="G90" t="s">
        <v>1521</v>
      </c>
      <c r="H90" t="s">
        <v>381</v>
      </c>
      <c r="I90" t="s">
        <v>1285</v>
      </c>
      <c r="J90" t="s">
        <v>1170</v>
      </c>
      <c r="K90" t="s">
        <v>1167</v>
      </c>
      <c r="L90" t="s">
        <v>1522</v>
      </c>
      <c r="M90" t="s">
        <v>1523</v>
      </c>
      <c r="N90">
        <v>112500</v>
      </c>
      <c r="O90" s="1" t="s">
        <v>1336</v>
      </c>
      <c r="P90" t="s">
        <v>1524</v>
      </c>
      <c r="Q90" t="s">
        <v>1292</v>
      </c>
      <c r="S90" t="s">
        <v>1294</v>
      </c>
      <c r="T90" t="s">
        <v>2026</v>
      </c>
      <c r="U90">
        <v>3360</v>
      </c>
      <c r="V90" t="s">
        <v>1526</v>
      </c>
    </row>
    <row r="91" spans="1:22" ht="30" x14ac:dyDescent="0.25">
      <c r="A91" t="s">
        <v>1871</v>
      </c>
      <c r="B91" s="1" t="s">
        <v>1520</v>
      </c>
      <c r="C91" s="1" t="s">
        <v>1530</v>
      </c>
      <c r="D91" s="1" t="s">
        <v>1288</v>
      </c>
      <c r="E91" s="1" t="s">
        <v>1368</v>
      </c>
      <c r="F91" t="s">
        <v>2029</v>
      </c>
      <c r="G91" t="s">
        <v>1521</v>
      </c>
      <c r="H91" t="s">
        <v>381</v>
      </c>
      <c r="I91" t="s">
        <v>1285</v>
      </c>
      <c r="J91" t="s">
        <v>1170</v>
      </c>
      <c r="K91" t="s">
        <v>1167</v>
      </c>
      <c r="L91" t="s">
        <v>1522</v>
      </c>
      <c r="M91" t="s">
        <v>1523</v>
      </c>
      <c r="N91">
        <v>112500</v>
      </c>
      <c r="O91" s="1" t="s">
        <v>1336</v>
      </c>
      <c r="P91" t="s">
        <v>1524</v>
      </c>
      <c r="Q91" t="s">
        <v>1292</v>
      </c>
      <c r="S91" t="s">
        <v>1294</v>
      </c>
      <c r="T91" t="s">
        <v>2030</v>
      </c>
      <c r="U91">
        <v>12351</v>
      </c>
      <c r="V91" t="s">
        <v>1526</v>
      </c>
    </row>
    <row r="92" spans="1:22" ht="30" x14ac:dyDescent="0.25">
      <c r="A92" t="s">
        <v>1871</v>
      </c>
      <c r="B92" s="1" t="s">
        <v>1520</v>
      </c>
      <c r="C92" s="1" t="s">
        <v>1530</v>
      </c>
      <c r="D92" s="1" t="s">
        <v>1288</v>
      </c>
      <c r="E92" s="1" t="s">
        <v>1316</v>
      </c>
      <c r="F92" t="s">
        <v>2043</v>
      </c>
      <c r="G92" t="s">
        <v>1521</v>
      </c>
      <c r="H92" t="s">
        <v>381</v>
      </c>
      <c r="I92" t="s">
        <v>1285</v>
      </c>
      <c r="J92" t="s">
        <v>1170</v>
      </c>
      <c r="K92" t="s">
        <v>1167</v>
      </c>
      <c r="L92" t="s">
        <v>1522</v>
      </c>
      <c r="M92" t="s">
        <v>1523</v>
      </c>
      <c r="N92">
        <v>112500</v>
      </c>
      <c r="O92" s="1" t="s">
        <v>1336</v>
      </c>
      <c r="P92" t="s">
        <v>1524</v>
      </c>
      <c r="Q92" t="s">
        <v>1292</v>
      </c>
      <c r="S92" t="s">
        <v>1294</v>
      </c>
      <c r="T92" t="s">
        <v>2044</v>
      </c>
      <c r="U92">
        <v>36</v>
      </c>
      <c r="V92" t="s">
        <v>1526</v>
      </c>
    </row>
    <row r="93" spans="1:22" ht="30" x14ac:dyDescent="0.25">
      <c r="A93" t="s">
        <v>1871</v>
      </c>
      <c r="B93" s="1" t="s">
        <v>1520</v>
      </c>
      <c r="C93" s="1" t="s">
        <v>1530</v>
      </c>
      <c r="D93" s="1" t="s">
        <v>1288</v>
      </c>
      <c r="E93" s="1" t="s">
        <v>1316</v>
      </c>
      <c r="F93" t="s">
        <v>2045</v>
      </c>
      <c r="G93" t="s">
        <v>1521</v>
      </c>
      <c r="H93" t="s">
        <v>381</v>
      </c>
      <c r="I93" t="s">
        <v>1285</v>
      </c>
      <c r="J93" t="s">
        <v>1170</v>
      </c>
      <c r="K93" t="s">
        <v>1167</v>
      </c>
      <c r="L93" t="s">
        <v>1522</v>
      </c>
      <c r="M93" t="s">
        <v>1523</v>
      </c>
      <c r="N93">
        <v>112500</v>
      </c>
      <c r="O93" s="1" t="s">
        <v>1336</v>
      </c>
      <c r="P93" t="s">
        <v>1524</v>
      </c>
      <c r="Q93" t="s">
        <v>1292</v>
      </c>
      <c r="S93" t="s">
        <v>1294</v>
      </c>
      <c r="T93" t="s">
        <v>2046</v>
      </c>
      <c r="U93">
        <v>988</v>
      </c>
      <c r="V93" t="s">
        <v>1526</v>
      </c>
    </row>
    <row r="94" spans="1:22" ht="30" x14ac:dyDescent="0.25">
      <c r="A94" t="s">
        <v>1871</v>
      </c>
      <c r="B94" s="1" t="s">
        <v>1520</v>
      </c>
      <c r="C94" s="1" t="s">
        <v>1530</v>
      </c>
      <c r="D94" s="1" t="s">
        <v>1288</v>
      </c>
      <c r="E94" s="1" t="s">
        <v>1543</v>
      </c>
      <c r="F94" t="s">
        <v>2047</v>
      </c>
      <c r="G94" t="s">
        <v>1521</v>
      </c>
      <c r="H94" t="s">
        <v>381</v>
      </c>
      <c r="I94" t="s">
        <v>1285</v>
      </c>
      <c r="J94" t="s">
        <v>1170</v>
      </c>
      <c r="K94" t="s">
        <v>1167</v>
      </c>
      <c r="L94" t="s">
        <v>1522</v>
      </c>
      <c r="M94" t="s">
        <v>1523</v>
      </c>
      <c r="N94">
        <v>112500</v>
      </c>
      <c r="O94" s="1" t="s">
        <v>1336</v>
      </c>
      <c r="P94" t="s">
        <v>1524</v>
      </c>
      <c r="Q94" t="s">
        <v>1292</v>
      </c>
      <c r="S94" t="s">
        <v>1294</v>
      </c>
      <c r="T94" t="s">
        <v>2048</v>
      </c>
      <c r="U94">
        <v>36</v>
      </c>
      <c r="V94" t="s">
        <v>1526</v>
      </c>
    </row>
    <row r="95" spans="1:22" ht="30" x14ac:dyDescent="0.25">
      <c r="A95" t="s">
        <v>1871</v>
      </c>
      <c r="B95" s="1" t="s">
        <v>1520</v>
      </c>
      <c r="C95" s="1" t="s">
        <v>1530</v>
      </c>
      <c r="D95" s="1" t="s">
        <v>1288</v>
      </c>
      <c r="E95" s="1" t="s">
        <v>1326</v>
      </c>
      <c r="F95" t="s">
        <v>2057</v>
      </c>
      <c r="G95" t="s">
        <v>1521</v>
      </c>
      <c r="H95" t="s">
        <v>381</v>
      </c>
      <c r="I95" t="s">
        <v>1285</v>
      </c>
      <c r="J95" t="s">
        <v>1170</v>
      </c>
      <c r="K95" t="s">
        <v>1167</v>
      </c>
      <c r="L95" t="s">
        <v>1522</v>
      </c>
      <c r="M95" t="s">
        <v>1523</v>
      </c>
      <c r="N95">
        <v>112500</v>
      </c>
      <c r="O95" s="1" t="s">
        <v>1336</v>
      </c>
      <c r="P95" t="s">
        <v>1524</v>
      </c>
      <c r="Q95" t="s">
        <v>1292</v>
      </c>
      <c r="S95" t="s">
        <v>1294</v>
      </c>
      <c r="T95" t="s">
        <v>1296</v>
      </c>
      <c r="U95">
        <v>0</v>
      </c>
      <c r="V95" t="s">
        <v>1526</v>
      </c>
    </row>
    <row r="96" spans="1:22" ht="30" x14ac:dyDescent="0.25">
      <c r="A96" t="s">
        <v>1871</v>
      </c>
      <c r="B96" s="1" t="s">
        <v>1520</v>
      </c>
      <c r="C96" s="1" t="s">
        <v>1530</v>
      </c>
      <c r="D96" s="1" t="s">
        <v>1288</v>
      </c>
      <c r="E96" s="1" t="s">
        <v>1316</v>
      </c>
      <c r="F96" t="s">
        <v>2058</v>
      </c>
      <c r="G96" t="s">
        <v>1521</v>
      </c>
      <c r="H96" t="s">
        <v>381</v>
      </c>
      <c r="I96" t="s">
        <v>1285</v>
      </c>
      <c r="J96" t="s">
        <v>1170</v>
      </c>
      <c r="K96" t="s">
        <v>1167</v>
      </c>
      <c r="L96" t="s">
        <v>1522</v>
      </c>
      <c r="M96" t="s">
        <v>1523</v>
      </c>
      <c r="N96">
        <v>112500</v>
      </c>
      <c r="O96" s="1" t="s">
        <v>1336</v>
      </c>
      <c r="P96" t="s">
        <v>1524</v>
      </c>
      <c r="Q96" t="s">
        <v>1292</v>
      </c>
      <c r="S96" t="s">
        <v>1294</v>
      </c>
      <c r="T96" t="s">
        <v>2059</v>
      </c>
      <c r="U96">
        <v>58</v>
      </c>
      <c r="V96" t="s">
        <v>1564</v>
      </c>
    </row>
    <row r="97" spans="1:22" ht="30" x14ac:dyDescent="0.25">
      <c r="A97" t="s">
        <v>1871</v>
      </c>
      <c r="B97" s="1" t="s">
        <v>1520</v>
      </c>
      <c r="C97" s="1" t="s">
        <v>1530</v>
      </c>
      <c r="D97" s="1" t="s">
        <v>1288</v>
      </c>
      <c r="E97" s="1" t="s">
        <v>1462</v>
      </c>
      <c r="F97" t="s">
        <v>2062</v>
      </c>
      <c r="G97" t="s">
        <v>1521</v>
      </c>
      <c r="H97" t="s">
        <v>381</v>
      </c>
      <c r="I97" t="s">
        <v>1285</v>
      </c>
      <c r="J97" t="s">
        <v>1170</v>
      </c>
      <c r="K97" t="s">
        <v>1167</v>
      </c>
      <c r="L97" t="s">
        <v>1522</v>
      </c>
      <c r="M97" t="s">
        <v>1523</v>
      </c>
      <c r="N97">
        <v>112500</v>
      </c>
      <c r="O97" s="1" t="s">
        <v>1336</v>
      </c>
      <c r="P97" t="s">
        <v>1524</v>
      </c>
      <c r="Q97" t="s">
        <v>1292</v>
      </c>
      <c r="S97" t="s">
        <v>1294</v>
      </c>
      <c r="T97" t="s">
        <v>2063</v>
      </c>
      <c r="U97">
        <v>1590</v>
      </c>
      <c r="V97" t="s">
        <v>1526</v>
      </c>
    </row>
    <row r="98" spans="1:22" ht="30" x14ac:dyDescent="0.25">
      <c r="A98" t="s">
        <v>1871</v>
      </c>
      <c r="B98" s="1" t="s">
        <v>1520</v>
      </c>
      <c r="C98" s="1" t="s">
        <v>1530</v>
      </c>
      <c r="D98" s="1" t="s">
        <v>1288</v>
      </c>
      <c r="E98" s="1" t="s">
        <v>1326</v>
      </c>
      <c r="F98" t="s">
        <v>2064</v>
      </c>
      <c r="G98" t="s">
        <v>1521</v>
      </c>
      <c r="H98" t="s">
        <v>381</v>
      </c>
      <c r="I98" t="s">
        <v>1285</v>
      </c>
      <c r="J98" t="s">
        <v>1170</v>
      </c>
      <c r="K98" t="s">
        <v>1167</v>
      </c>
      <c r="L98" t="s">
        <v>1522</v>
      </c>
      <c r="M98" t="s">
        <v>1523</v>
      </c>
      <c r="N98">
        <v>112500</v>
      </c>
      <c r="O98" s="1" t="s">
        <v>1336</v>
      </c>
      <c r="P98" t="s">
        <v>1524</v>
      </c>
      <c r="Q98" t="s">
        <v>1292</v>
      </c>
      <c r="S98" t="s">
        <v>1294</v>
      </c>
      <c r="T98" t="s">
        <v>1296</v>
      </c>
      <c r="U98">
        <v>0</v>
      </c>
      <c r="V98" t="s">
        <v>1526</v>
      </c>
    </row>
    <row r="99" spans="1:22" ht="30" x14ac:dyDescent="0.25">
      <c r="A99" t="s">
        <v>1871</v>
      </c>
      <c r="B99" s="1" t="s">
        <v>1520</v>
      </c>
      <c r="C99" s="1" t="s">
        <v>1530</v>
      </c>
      <c r="D99" s="1" t="s">
        <v>1288</v>
      </c>
      <c r="E99" s="1" t="s">
        <v>1326</v>
      </c>
      <c r="F99" t="s">
        <v>2067</v>
      </c>
      <c r="G99" t="s">
        <v>1521</v>
      </c>
      <c r="H99" t="s">
        <v>381</v>
      </c>
      <c r="I99" t="s">
        <v>1285</v>
      </c>
      <c r="J99" t="s">
        <v>1170</v>
      </c>
      <c r="K99" t="s">
        <v>1167</v>
      </c>
      <c r="L99" t="s">
        <v>1522</v>
      </c>
      <c r="M99" t="s">
        <v>1523</v>
      </c>
      <c r="N99">
        <v>112500</v>
      </c>
      <c r="O99" s="1" t="s">
        <v>1336</v>
      </c>
      <c r="P99" t="s">
        <v>1524</v>
      </c>
      <c r="Q99" t="s">
        <v>1292</v>
      </c>
      <c r="S99" t="s">
        <v>1294</v>
      </c>
      <c r="T99" t="s">
        <v>2068</v>
      </c>
      <c r="U99">
        <v>1613</v>
      </c>
      <c r="V99" t="s">
        <v>1564</v>
      </c>
    </row>
    <row r="100" spans="1:22" ht="30" x14ac:dyDescent="0.25">
      <c r="A100" t="s">
        <v>1871</v>
      </c>
      <c r="B100" s="1" t="s">
        <v>1520</v>
      </c>
      <c r="C100" s="1" t="s">
        <v>1530</v>
      </c>
      <c r="D100" s="1" t="s">
        <v>1288</v>
      </c>
      <c r="E100" s="1" t="s">
        <v>1374</v>
      </c>
      <c r="F100" t="s">
        <v>2069</v>
      </c>
      <c r="G100" t="s">
        <v>1521</v>
      </c>
      <c r="H100" t="s">
        <v>381</v>
      </c>
      <c r="I100" t="s">
        <v>1285</v>
      </c>
      <c r="J100" t="s">
        <v>1170</v>
      </c>
      <c r="K100" t="s">
        <v>1167</v>
      </c>
      <c r="L100" t="s">
        <v>1522</v>
      </c>
      <c r="M100" t="s">
        <v>1523</v>
      </c>
      <c r="N100">
        <v>112500</v>
      </c>
      <c r="O100" s="1" t="s">
        <v>1336</v>
      </c>
      <c r="P100" t="s">
        <v>1524</v>
      </c>
      <c r="Q100" t="s">
        <v>1292</v>
      </c>
      <c r="S100" t="s">
        <v>1294</v>
      </c>
      <c r="T100" t="s">
        <v>1296</v>
      </c>
      <c r="U100">
        <v>0</v>
      </c>
      <c r="V100" t="s">
        <v>1526</v>
      </c>
    </row>
    <row r="101" spans="1:22" ht="30" x14ac:dyDescent="0.25">
      <c r="A101" t="s">
        <v>1871</v>
      </c>
      <c r="B101" s="1" t="s">
        <v>1520</v>
      </c>
      <c r="C101" s="1" t="s">
        <v>1530</v>
      </c>
      <c r="D101" s="1" t="s">
        <v>1288</v>
      </c>
      <c r="E101" s="1" t="s">
        <v>1543</v>
      </c>
      <c r="F101" t="s">
        <v>2070</v>
      </c>
      <c r="G101" t="s">
        <v>1521</v>
      </c>
      <c r="H101" t="s">
        <v>381</v>
      </c>
      <c r="I101" t="s">
        <v>1285</v>
      </c>
      <c r="J101" t="s">
        <v>1170</v>
      </c>
      <c r="K101" t="s">
        <v>1167</v>
      </c>
      <c r="L101" t="s">
        <v>1522</v>
      </c>
      <c r="M101" t="s">
        <v>1523</v>
      </c>
      <c r="N101">
        <v>112500</v>
      </c>
      <c r="O101" s="1" t="s">
        <v>1336</v>
      </c>
      <c r="P101" t="s">
        <v>1524</v>
      </c>
      <c r="Q101" t="s">
        <v>1292</v>
      </c>
      <c r="S101" t="s">
        <v>1294</v>
      </c>
      <c r="T101" t="s">
        <v>2071</v>
      </c>
      <c r="U101">
        <v>747</v>
      </c>
      <c r="V101" t="s">
        <v>1526</v>
      </c>
    </row>
    <row r="102" spans="1:22" ht="30" x14ac:dyDescent="0.25">
      <c r="A102" t="s">
        <v>1871</v>
      </c>
      <c r="B102" s="1" t="s">
        <v>1520</v>
      </c>
      <c r="C102" s="1" t="s">
        <v>1530</v>
      </c>
      <c r="D102" s="1" t="s">
        <v>1288</v>
      </c>
      <c r="E102" s="1" t="s">
        <v>1374</v>
      </c>
      <c r="F102" t="s">
        <v>2086</v>
      </c>
      <c r="G102" t="s">
        <v>1521</v>
      </c>
      <c r="H102" t="s">
        <v>381</v>
      </c>
      <c r="I102" t="s">
        <v>1285</v>
      </c>
      <c r="J102" t="s">
        <v>1170</v>
      </c>
      <c r="K102" t="s">
        <v>1167</v>
      </c>
      <c r="L102" t="s">
        <v>1522</v>
      </c>
      <c r="M102" t="s">
        <v>1523</v>
      </c>
      <c r="N102">
        <v>112500</v>
      </c>
      <c r="O102" s="1" t="s">
        <v>1336</v>
      </c>
      <c r="P102" t="s">
        <v>1524</v>
      </c>
      <c r="Q102" t="s">
        <v>1292</v>
      </c>
      <c r="S102" t="s">
        <v>1294</v>
      </c>
      <c r="T102" t="s">
        <v>2087</v>
      </c>
      <c r="U102">
        <v>425</v>
      </c>
      <c r="V102" t="s">
        <v>1564</v>
      </c>
    </row>
    <row r="103" spans="1:22" ht="30" x14ac:dyDescent="0.25">
      <c r="A103" t="s">
        <v>1871</v>
      </c>
      <c r="B103" s="1" t="s">
        <v>1520</v>
      </c>
      <c r="C103" s="1" t="s">
        <v>1530</v>
      </c>
      <c r="D103" s="1" t="s">
        <v>1288</v>
      </c>
      <c r="E103" s="1" t="s">
        <v>1393</v>
      </c>
      <c r="F103" t="s">
        <v>2088</v>
      </c>
      <c r="G103" t="s">
        <v>1521</v>
      </c>
      <c r="H103" t="s">
        <v>381</v>
      </c>
      <c r="I103" t="s">
        <v>1285</v>
      </c>
      <c r="J103" t="s">
        <v>1170</v>
      </c>
      <c r="K103" t="s">
        <v>1167</v>
      </c>
      <c r="L103" t="s">
        <v>1522</v>
      </c>
      <c r="M103" t="s">
        <v>1523</v>
      </c>
      <c r="N103">
        <v>112500</v>
      </c>
      <c r="O103" s="1" t="s">
        <v>1336</v>
      </c>
      <c r="P103" t="s">
        <v>1524</v>
      </c>
      <c r="Q103" t="s">
        <v>1292</v>
      </c>
      <c r="S103" t="s">
        <v>1294</v>
      </c>
      <c r="T103" t="s">
        <v>2089</v>
      </c>
      <c r="U103">
        <v>2164</v>
      </c>
      <c r="V103" t="s">
        <v>1564</v>
      </c>
    </row>
    <row r="104" spans="1:22" ht="30" x14ac:dyDescent="0.25">
      <c r="A104" t="s">
        <v>1871</v>
      </c>
      <c r="B104" s="1" t="s">
        <v>1520</v>
      </c>
      <c r="C104" s="1" t="s">
        <v>1530</v>
      </c>
      <c r="D104" s="1" t="s">
        <v>1288</v>
      </c>
      <c r="E104" s="1" t="s">
        <v>1636</v>
      </c>
      <c r="F104" t="s">
        <v>2127</v>
      </c>
      <c r="G104" t="s">
        <v>1521</v>
      </c>
      <c r="H104" t="s">
        <v>381</v>
      </c>
      <c r="I104" t="s">
        <v>1285</v>
      </c>
      <c r="J104" t="s">
        <v>1170</v>
      </c>
      <c r="K104" t="s">
        <v>1167</v>
      </c>
      <c r="L104" t="s">
        <v>1522</v>
      </c>
      <c r="M104" t="s">
        <v>1523</v>
      </c>
      <c r="N104">
        <v>112500</v>
      </c>
      <c r="O104" s="1" t="s">
        <v>1336</v>
      </c>
      <c r="P104" t="s">
        <v>1524</v>
      </c>
      <c r="Q104" t="s">
        <v>1292</v>
      </c>
      <c r="S104" t="s">
        <v>1294</v>
      </c>
      <c r="T104" t="s">
        <v>2128</v>
      </c>
      <c r="U104">
        <v>72</v>
      </c>
      <c r="V104" t="s">
        <v>1526</v>
      </c>
    </row>
    <row r="105" spans="1:22" ht="30" x14ac:dyDescent="0.25">
      <c r="A105" t="s">
        <v>1871</v>
      </c>
      <c r="B105" s="1" t="s">
        <v>1520</v>
      </c>
      <c r="C105" s="1" t="s">
        <v>1530</v>
      </c>
      <c r="D105" s="1" t="s">
        <v>1288</v>
      </c>
      <c r="E105" s="1" t="s">
        <v>1636</v>
      </c>
      <c r="F105" t="s">
        <v>2131</v>
      </c>
      <c r="G105" t="s">
        <v>1521</v>
      </c>
      <c r="H105" t="s">
        <v>381</v>
      </c>
      <c r="I105" t="s">
        <v>1285</v>
      </c>
      <c r="J105" t="s">
        <v>1170</v>
      </c>
      <c r="K105" t="s">
        <v>1167</v>
      </c>
      <c r="L105" t="s">
        <v>1522</v>
      </c>
      <c r="M105" t="s">
        <v>1523</v>
      </c>
      <c r="N105">
        <v>112500</v>
      </c>
      <c r="O105" s="1" t="s">
        <v>1336</v>
      </c>
      <c r="P105" t="s">
        <v>1524</v>
      </c>
      <c r="Q105" t="s">
        <v>1292</v>
      </c>
      <c r="S105" t="s">
        <v>1294</v>
      </c>
      <c r="T105" t="s">
        <v>2132</v>
      </c>
      <c r="U105">
        <v>0</v>
      </c>
      <c r="V105" t="s">
        <v>1526</v>
      </c>
    </row>
    <row r="106" spans="1:22" ht="30" x14ac:dyDescent="0.25">
      <c r="A106" t="s">
        <v>1871</v>
      </c>
      <c r="B106" s="1" t="s">
        <v>1520</v>
      </c>
      <c r="C106" s="1" t="s">
        <v>1530</v>
      </c>
      <c r="D106" s="1" t="s">
        <v>1288</v>
      </c>
      <c r="E106" s="1" t="s">
        <v>1319</v>
      </c>
      <c r="F106" t="s">
        <v>2136</v>
      </c>
      <c r="G106" t="s">
        <v>1521</v>
      </c>
      <c r="H106" t="s">
        <v>381</v>
      </c>
      <c r="I106" t="s">
        <v>1285</v>
      </c>
      <c r="J106" t="s">
        <v>1170</v>
      </c>
      <c r="K106" t="s">
        <v>1167</v>
      </c>
      <c r="L106" t="s">
        <v>1522</v>
      </c>
      <c r="M106" t="s">
        <v>1523</v>
      </c>
      <c r="N106">
        <v>112500</v>
      </c>
      <c r="O106" s="1" t="s">
        <v>1336</v>
      </c>
      <c r="P106" t="s">
        <v>1524</v>
      </c>
      <c r="Q106" t="s">
        <v>1292</v>
      </c>
      <c r="S106" t="s">
        <v>1294</v>
      </c>
      <c r="T106" t="s">
        <v>2137</v>
      </c>
      <c r="U106">
        <v>125</v>
      </c>
      <c r="V106" t="s">
        <v>1564</v>
      </c>
    </row>
    <row r="107" spans="1:22" ht="30" x14ac:dyDescent="0.25">
      <c r="A107" t="s">
        <v>1871</v>
      </c>
      <c r="B107" s="1" t="s">
        <v>1520</v>
      </c>
      <c r="C107" s="1" t="s">
        <v>1530</v>
      </c>
      <c r="D107" s="1" t="s">
        <v>1288</v>
      </c>
      <c r="E107" s="1" t="s">
        <v>1319</v>
      </c>
      <c r="F107" t="s">
        <v>2146</v>
      </c>
      <c r="G107" t="s">
        <v>1521</v>
      </c>
      <c r="H107" t="s">
        <v>381</v>
      </c>
      <c r="I107" t="s">
        <v>1285</v>
      </c>
      <c r="J107" t="s">
        <v>1170</v>
      </c>
      <c r="K107" t="s">
        <v>1167</v>
      </c>
      <c r="L107" t="s">
        <v>1522</v>
      </c>
      <c r="M107" t="s">
        <v>1523</v>
      </c>
      <c r="N107">
        <v>112500</v>
      </c>
      <c r="O107" s="1" t="s">
        <v>1336</v>
      </c>
      <c r="P107" t="s">
        <v>1524</v>
      </c>
      <c r="Q107" t="s">
        <v>1292</v>
      </c>
      <c r="S107" t="s">
        <v>1294</v>
      </c>
      <c r="T107" t="s">
        <v>2147</v>
      </c>
      <c r="U107">
        <v>387</v>
      </c>
      <c r="V107" t="s">
        <v>1526</v>
      </c>
    </row>
    <row r="108" spans="1:22" ht="30" x14ac:dyDescent="0.25">
      <c r="A108" t="s">
        <v>1871</v>
      </c>
      <c r="B108" s="1" t="s">
        <v>1520</v>
      </c>
      <c r="C108" s="1" t="s">
        <v>1530</v>
      </c>
      <c r="D108" s="1" t="s">
        <v>1288</v>
      </c>
      <c r="E108" s="1" t="s">
        <v>1319</v>
      </c>
      <c r="F108" t="s">
        <v>2150</v>
      </c>
      <c r="G108" t="s">
        <v>1521</v>
      </c>
      <c r="H108" t="s">
        <v>381</v>
      </c>
      <c r="I108" t="s">
        <v>1285</v>
      </c>
      <c r="J108" t="s">
        <v>1170</v>
      </c>
      <c r="K108" t="s">
        <v>1167</v>
      </c>
      <c r="L108" t="s">
        <v>1522</v>
      </c>
      <c r="M108" t="s">
        <v>1523</v>
      </c>
      <c r="N108">
        <v>112500</v>
      </c>
      <c r="O108" s="1" t="s">
        <v>1336</v>
      </c>
      <c r="P108" t="s">
        <v>1524</v>
      </c>
      <c r="Q108" t="s">
        <v>1292</v>
      </c>
      <c r="S108" t="s">
        <v>1294</v>
      </c>
      <c r="T108" t="s">
        <v>2151</v>
      </c>
      <c r="U108">
        <v>780</v>
      </c>
      <c r="V108" t="s">
        <v>1526</v>
      </c>
    </row>
    <row r="109" spans="1:22" ht="30" x14ac:dyDescent="0.25">
      <c r="A109" t="s">
        <v>1871</v>
      </c>
      <c r="B109" s="1" t="s">
        <v>1520</v>
      </c>
      <c r="C109" s="1" t="s">
        <v>1530</v>
      </c>
      <c r="D109" s="1" t="s">
        <v>1288</v>
      </c>
      <c r="E109" s="1" t="s">
        <v>1319</v>
      </c>
      <c r="F109" t="s">
        <v>2154</v>
      </c>
      <c r="G109" t="s">
        <v>1521</v>
      </c>
      <c r="H109" t="s">
        <v>381</v>
      </c>
      <c r="I109" t="s">
        <v>1285</v>
      </c>
      <c r="J109" t="s">
        <v>1170</v>
      </c>
      <c r="K109" t="s">
        <v>1167</v>
      </c>
      <c r="L109" t="s">
        <v>1522</v>
      </c>
      <c r="M109" t="s">
        <v>1523</v>
      </c>
      <c r="N109">
        <v>112500</v>
      </c>
      <c r="O109" s="1" t="s">
        <v>1336</v>
      </c>
      <c r="P109" t="s">
        <v>1524</v>
      </c>
      <c r="Q109" t="s">
        <v>1292</v>
      </c>
      <c r="S109" t="s">
        <v>1294</v>
      </c>
      <c r="T109" t="s">
        <v>2155</v>
      </c>
      <c r="U109">
        <v>338</v>
      </c>
      <c r="V109" t="s">
        <v>1564</v>
      </c>
    </row>
    <row r="110" spans="1:22" ht="30" x14ac:dyDescent="0.25">
      <c r="A110" t="s">
        <v>1871</v>
      </c>
      <c r="B110" s="1" t="s">
        <v>1520</v>
      </c>
      <c r="C110" s="1" t="s">
        <v>1530</v>
      </c>
      <c r="D110" s="1" t="s">
        <v>1288</v>
      </c>
      <c r="E110" s="1" t="s">
        <v>1319</v>
      </c>
      <c r="F110" t="s">
        <v>2156</v>
      </c>
      <c r="G110" t="s">
        <v>1521</v>
      </c>
      <c r="H110" t="s">
        <v>381</v>
      </c>
      <c r="I110" t="s">
        <v>1285</v>
      </c>
      <c r="J110" t="s">
        <v>1170</v>
      </c>
      <c r="K110" t="s">
        <v>1167</v>
      </c>
      <c r="L110" t="s">
        <v>1522</v>
      </c>
      <c r="M110" t="s">
        <v>1523</v>
      </c>
      <c r="N110">
        <v>112500</v>
      </c>
      <c r="O110" s="1" t="s">
        <v>1336</v>
      </c>
      <c r="P110" t="s">
        <v>1524</v>
      </c>
      <c r="Q110" t="s">
        <v>1292</v>
      </c>
      <c r="S110" t="s">
        <v>1294</v>
      </c>
      <c r="T110" t="s">
        <v>2157</v>
      </c>
      <c r="U110">
        <v>288</v>
      </c>
      <c r="V110" t="s">
        <v>1526</v>
      </c>
    </row>
    <row r="111" spans="1:22" ht="30" x14ac:dyDescent="0.25">
      <c r="A111" t="s">
        <v>1871</v>
      </c>
      <c r="B111" s="1" t="s">
        <v>1520</v>
      </c>
      <c r="C111" s="1" t="s">
        <v>1530</v>
      </c>
      <c r="D111" s="1" t="s">
        <v>1288</v>
      </c>
      <c r="E111" s="1" t="s">
        <v>1319</v>
      </c>
      <c r="F111" t="s">
        <v>2158</v>
      </c>
      <c r="G111" t="s">
        <v>1521</v>
      </c>
      <c r="H111" t="s">
        <v>381</v>
      </c>
      <c r="I111" t="s">
        <v>1285</v>
      </c>
      <c r="J111" t="s">
        <v>1170</v>
      </c>
      <c r="K111" t="s">
        <v>1167</v>
      </c>
      <c r="L111" t="s">
        <v>1522</v>
      </c>
      <c r="M111" t="s">
        <v>1523</v>
      </c>
      <c r="N111">
        <v>112500</v>
      </c>
      <c r="O111" s="1" t="s">
        <v>1336</v>
      </c>
      <c r="P111" t="s">
        <v>1524</v>
      </c>
      <c r="Q111" t="s">
        <v>1292</v>
      </c>
      <c r="S111" t="s">
        <v>1294</v>
      </c>
      <c r="T111" t="s">
        <v>2159</v>
      </c>
      <c r="U111">
        <v>1225</v>
      </c>
      <c r="V111" t="s">
        <v>1526</v>
      </c>
    </row>
    <row r="112" spans="1:22" ht="30" x14ac:dyDescent="0.25">
      <c r="A112" t="s">
        <v>1871</v>
      </c>
      <c r="B112" s="1" t="s">
        <v>1520</v>
      </c>
      <c r="C112" s="1" t="s">
        <v>1530</v>
      </c>
      <c r="D112" s="1" t="s">
        <v>1288</v>
      </c>
      <c r="E112" s="1" t="s">
        <v>1374</v>
      </c>
      <c r="F112" t="s">
        <v>2245</v>
      </c>
      <c r="G112" t="s">
        <v>1521</v>
      </c>
      <c r="H112" t="s">
        <v>381</v>
      </c>
      <c r="I112" t="s">
        <v>1285</v>
      </c>
      <c r="J112" t="s">
        <v>1170</v>
      </c>
      <c r="K112" t="s">
        <v>1167</v>
      </c>
      <c r="L112" t="s">
        <v>1522</v>
      </c>
      <c r="M112" t="s">
        <v>1523</v>
      </c>
      <c r="N112">
        <v>112500</v>
      </c>
      <c r="O112" s="1" t="s">
        <v>1336</v>
      </c>
      <c r="P112" t="s">
        <v>1524</v>
      </c>
      <c r="Q112" t="s">
        <v>1292</v>
      </c>
      <c r="S112" t="s">
        <v>1294</v>
      </c>
      <c r="T112" t="s">
        <v>2246</v>
      </c>
      <c r="U112">
        <v>28250</v>
      </c>
      <c r="V112" t="s">
        <v>1526</v>
      </c>
    </row>
    <row r="113" spans="1:22" ht="30" x14ac:dyDescent="0.25">
      <c r="A113" t="s">
        <v>1871</v>
      </c>
      <c r="B113" s="1" t="s">
        <v>1520</v>
      </c>
      <c r="C113" s="1" t="s">
        <v>1530</v>
      </c>
      <c r="D113" s="1" t="s">
        <v>1288</v>
      </c>
      <c r="E113" s="1" t="s">
        <v>1374</v>
      </c>
      <c r="F113" t="s">
        <v>2323</v>
      </c>
      <c r="G113" t="s">
        <v>1521</v>
      </c>
      <c r="H113" t="s">
        <v>381</v>
      </c>
      <c r="I113" t="s">
        <v>1285</v>
      </c>
      <c r="J113" t="s">
        <v>1170</v>
      </c>
      <c r="K113" t="s">
        <v>1167</v>
      </c>
      <c r="L113" t="s">
        <v>1522</v>
      </c>
      <c r="M113" t="s">
        <v>1523</v>
      </c>
      <c r="N113">
        <v>112500</v>
      </c>
      <c r="O113" s="1" t="s">
        <v>1336</v>
      </c>
      <c r="P113" t="s">
        <v>1524</v>
      </c>
      <c r="Q113" t="s">
        <v>1292</v>
      </c>
      <c r="S113" t="s">
        <v>1294</v>
      </c>
      <c r="T113" t="s">
        <v>2324</v>
      </c>
      <c r="U113">
        <v>700</v>
      </c>
      <c r="V113" t="s">
        <v>1526</v>
      </c>
    </row>
    <row r="114" spans="1:22" ht="30" x14ac:dyDescent="0.25">
      <c r="A114" t="s">
        <v>1871</v>
      </c>
      <c r="B114" s="1" t="s">
        <v>1520</v>
      </c>
      <c r="C114" s="1" t="s">
        <v>1530</v>
      </c>
      <c r="D114" s="1" t="s">
        <v>1288</v>
      </c>
      <c r="E114" s="1" t="s">
        <v>1293</v>
      </c>
      <c r="F114" t="s">
        <v>2559</v>
      </c>
      <c r="G114" t="s">
        <v>1521</v>
      </c>
      <c r="H114" t="s">
        <v>381</v>
      </c>
      <c r="I114" t="s">
        <v>1285</v>
      </c>
      <c r="J114" t="s">
        <v>1170</v>
      </c>
      <c r="K114" t="s">
        <v>1167</v>
      </c>
      <c r="L114" t="s">
        <v>1522</v>
      </c>
      <c r="M114" t="s">
        <v>1523</v>
      </c>
      <c r="N114">
        <v>112500</v>
      </c>
      <c r="O114" s="1" t="s">
        <v>1336</v>
      </c>
      <c r="P114" t="s">
        <v>1524</v>
      </c>
      <c r="Q114" t="s">
        <v>1292</v>
      </c>
      <c r="S114" t="s">
        <v>1294</v>
      </c>
      <c r="T114" t="s">
        <v>2560</v>
      </c>
      <c r="U114">
        <v>861</v>
      </c>
      <c r="V114" t="s">
        <v>1564</v>
      </c>
    </row>
    <row r="115" spans="1:22" ht="30" x14ac:dyDescent="0.25">
      <c r="A115" t="s">
        <v>1871</v>
      </c>
      <c r="B115" s="1" t="s">
        <v>1520</v>
      </c>
      <c r="C115" s="1" t="s">
        <v>1530</v>
      </c>
      <c r="D115" s="1" t="s">
        <v>1288</v>
      </c>
      <c r="E115" s="1" t="s">
        <v>1293</v>
      </c>
      <c r="F115" t="s">
        <v>2561</v>
      </c>
      <c r="G115" t="s">
        <v>1521</v>
      </c>
      <c r="H115" t="s">
        <v>381</v>
      </c>
      <c r="I115" t="s">
        <v>1285</v>
      </c>
      <c r="J115" t="s">
        <v>1170</v>
      </c>
      <c r="K115" t="s">
        <v>1167</v>
      </c>
      <c r="L115" t="s">
        <v>1522</v>
      </c>
      <c r="M115" t="s">
        <v>1523</v>
      </c>
      <c r="N115">
        <v>112500</v>
      </c>
      <c r="O115" s="1" t="s">
        <v>1336</v>
      </c>
      <c r="P115" t="s">
        <v>1524</v>
      </c>
      <c r="Q115" t="s">
        <v>1292</v>
      </c>
      <c r="S115" t="s">
        <v>1294</v>
      </c>
      <c r="T115" t="s">
        <v>2562</v>
      </c>
      <c r="U115">
        <v>1815</v>
      </c>
      <c r="V115" t="s">
        <v>1564</v>
      </c>
    </row>
    <row r="116" spans="1:22" ht="30" x14ac:dyDescent="0.25">
      <c r="A116" t="s">
        <v>1871</v>
      </c>
      <c r="B116" s="1" t="s">
        <v>1520</v>
      </c>
      <c r="C116" s="1" t="s">
        <v>1530</v>
      </c>
      <c r="D116" s="1" t="s">
        <v>1288</v>
      </c>
      <c r="E116" s="1" t="s">
        <v>1316</v>
      </c>
      <c r="F116" t="s">
        <v>2589</v>
      </c>
      <c r="G116" t="s">
        <v>1521</v>
      </c>
      <c r="H116" t="s">
        <v>381</v>
      </c>
      <c r="I116" t="s">
        <v>1285</v>
      </c>
      <c r="J116" t="s">
        <v>1170</v>
      </c>
      <c r="K116" t="s">
        <v>1167</v>
      </c>
      <c r="L116" t="s">
        <v>1522</v>
      </c>
      <c r="M116" t="s">
        <v>1523</v>
      </c>
      <c r="N116">
        <v>112500</v>
      </c>
      <c r="O116" s="1" t="s">
        <v>1336</v>
      </c>
      <c r="P116" t="s">
        <v>1524</v>
      </c>
      <c r="Q116" t="s">
        <v>1292</v>
      </c>
      <c r="S116" t="s">
        <v>1294</v>
      </c>
      <c r="T116" t="s">
        <v>2590</v>
      </c>
      <c r="U116">
        <v>5005</v>
      </c>
      <c r="V116" t="s">
        <v>1564</v>
      </c>
    </row>
    <row r="117" spans="1:22" ht="30" x14ac:dyDescent="0.25">
      <c r="A117" t="s">
        <v>1871</v>
      </c>
      <c r="B117" s="1" t="s">
        <v>1520</v>
      </c>
      <c r="C117" s="1" t="s">
        <v>1530</v>
      </c>
      <c r="D117" s="1" t="s">
        <v>1288</v>
      </c>
      <c r="E117" s="1" t="s">
        <v>1316</v>
      </c>
      <c r="F117" t="s">
        <v>2591</v>
      </c>
      <c r="G117" t="s">
        <v>1521</v>
      </c>
      <c r="H117" t="s">
        <v>381</v>
      </c>
      <c r="I117" t="s">
        <v>1285</v>
      </c>
      <c r="J117" t="s">
        <v>1170</v>
      </c>
      <c r="K117" t="s">
        <v>1167</v>
      </c>
      <c r="L117" t="s">
        <v>1522</v>
      </c>
      <c r="M117" t="s">
        <v>1523</v>
      </c>
      <c r="N117">
        <v>112500</v>
      </c>
      <c r="O117" s="1" t="s">
        <v>1336</v>
      </c>
      <c r="P117" t="s">
        <v>1524</v>
      </c>
      <c r="Q117" t="s">
        <v>1292</v>
      </c>
      <c r="S117" t="s">
        <v>1294</v>
      </c>
      <c r="T117" t="s">
        <v>2592</v>
      </c>
      <c r="U117">
        <v>1182</v>
      </c>
      <c r="V117" t="s">
        <v>1564</v>
      </c>
    </row>
    <row r="118" spans="1:22" ht="30" x14ac:dyDescent="0.25">
      <c r="A118" t="s">
        <v>1871</v>
      </c>
      <c r="B118" s="1" t="s">
        <v>1520</v>
      </c>
      <c r="C118" s="1" t="s">
        <v>1530</v>
      </c>
      <c r="D118" s="1" t="s">
        <v>1288</v>
      </c>
      <c r="E118" s="1" t="s">
        <v>1293</v>
      </c>
      <c r="F118" t="s">
        <v>2601</v>
      </c>
      <c r="G118" t="s">
        <v>1521</v>
      </c>
      <c r="H118" t="s">
        <v>381</v>
      </c>
      <c r="I118" t="s">
        <v>1285</v>
      </c>
      <c r="J118" t="s">
        <v>1170</v>
      </c>
      <c r="K118" t="s">
        <v>1167</v>
      </c>
      <c r="L118" t="s">
        <v>1522</v>
      </c>
      <c r="M118" t="s">
        <v>1523</v>
      </c>
      <c r="N118">
        <v>112500</v>
      </c>
      <c r="O118" s="1" t="s">
        <v>1336</v>
      </c>
      <c r="P118" t="s">
        <v>1524</v>
      </c>
      <c r="Q118" t="s">
        <v>1292</v>
      </c>
      <c r="S118" t="s">
        <v>1294</v>
      </c>
      <c r="T118" t="s">
        <v>2602</v>
      </c>
      <c r="U118">
        <v>2396</v>
      </c>
      <c r="V118" t="s">
        <v>1564</v>
      </c>
    </row>
    <row r="119" spans="1:22" ht="30" x14ac:dyDescent="0.25">
      <c r="A119" t="s">
        <v>1871</v>
      </c>
      <c r="B119" s="1" t="s">
        <v>1520</v>
      </c>
      <c r="C119" s="1" t="s">
        <v>1530</v>
      </c>
      <c r="D119" s="1" t="s">
        <v>1288</v>
      </c>
      <c r="E119" s="1" t="s">
        <v>1293</v>
      </c>
      <c r="F119" t="s">
        <v>2603</v>
      </c>
      <c r="G119" t="s">
        <v>1521</v>
      </c>
      <c r="H119" t="s">
        <v>381</v>
      </c>
      <c r="I119" t="s">
        <v>1285</v>
      </c>
      <c r="J119" t="s">
        <v>1170</v>
      </c>
      <c r="K119" t="s">
        <v>1167</v>
      </c>
      <c r="L119" t="s">
        <v>1522</v>
      </c>
      <c r="M119" t="s">
        <v>1523</v>
      </c>
      <c r="N119">
        <v>112500</v>
      </c>
      <c r="O119" s="1" t="s">
        <v>1336</v>
      </c>
      <c r="P119" t="s">
        <v>1524</v>
      </c>
      <c r="Q119" t="s">
        <v>1292</v>
      </c>
      <c r="S119" t="s">
        <v>1294</v>
      </c>
      <c r="T119" t="s">
        <v>2604</v>
      </c>
      <c r="U119">
        <v>3402</v>
      </c>
      <c r="V119" t="s">
        <v>1526</v>
      </c>
    </row>
    <row r="120" spans="1:22" ht="30" x14ac:dyDescent="0.25">
      <c r="A120" t="s">
        <v>1871</v>
      </c>
      <c r="B120" s="1" t="s">
        <v>1520</v>
      </c>
      <c r="C120" s="1" t="s">
        <v>1530</v>
      </c>
      <c r="D120" s="1" t="s">
        <v>1288</v>
      </c>
      <c r="E120" s="1" t="s">
        <v>1293</v>
      </c>
      <c r="F120" t="s">
        <v>2605</v>
      </c>
      <c r="G120" t="s">
        <v>1521</v>
      </c>
      <c r="H120" t="s">
        <v>381</v>
      </c>
      <c r="I120" t="s">
        <v>1285</v>
      </c>
      <c r="J120" t="s">
        <v>1170</v>
      </c>
      <c r="K120" t="s">
        <v>1167</v>
      </c>
      <c r="L120" t="s">
        <v>1522</v>
      </c>
      <c r="M120" t="s">
        <v>1523</v>
      </c>
      <c r="N120">
        <v>112500</v>
      </c>
      <c r="O120" s="1" t="s">
        <v>1336</v>
      </c>
      <c r="P120" t="s">
        <v>1524</v>
      </c>
      <c r="Q120" t="s">
        <v>1292</v>
      </c>
      <c r="S120" t="s">
        <v>1294</v>
      </c>
      <c r="T120" t="s">
        <v>2606</v>
      </c>
      <c r="U120">
        <v>3185</v>
      </c>
      <c r="V120" t="s">
        <v>1526</v>
      </c>
    </row>
    <row r="121" spans="1:22" ht="30" x14ac:dyDescent="0.25">
      <c r="A121" t="s">
        <v>1871</v>
      </c>
      <c r="B121" s="1" t="s">
        <v>1520</v>
      </c>
      <c r="C121" s="1" t="s">
        <v>1530</v>
      </c>
      <c r="D121" s="1" t="s">
        <v>1288</v>
      </c>
      <c r="E121" s="1" t="s">
        <v>1316</v>
      </c>
      <c r="F121" t="s">
        <v>2607</v>
      </c>
      <c r="G121" t="s">
        <v>1521</v>
      </c>
      <c r="H121" t="s">
        <v>381</v>
      </c>
      <c r="I121" t="s">
        <v>1285</v>
      </c>
      <c r="J121" t="s">
        <v>1170</v>
      </c>
      <c r="K121" t="s">
        <v>1167</v>
      </c>
      <c r="L121" t="s">
        <v>1522</v>
      </c>
      <c r="M121" t="s">
        <v>1523</v>
      </c>
      <c r="N121">
        <v>112500</v>
      </c>
      <c r="O121" s="1" t="s">
        <v>1336</v>
      </c>
      <c r="P121" t="s">
        <v>1524</v>
      </c>
      <c r="Q121" t="s">
        <v>1292</v>
      </c>
      <c r="S121" t="s">
        <v>1294</v>
      </c>
      <c r="T121" t="s">
        <v>2608</v>
      </c>
      <c r="U121">
        <v>453</v>
      </c>
      <c r="V121" t="s">
        <v>1564</v>
      </c>
    </row>
    <row r="122" spans="1:22" ht="30" x14ac:dyDescent="0.25">
      <c r="A122" t="s">
        <v>1871</v>
      </c>
      <c r="B122" s="1" t="s">
        <v>1520</v>
      </c>
      <c r="C122" s="1" t="s">
        <v>1530</v>
      </c>
      <c r="D122" s="1" t="s">
        <v>1288</v>
      </c>
      <c r="E122" s="1" t="s">
        <v>1350</v>
      </c>
      <c r="F122" t="s">
        <v>2609</v>
      </c>
      <c r="G122" t="s">
        <v>1521</v>
      </c>
      <c r="H122" t="s">
        <v>381</v>
      </c>
      <c r="I122" t="s">
        <v>1285</v>
      </c>
      <c r="J122" t="s">
        <v>1170</v>
      </c>
      <c r="K122" t="s">
        <v>1167</v>
      </c>
      <c r="L122" t="s">
        <v>1522</v>
      </c>
      <c r="M122" t="s">
        <v>1523</v>
      </c>
      <c r="N122">
        <v>112500</v>
      </c>
      <c r="O122" s="1" t="s">
        <v>1336</v>
      </c>
      <c r="P122" t="s">
        <v>1524</v>
      </c>
      <c r="Q122" t="s">
        <v>1292</v>
      </c>
      <c r="S122" t="s">
        <v>1294</v>
      </c>
      <c r="T122" t="s">
        <v>2610</v>
      </c>
      <c r="U122">
        <v>36</v>
      </c>
      <c r="V122" t="s">
        <v>1526</v>
      </c>
    </row>
    <row r="123" spans="1:22" ht="30" x14ac:dyDescent="0.25">
      <c r="A123" t="s">
        <v>1871</v>
      </c>
      <c r="B123" s="1" t="s">
        <v>1520</v>
      </c>
      <c r="C123" s="1" t="s">
        <v>1530</v>
      </c>
      <c r="D123" s="1" t="s">
        <v>1288</v>
      </c>
      <c r="E123" s="1" t="s">
        <v>1350</v>
      </c>
      <c r="F123" t="s">
        <v>2611</v>
      </c>
      <c r="G123" t="s">
        <v>1521</v>
      </c>
      <c r="H123" t="s">
        <v>381</v>
      </c>
      <c r="I123" t="s">
        <v>1285</v>
      </c>
      <c r="J123" t="s">
        <v>1170</v>
      </c>
      <c r="K123" t="s">
        <v>1167</v>
      </c>
      <c r="L123" t="s">
        <v>1522</v>
      </c>
      <c r="M123" t="s">
        <v>1523</v>
      </c>
      <c r="N123">
        <v>112500</v>
      </c>
      <c r="O123" s="1" t="s">
        <v>1336</v>
      </c>
      <c r="P123" t="s">
        <v>1524</v>
      </c>
      <c r="Q123" t="s">
        <v>1292</v>
      </c>
      <c r="S123" t="s">
        <v>1294</v>
      </c>
      <c r="T123" t="s">
        <v>2612</v>
      </c>
      <c r="U123">
        <v>12</v>
      </c>
      <c r="V123" t="s">
        <v>1526</v>
      </c>
    </row>
    <row r="124" spans="1:22" ht="30" x14ac:dyDescent="0.25">
      <c r="A124" t="s">
        <v>1871</v>
      </c>
      <c r="B124" s="1" t="s">
        <v>1520</v>
      </c>
      <c r="C124" s="1" t="s">
        <v>1530</v>
      </c>
      <c r="D124" s="1" t="s">
        <v>1288</v>
      </c>
      <c r="E124" s="1" t="s">
        <v>1316</v>
      </c>
      <c r="F124" t="s">
        <v>2616</v>
      </c>
      <c r="G124" t="s">
        <v>1521</v>
      </c>
      <c r="H124" t="s">
        <v>381</v>
      </c>
      <c r="I124" t="s">
        <v>1285</v>
      </c>
      <c r="J124" t="s">
        <v>1170</v>
      </c>
      <c r="K124" t="s">
        <v>1167</v>
      </c>
      <c r="L124" t="s">
        <v>1522</v>
      </c>
      <c r="M124" t="s">
        <v>1523</v>
      </c>
      <c r="N124">
        <v>112500</v>
      </c>
      <c r="O124" s="1" t="s">
        <v>1336</v>
      </c>
      <c r="P124" t="s">
        <v>1524</v>
      </c>
      <c r="Q124" t="s">
        <v>1292</v>
      </c>
      <c r="S124" t="s">
        <v>1294</v>
      </c>
      <c r="T124" t="s">
        <v>2617</v>
      </c>
      <c r="U124">
        <v>20</v>
      </c>
      <c r="V124" t="s">
        <v>1526</v>
      </c>
    </row>
    <row r="125" spans="1:22" ht="30" x14ac:dyDescent="0.25">
      <c r="A125" t="s">
        <v>1871</v>
      </c>
      <c r="B125" s="1" t="s">
        <v>1520</v>
      </c>
      <c r="C125" s="1" t="s">
        <v>1530</v>
      </c>
      <c r="D125" s="1" t="s">
        <v>1288</v>
      </c>
      <c r="E125" s="1" t="s">
        <v>1374</v>
      </c>
      <c r="F125" t="s">
        <v>2620</v>
      </c>
      <c r="G125" t="s">
        <v>1521</v>
      </c>
      <c r="H125" t="s">
        <v>381</v>
      </c>
      <c r="I125" t="s">
        <v>1285</v>
      </c>
      <c r="J125" t="s">
        <v>1170</v>
      </c>
      <c r="K125" t="s">
        <v>1167</v>
      </c>
      <c r="L125" t="s">
        <v>1522</v>
      </c>
      <c r="M125" t="s">
        <v>1523</v>
      </c>
      <c r="N125">
        <v>112500</v>
      </c>
      <c r="O125" s="1" t="s">
        <v>1336</v>
      </c>
      <c r="P125" t="s">
        <v>1524</v>
      </c>
      <c r="Q125" t="s">
        <v>1292</v>
      </c>
      <c r="S125" t="s">
        <v>1294</v>
      </c>
      <c r="T125" t="s">
        <v>2621</v>
      </c>
      <c r="U125">
        <v>0</v>
      </c>
      <c r="V125" t="s">
        <v>1526</v>
      </c>
    </row>
    <row r="126" spans="1:22" ht="30" x14ac:dyDescent="0.25">
      <c r="A126" t="s">
        <v>1871</v>
      </c>
      <c r="B126" s="1" t="s">
        <v>1520</v>
      </c>
      <c r="C126" s="1" t="s">
        <v>1530</v>
      </c>
      <c r="D126" s="1" t="s">
        <v>1288</v>
      </c>
      <c r="E126" s="1" t="s">
        <v>1350</v>
      </c>
      <c r="F126" t="s">
        <v>2622</v>
      </c>
      <c r="G126" t="s">
        <v>1521</v>
      </c>
      <c r="H126" t="s">
        <v>381</v>
      </c>
      <c r="I126" t="s">
        <v>1285</v>
      </c>
      <c r="J126" t="s">
        <v>1170</v>
      </c>
      <c r="K126" t="s">
        <v>1167</v>
      </c>
      <c r="L126" t="s">
        <v>1522</v>
      </c>
      <c r="M126" t="s">
        <v>1523</v>
      </c>
      <c r="N126">
        <v>112500</v>
      </c>
      <c r="O126" s="1" t="s">
        <v>1336</v>
      </c>
      <c r="P126" t="s">
        <v>1524</v>
      </c>
      <c r="Q126" t="s">
        <v>1292</v>
      </c>
      <c r="S126" t="s">
        <v>1294</v>
      </c>
      <c r="T126" t="s">
        <v>2623</v>
      </c>
      <c r="U126">
        <v>458</v>
      </c>
      <c r="V126" t="s">
        <v>1526</v>
      </c>
    </row>
    <row r="127" spans="1:22" ht="30" x14ac:dyDescent="0.25">
      <c r="A127" t="s">
        <v>1871</v>
      </c>
      <c r="B127" s="1" t="s">
        <v>1520</v>
      </c>
      <c r="C127" s="1" t="s">
        <v>1530</v>
      </c>
      <c r="D127" s="1" t="s">
        <v>1288</v>
      </c>
      <c r="E127" s="1" t="s">
        <v>1350</v>
      </c>
      <c r="F127" t="s">
        <v>2624</v>
      </c>
      <c r="G127" t="s">
        <v>1521</v>
      </c>
      <c r="H127" t="s">
        <v>381</v>
      </c>
      <c r="I127" t="s">
        <v>1285</v>
      </c>
      <c r="J127" t="s">
        <v>1170</v>
      </c>
      <c r="K127" t="s">
        <v>1167</v>
      </c>
      <c r="L127" t="s">
        <v>1522</v>
      </c>
      <c r="M127" t="s">
        <v>1523</v>
      </c>
      <c r="N127">
        <v>112500</v>
      </c>
      <c r="O127" s="1" t="s">
        <v>1336</v>
      </c>
      <c r="P127" t="s">
        <v>1524</v>
      </c>
      <c r="Q127" t="s">
        <v>1292</v>
      </c>
      <c r="S127" t="s">
        <v>1294</v>
      </c>
      <c r="T127" t="s">
        <v>1296</v>
      </c>
      <c r="U127">
        <v>564</v>
      </c>
      <c r="V127" t="s">
        <v>1526</v>
      </c>
    </row>
    <row r="128" spans="1:22" ht="30" x14ac:dyDescent="0.25">
      <c r="A128" t="s">
        <v>1871</v>
      </c>
      <c r="B128" s="1" t="s">
        <v>1520</v>
      </c>
      <c r="C128" s="1" t="s">
        <v>1530</v>
      </c>
      <c r="D128" s="1" t="s">
        <v>1288</v>
      </c>
      <c r="E128" s="1" t="s">
        <v>1636</v>
      </c>
      <c r="F128" t="s">
        <v>2625</v>
      </c>
      <c r="G128" t="s">
        <v>1521</v>
      </c>
      <c r="H128" t="s">
        <v>381</v>
      </c>
      <c r="I128" t="s">
        <v>1285</v>
      </c>
      <c r="J128" t="s">
        <v>1170</v>
      </c>
      <c r="K128" t="s">
        <v>1167</v>
      </c>
      <c r="L128" t="s">
        <v>1522</v>
      </c>
      <c r="M128" t="s">
        <v>1523</v>
      </c>
      <c r="N128">
        <v>112500</v>
      </c>
      <c r="O128" s="1" t="s">
        <v>1336</v>
      </c>
      <c r="P128" t="s">
        <v>1524</v>
      </c>
      <c r="Q128" t="s">
        <v>1292</v>
      </c>
      <c r="S128" t="s">
        <v>1294</v>
      </c>
      <c r="T128" t="s">
        <v>2626</v>
      </c>
      <c r="U128">
        <v>168</v>
      </c>
      <c r="V128" t="s">
        <v>1526</v>
      </c>
    </row>
    <row r="129" spans="1:22" ht="30" x14ac:dyDescent="0.25">
      <c r="A129" t="s">
        <v>1871</v>
      </c>
      <c r="B129" s="1" t="s">
        <v>1520</v>
      </c>
      <c r="C129" s="1" t="s">
        <v>1530</v>
      </c>
      <c r="D129" s="1" t="s">
        <v>1288</v>
      </c>
      <c r="E129" s="1" t="s">
        <v>1350</v>
      </c>
      <c r="F129" t="s">
        <v>2637</v>
      </c>
      <c r="G129" t="s">
        <v>1521</v>
      </c>
      <c r="H129" t="s">
        <v>381</v>
      </c>
      <c r="I129" t="s">
        <v>1285</v>
      </c>
      <c r="J129" t="s">
        <v>1170</v>
      </c>
      <c r="K129" t="s">
        <v>1167</v>
      </c>
      <c r="L129" t="s">
        <v>1522</v>
      </c>
      <c r="M129" t="s">
        <v>1523</v>
      </c>
      <c r="N129">
        <v>112500</v>
      </c>
      <c r="O129" s="1" t="s">
        <v>1336</v>
      </c>
      <c r="P129" t="s">
        <v>1524</v>
      </c>
      <c r="Q129" t="s">
        <v>1292</v>
      </c>
      <c r="S129" t="s">
        <v>1294</v>
      </c>
      <c r="T129" t="s">
        <v>2638</v>
      </c>
      <c r="U129">
        <v>1677</v>
      </c>
      <c r="V129" t="s">
        <v>1526</v>
      </c>
    </row>
    <row r="130" spans="1:22" ht="30" x14ac:dyDescent="0.25">
      <c r="A130" t="s">
        <v>1871</v>
      </c>
      <c r="B130" s="1" t="s">
        <v>1520</v>
      </c>
      <c r="C130" s="1" t="s">
        <v>1530</v>
      </c>
      <c r="D130" s="1" t="s">
        <v>1288</v>
      </c>
      <c r="E130" s="1" t="s">
        <v>1374</v>
      </c>
      <c r="F130" t="s">
        <v>2639</v>
      </c>
      <c r="G130" t="s">
        <v>1521</v>
      </c>
      <c r="H130" t="s">
        <v>381</v>
      </c>
      <c r="I130" t="s">
        <v>1285</v>
      </c>
      <c r="J130" t="s">
        <v>1170</v>
      </c>
      <c r="K130" t="s">
        <v>1167</v>
      </c>
      <c r="L130" t="s">
        <v>1522</v>
      </c>
      <c r="M130" t="s">
        <v>1523</v>
      </c>
      <c r="N130">
        <v>112500</v>
      </c>
      <c r="O130" s="1" t="s">
        <v>1336</v>
      </c>
      <c r="P130" t="s">
        <v>1524</v>
      </c>
      <c r="Q130" t="s">
        <v>1292</v>
      </c>
      <c r="S130" t="s">
        <v>1294</v>
      </c>
      <c r="T130" t="s">
        <v>2640</v>
      </c>
      <c r="U130">
        <v>1865</v>
      </c>
      <c r="V130" t="s">
        <v>1526</v>
      </c>
    </row>
    <row r="131" spans="1:22" ht="30" x14ac:dyDescent="0.25">
      <c r="A131" t="s">
        <v>1871</v>
      </c>
      <c r="B131" s="1" t="s">
        <v>1520</v>
      </c>
      <c r="C131" s="1" t="s">
        <v>1530</v>
      </c>
      <c r="D131" s="1" t="s">
        <v>1288</v>
      </c>
      <c r="E131" s="1" t="s">
        <v>1350</v>
      </c>
      <c r="F131" t="s">
        <v>2647</v>
      </c>
      <c r="G131" t="s">
        <v>1521</v>
      </c>
      <c r="H131" t="s">
        <v>381</v>
      </c>
      <c r="I131" t="s">
        <v>1285</v>
      </c>
      <c r="J131" t="s">
        <v>1170</v>
      </c>
      <c r="K131" t="s">
        <v>1167</v>
      </c>
      <c r="L131" t="s">
        <v>1522</v>
      </c>
      <c r="M131" t="s">
        <v>1523</v>
      </c>
      <c r="N131">
        <v>112500</v>
      </c>
      <c r="O131" s="1" t="s">
        <v>1336</v>
      </c>
      <c r="P131" t="s">
        <v>1524</v>
      </c>
      <c r="Q131" t="s">
        <v>1292</v>
      </c>
      <c r="S131" t="s">
        <v>1294</v>
      </c>
      <c r="T131" t="s">
        <v>2648</v>
      </c>
      <c r="U131" t="s">
        <v>1296</v>
      </c>
      <c r="V131" t="s">
        <v>1526</v>
      </c>
    </row>
    <row r="132" spans="1:22" ht="30" x14ac:dyDescent="0.25">
      <c r="A132" t="s">
        <v>1871</v>
      </c>
      <c r="B132" s="1" t="s">
        <v>1520</v>
      </c>
      <c r="C132" s="1" t="s">
        <v>1530</v>
      </c>
      <c r="D132" s="1" t="s">
        <v>1288</v>
      </c>
      <c r="E132" s="1" t="s">
        <v>1350</v>
      </c>
      <c r="F132" t="s">
        <v>2651</v>
      </c>
      <c r="G132" t="s">
        <v>1521</v>
      </c>
      <c r="H132" t="s">
        <v>381</v>
      </c>
      <c r="I132" t="s">
        <v>1285</v>
      </c>
      <c r="J132" t="s">
        <v>1170</v>
      </c>
      <c r="K132" t="s">
        <v>1167</v>
      </c>
      <c r="L132" t="s">
        <v>1522</v>
      </c>
      <c r="M132" t="s">
        <v>1523</v>
      </c>
      <c r="N132">
        <v>112500</v>
      </c>
      <c r="O132" s="1" t="s">
        <v>1336</v>
      </c>
      <c r="P132" t="s">
        <v>1524</v>
      </c>
      <c r="Q132" t="s">
        <v>1292</v>
      </c>
      <c r="S132" t="s">
        <v>1294</v>
      </c>
      <c r="T132" t="s">
        <v>2652</v>
      </c>
      <c r="U132">
        <v>3184</v>
      </c>
      <c r="V132" t="s">
        <v>1526</v>
      </c>
    </row>
    <row r="133" spans="1:22" ht="30" x14ac:dyDescent="0.25">
      <c r="A133" t="s">
        <v>1871</v>
      </c>
      <c r="B133" s="1" t="s">
        <v>1520</v>
      </c>
      <c r="C133" s="1" t="s">
        <v>1530</v>
      </c>
      <c r="D133" s="1" t="s">
        <v>1288</v>
      </c>
      <c r="E133" s="1" t="s">
        <v>1358</v>
      </c>
      <c r="F133" t="s">
        <v>1872</v>
      </c>
      <c r="G133" t="s">
        <v>1521</v>
      </c>
      <c r="H133" t="s">
        <v>381</v>
      </c>
      <c r="I133" t="s">
        <v>1285</v>
      </c>
      <c r="J133" t="s">
        <v>1170</v>
      </c>
      <c r="K133" t="s">
        <v>1167</v>
      </c>
      <c r="L133" t="s">
        <v>1522</v>
      </c>
      <c r="M133" t="s">
        <v>1523</v>
      </c>
      <c r="N133">
        <v>112500</v>
      </c>
      <c r="O133" s="1" t="s">
        <v>1336</v>
      </c>
      <c r="P133" t="s">
        <v>1524</v>
      </c>
      <c r="Q133" t="s">
        <v>1292</v>
      </c>
      <c r="S133" t="s">
        <v>1294</v>
      </c>
      <c r="T133" t="s">
        <v>1296</v>
      </c>
      <c r="U133">
        <v>0</v>
      </c>
      <c r="V133" t="s">
        <v>1526</v>
      </c>
    </row>
    <row r="134" spans="1:22" ht="30" x14ac:dyDescent="0.25">
      <c r="A134" t="s">
        <v>1871</v>
      </c>
      <c r="B134" s="1" t="s">
        <v>1520</v>
      </c>
      <c r="C134" s="1" t="s">
        <v>1530</v>
      </c>
      <c r="D134" s="1" t="s">
        <v>1288</v>
      </c>
      <c r="E134" s="1" t="s">
        <v>1393</v>
      </c>
      <c r="F134" t="s">
        <v>2679</v>
      </c>
      <c r="G134" t="s">
        <v>1521</v>
      </c>
      <c r="H134" t="s">
        <v>381</v>
      </c>
      <c r="I134" t="s">
        <v>1285</v>
      </c>
      <c r="J134" t="s">
        <v>1170</v>
      </c>
      <c r="K134" t="s">
        <v>1167</v>
      </c>
      <c r="L134" t="s">
        <v>1522</v>
      </c>
      <c r="M134" t="s">
        <v>1523</v>
      </c>
      <c r="N134">
        <v>112500</v>
      </c>
      <c r="O134" s="1" t="s">
        <v>1336</v>
      </c>
      <c r="P134" t="s">
        <v>1524</v>
      </c>
      <c r="Q134" t="s">
        <v>1292</v>
      </c>
      <c r="S134" t="s">
        <v>1294</v>
      </c>
      <c r="T134" t="s">
        <v>2680</v>
      </c>
      <c r="U134">
        <v>8728</v>
      </c>
      <c r="V134" t="s">
        <v>1526</v>
      </c>
    </row>
    <row r="135" spans="1:22" ht="30" x14ac:dyDescent="0.25">
      <c r="A135" t="s">
        <v>1871</v>
      </c>
      <c r="B135" s="1" t="s">
        <v>1520</v>
      </c>
      <c r="C135" s="1" t="s">
        <v>1530</v>
      </c>
      <c r="D135" s="1" t="s">
        <v>1288</v>
      </c>
      <c r="E135" s="1" t="s">
        <v>1316</v>
      </c>
      <c r="F135" t="s">
        <v>2682</v>
      </c>
      <c r="G135" t="s">
        <v>1521</v>
      </c>
      <c r="H135" t="s">
        <v>381</v>
      </c>
      <c r="I135" t="s">
        <v>1285</v>
      </c>
      <c r="J135" t="s">
        <v>1170</v>
      </c>
      <c r="K135" t="s">
        <v>1167</v>
      </c>
      <c r="L135" t="s">
        <v>1522</v>
      </c>
      <c r="M135" t="s">
        <v>1523</v>
      </c>
      <c r="N135">
        <v>112500</v>
      </c>
      <c r="O135" s="1" t="s">
        <v>1336</v>
      </c>
      <c r="P135" t="s">
        <v>1524</v>
      </c>
      <c r="Q135" t="s">
        <v>1292</v>
      </c>
      <c r="S135" t="s">
        <v>1294</v>
      </c>
      <c r="T135" t="s">
        <v>2683</v>
      </c>
      <c r="U135">
        <v>6335</v>
      </c>
      <c r="V135" t="s">
        <v>1526</v>
      </c>
    </row>
    <row r="136" spans="1:22" ht="30" x14ac:dyDescent="0.25">
      <c r="A136" t="s">
        <v>1871</v>
      </c>
      <c r="B136" s="1" t="s">
        <v>1520</v>
      </c>
      <c r="C136" s="1" t="s">
        <v>1530</v>
      </c>
      <c r="D136" s="1" t="s">
        <v>1288</v>
      </c>
      <c r="E136" s="1" t="s">
        <v>1293</v>
      </c>
      <c r="F136" t="s">
        <v>2685</v>
      </c>
      <c r="G136" t="s">
        <v>1521</v>
      </c>
      <c r="H136" t="s">
        <v>381</v>
      </c>
      <c r="I136" t="s">
        <v>1285</v>
      </c>
      <c r="J136" t="s">
        <v>1170</v>
      </c>
      <c r="K136" t="s">
        <v>1167</v>
      </c>
      <c r="L136" t="s">
        <v>1522</v>
      </c>
      <c r="M136" t="s">
        <v>1523</v>
      </c>
      <c r="N136">
        <v>112500</v>
      </c>
      <c r="O136" s="1" t="s">
        <v>1336</v>
      </c>
      <c r="P136" t="s">
        <v>1524</v>
      </c>
      <c r="Q136" t="s">
        <v>1292</v>
      </c>
      <c r="S136" t="s">
        <v>1294</v>
      </c>
      <c r="T136" t="s">
        <v>2686</v>
      </c>
      <c r="U136">
        <v>564</v>
      </c>
      <c r="V136" t="s">
        <v>1526</v>
      </c>
    </row>
    <row r="137" spans="1:22" ht="30" x14ac:dyDescent="0.25">
      <c r="A137" t="s">
        <v>1871</v>
      </c>
      <c r="B137" s="1" t="s">
        <v>1520</v>
      </c>
      <c r="C137" s="1" t="s">
        <v>1530</v>
      </c>
      <c r="D137" s="1" t="s">
        <v>1288</v>
      </c>
      <c r="E137" s="1" t="s">
        <v>1649</v>
      </c>
      <c r="F137" t="s">
        <v>2832</v>
      </c>
      <c r="G137" t="s">
        <v>1521</v>
      </c>
      <c r="H137" t="s">
        <v>381</v>
      </c>
      <c r="I137" t="s">
        <v>1285</v>
      </c>
      <c r="J137" t="s">
        <v>1170</v>
      </c>
      <c r="K137" t="s">
        <v>1167</v>
      </c>
      <c r="L137" t="s">
        <v>1522</v>
      </c>
      <c r="M137" t="s">
        <v>1523</v>
      </c>
      <c r="N137">
        <v>112500</v>
      </c>
      <c r="O137" s="1" t="s">
        <v>1336</v>
      </c>
      <c r="P137" t="s">
        <v>1524</v>
      </c>
      <c r="Q137" t="s">
        <v>1292</v>
      </c>
      <c r="S137" t="s">
        <v>1294</v>
      </c>
      <c r="T137" t="s">
        <v>2833</v>
      </c>
      <c r="U137">
        <v>1818</v>
      </c>
      <c r="V137" t="s">
        <v>1526</v>
      </c>
    </row>
    <row r="138" spans="1:22" ht="30" x14ac:dyDescent="0.25">
      <c r="A138" t="s">
        <v>1871</v>
      </c>
      <c r="B138" s="1" t="s">
        <v>1520</v>
      </c>
      <c r="C138" s="1" t="s">
        <v>1530</v>
      </c>
      <c r="D138" s="1" t="s">
        <v>1288</v>
      </c>
      <c r="E138" s="1" t="s">
        <v>1649</v>
      </c>
      <c r="F138" t="s">
        <v>2834</v>
      </c>
      <c r="G138" t="s">
        <v>1521</v>
      </c>
      <c r="H138" t="s">
        <v>381</v>
      </c>
      <c r="I138" t="s">
        <v>1285</v>
      </c>
      <c r="J138" t="s">
        <v>1170</v>
      </c>
      <c r="K138" t="s">
        <v>1167</v>
      </c>
      <c r="L138" t="s">
        <v>1522</v>
      </c>
      <c r="M138" t="s">
        <v>1523</v>
      </c>
      <c r="N138">
        <v>112500</v>
      </c>
      <c r="O138" s="1" t="s">
        <v>1336</v>
      </c>
      <c r="P138" t="s">
        <v>1524</v>
      </c>
      <c r="Q138" t="s">
        <v>1292</v>
      </c>
      <c r="S138" t="s">
        <v>1294</v>
      </c>
      <c r="T138" t="s">
        <v>2835</v>
      </c>
      <c r="U138">
        <v>26576</v>
      </c>
      <c r="V138" t="s">
        <v>1526</v>
      </c>
    </row>
    <row r="139" spans="1:22" ht="30" x14ac:dyDescent="0.25">
      <c r="A139" t="s">
        <v>1871</v>
      </c>
      <c r="B139" s="1" t="s">
        <v>1520</v>
      </c>
      <c r="C139" s="1" t="s">
        <v>1530</v>
      </c>
      <c r="D139" s="1" t="s">
        <v>1288</v>
      </c>
      <c r="E139" s="1" t="s">
        <v>1649</v>
      </c>
      <c r="F139" t="s">
        <v>2836</v>
      </c>
      <c r="G139" t="s">
        <v>1521</v>
      </c>
      <c r="H139" t="s">
        <v>381</v>
      </c>
      <c r="I139" t="s">
        <v>1285</v>
      </c>
      <c r="J139" t="s">
        <v>1170</v>
      </c>
      <c r="K139" t="s">
        <v>1167</v>
      </c>
      <c r="L139" t="s">
        <v>1522</v>
      </c>
      <c r="M139" t="s">
        <v>1523</v>
      </c>
      <c r="N139">
        <v>112500</v>
      </c>
      <c r="O139" s="1" t="s">
        <v>1336</v>
      </c>
      <c r="P139" t="s">
        <v>1524</v>
      </c>
      <c r="Q139" t="s">
        <v>1292</v>
      </c>
      <c r="S139" t="s">
        <v>1294</v>
      </c>
      <c r="T139" t="s">
        <v>1682</v>
      </c>
      <c r="U139">
        <v>17298</v>
      </c>
      <c r="V139" t="s">
        <v>1526</v>
      </c>
    </row>
    <row r="140" spans="1:22" ht="30" x14ac:dyDescent="0.25">
      <c r="A140" t="s">
        <v>1871</v>
      </c>
      <c r="B140" s="1" t="s">
        <v>1520</v>
      </c>
      <c r="C140" s="1" t="s">
        <v>1530</v>
      </c>
      <c r="D140" s="1" t="s">
        <v>1288</v>
      </c>
      <c r="E140" s="1" t="s">
        <v>1649</v>
      </c>
      <c r="F140" t="s">
        <v>2837</v>
      </c>
      <c r="G140" t="s">
        <v>1521</v>
      </c>
      <c r="H140" t="s">
        <v>381</v>
      </c>
      <c r="I140" t="s">
        <v>1285</v>
      </c>
      <c r="J140" t="s">
        <v>1170</v>
      </c>
      <c r="K140" t="s">
        <v>1167</v>
      </c>
      <c r="L140" t="s">
        <v>1522</v>
      </c>
      <c r="M140" t="s">
        <v>1523</v>
      </c>
      <c r="N140">
        <v>112500</v>
      </c>
      <c r="O140" s="1" t="s">
        <v>1336</v>
      </c>
      <c r="P140" t="s">
        <v>1524</v>
      </c>
      <c r="Q140" t="s">
        <v>1292</v>
      </c>
      <c r="S140" t="s">
        <v>1294</v>
      </c>
      <c r="T140" t="s">
        <v>2838</v>
      </c>
      <c r="U140">
        <v>2264</v>
      </c>
      <c r="V140" t="s">
        <v>1526</v>
      </c>
    </row>
    <row r="141" spans="1:22" ht="30" x14ac:dyDescent="0.25">
      <c r="A141" t="s">
        <v>1871</v>
      </c>
      <c r="B141" s="1" t="s">
        <v>1520</v>
      </c>
      <c r="C141" s="1" t="s">
        <v>1530</v>
      </c>
      <c r="D141" s="1" t="s">
        <v>1288</v>
      </c>
      <c r="E141" s="1" t="s">
        <v>1649</v>
      </c>
      <c r="F141" t="s">
        <v>2839</v>
      </c>
      <c r="G141" t="s">
        <v>1521</v>
      </c>
      <c r="H141" t="s">
        <v>381</v>
      </c>
      <c r="I141" t="s">
        <v>1285</v>
      </c>
      <c r="J141" t="s">
        <v>1170</v>
      </c>
      <c r="K141" t="s">
        <v>1167</v>
      </c>
      <c r="L141" t="s">
        <v>1522</v>
      </c>
      <c r="M141" t="s">
        <v>1523</v>
      </c>
      <c r="N141">
        <v>112500</v>
      </c>
      <c r="O141" s="1" t="s">
        <v>1336</v>
      </c>
      <c r="P141" t="s">
        <v>1524</v>
      </c>
      <c r="Q141" t="s">
        <v>1292</v>
      </c>
      <c r="S141" t="s">
        <v>1294</v>
      </c>
      <c r="T141" t="s">
        <v>2840</v>
      </c>
      <c r="U141">
        <v>1330</v>
      </c>
      <c r="V141" t="s">
        <v>1526</v>
      </c>
    </row>
    <row r="142" spans="1:22" ht="30" x14ac:dyDescent="0.25">
      <c r="A142" t="s">
        <v>1871</v>
      </c>
      <c r="B142" s="1" t="s">
        <v>1520</v>
      </c>
      <c r="C142" s="1" t="s">
        <v>1530</v>
      </c>
      <c r="D142" s="1" t="s">
        <v>1288</v>
      </c>
      <c r="E142" s="1" t="s">
        <v>1649</v>
      </c>
      <c r="F142" t="s">
        <v>2841</v>
      </c>
      <c r="G142" t="s">
        <v>1521</v>
      </c>
      <c r="H142" t="s">
        <v>381</v>
      </c>
      <c r="I142" t="s">
        <v>1285</v>
      </c>
      <c r="J142" t="s">
        <v>1170</v>
      </c>
      <c r="K142" t="s">
        <v>1167</v>
      </c>
      <c r="L142" t="s">
        <v>1522</v>
      </c>
      <c r="M142" t="s">
        <v>1523</v>
      </c>
      <c r="N142">
        <v>112500</v>
      </c>
      <c r="O142" s="1" t="s">
        <v>1336</v>
      </c>
      <c r="P142" t="s">
        <v>1524</v>
      </c>
      <c r="Q142" t="s">
        <v>1292</v>
      </c>
      <c r="S142" t="s">
        <v>1294</v>
      </c>
      <c r="T142" t="s">
        <v>2842</v>
      </c>
      <c r="U142">
        <v>3503</v>
      </c>
      <c r="V142" t="s">
        <v>1526</v>
      </c>
    </row>
    <row r="143" spans="1:22" ht="30" x14ac:dyDescent="0.25">
      <c r="A143" t="s">
        <v>1871</v>
      </c>
      <c r="B143" s="1" t="s">
        <v>1520</v>
      </c>
      <c r="C143" s="1" t="s">
        <v>1530</v>
      </c>
      <c r="D143" s="1" t="s">
        <v>1288</v>
      </c>
      <c r="E143" s="1" t="s">
        <v>1368</v>
      </c>
      <c r="F143" t="s">
        <v>2845</v>
      </c>
      <c r="G143" t="s">
        <v>1521</v>
      </c>
      <c r="H143" t="s">
        <v>381</v>
      </c>
      <c r="I143" t="s">
        <v>1285</v>
      </c>
      <c r="J143" t="s">
        <v>1170</v>
      </c>
      <c r="K143" t="s">
        <v>1167</v>
      </c>
      <c r="L143" t="s">
        <v>1522</v>
      </c>
      <c r="M143" t="s">
        <v>1523</v>
      </c>
      <c r="N143">
        <v>112500</v>
      </c>
      <c r="O143" s="1" t="s">
        <v>1336</v>
      </c>
      <c r="P143" t="s">
        <v>1524</v>
      </c>
      <c r="Q143" t="s">
        <v>1292</v>
      </c>
      <c r="S143" t="s">
        <v>1294</v>
      </c>
      <c r="T143" t="s">
        <v>2846</v>
      </c>
      <c r="U143">
        <v>4429</v>
      </c>
      <c r="V143" t="s">
        <v>1564</v>
      </c>
    </row>
    <row r="144" spans="1:22" ht="30" x14ac:dyDescent="0.25">
      <c r="A144" t="s">
        <v>1871</v>
      </c>
      <c r="B144" s="1" t="s">
        <v>1520</v>
      </c>
      <c r="C144" s="1" t="s">
        <v>1530</v>
      </c>
      <c r="D144" s="1" t="s">
        <v>1288</v>
      </c>
      <c r="E144" s="1" t="s">
        <v>1368</v>
      </c>
      <c r="F144" t="s">
        <v>2847</v>
      </c>
      <c r="G144" t="s">
        <v>1521</v>
      </c>
      <c r="H144" t="s">
        <v>381</v>
      </c>
      <c r="I144" t="s">
        <v>1285</v>
      </c>
      <c r="J144" t="s">
        <v>1170</v>
      </c>
      <c r="K144" t="s">
        <v>1167</v>
      </c>
      <c r="L144" t="s">
        <v>1522</v>
      </c>
      <c r="M144" t="s">
        <v>1523</v>
      </c>
      <c r="N144">
        <v>112500</v>
      </c>
      <c r="O144" s="1" t="s">
        <v>1336</v>
      </c>
      <c r="P144" t="s">
        <v>1524</v>
      </c>
      <c r="Q144" t="s">
        <v>1292</v>
      </c>
      <c r="S144" t="s">
        <v>1294</v>
      </c>
      <c r="T144" t="s">
        <v>2848</v>
      </c>
      <c r="U144">
        <v>165</v>
      </c>
      <c r="V144" t="s">
        <v>1564</v>
      </c>
    </row>
    <row r="145" spans="1:22" ht="30" x14ac:dyDescent="0.25">
      <c r="A145" t="s">
        <v>1871</v>
      </c>
      <c r="B145" s="1" t="s">
        <v>1520</v>
      </c>
      <c r="C145" s="1" t="s">
        <v>1530</v>
      </c>
      <c r="D145" s="1" t="s">
        <v>1288</v>
      </c>
      <c r="E145" s="1" t="s">
        <v>1368</v>
      </c>
      <c r="F145" t="s">
        <v>2849</v>
      </c>
      <c r="G145" t="s">
        <v>1521</v>
      </c>
      <c r="H145" t="s">
        <v>381</v>
      </c>
      <c r="I145" t="s">
        <v>1285</v>
      </c>
      <c r="J145" t="s">
        <v>1170</v>
      </c>
      <c r="K145" t="s">
        <v>1167</v>
      </c>
      <c r="L145" t="s">
        <v>1522</v>
      </c>
      <c r="M145" t="s">
        <v>1523</v>
      </c>
      <c r="N145">
        <v>112500</v>
      </c>
      <c r="O145" s="1" t="s">
        <v>1336</v>
      </c>
      <c r="P145" t="s">
        <v>1524</v>
      </c>
      <c r="Q145" t="s">
        <v>1292</v>
      </c>
      <c r="S145" t="s">
        <v>1294</v>
      </c>
      <c r="T145" t="s">
        <v>2850</v>
      </c>
      <c r="U145">
        <v>996</v>
      </c>
      <c r="V145" t="s">
        <v>1564</v>
      </c>
    </row>
    <row r="146" spans="1:22" ht="30" x14ac:dyDescent="0.25">
      <c r="A146" t="s">
        <v>1871</v>
      </c>
      <c r="B146" s="1" t="s">
        <v>1520</v>
      </c>
      <c r="C146" s="1" t="s">
        <v>1530</v>
      </c>
      <c r="D146" s="1" t="s">
        <v>1288</v>
      </c>
      <c r="E146" s="1" t="s">
        <v>1293</v>
      </c>
      <c r="F146" t="s">
        <v>2896</v>
      </c>
      <c r="G146" t="s">
        <v>1521</v>
      </c>
      <c r="H146" t="s">
        <v>381</v>
      </c>
      <c r="I146" t="s">
        <v>1285</v>
      </c>
      <c r="J146" t="s">
        <v>1170</v>
      </c>
      <c r="K146" t="s">
        <v>1167</v>
      </c>
      <c r="L146" t="s">
        <v>1522</v>
      </c>
      <c r="M146" t="s">
        <v>1523</v>
      </c>
      <c r="N146">
        <v>112500</v>
      </c>
      <c r="O146" s="1" t="s">
        <v>1336</v>
      </c>
      <c r="P146" t="s">
        <v>1524</v>
      </c>
      <c r="Q146" t="s">
        <v>1292</v>
      </c>
      <c r="S146" t="s">
        <v>1294</v>
      </c>
      <c r="T146" t="s">
        <v>2897</v>
      </c>
      <c r="U146">
        <v>60</v>
      </c>
      <c r="V146" t="s">
        <v>1564</v>
      </c>
    </row>
    <row r="147" spans="1:22" ht="30" x14ac:dyDescent="0.25">
      <c r="A147" t="s">
        <v>1871</v>
      </c>
      <c r="B147" s="1" t="s">
        <v>1520</v>
      </c>
      <c r="C147" s="1" t="s">
        <v>1530</v>
      </c>
      <c r="D147" s="1" t="s">
        <v>1288</v>
      </c>
      <c r="E147" s="1" t="s">
        <v>1316</v>
      </c>
      <c r="F147" t="s">
        <v>2929</v>
      </c>
      <c r="G147" t="s">
        <v>1521</v>
      </c>
      <c r="H147" t="s">
        <v>381</v>
      </c>
      <c r="I147" t="s">
        <v>1285</v>
      </c>
      <c r="J147" t="s">
        <v>1170</v>
      </c>
      <c r="K147" t="s">
        <v>1167</v>
      </c>
      <c r="L147" t="s">
        <v>1522</v>
      </c>
      <c r="M147" t="s">
        <v>1523</v>
      </c>
      <c r="N147">
        <v>112500</v>
      </c>
      <c r="O147" s="1" t="s">
        <v>1336</v>
      </c>
      <c r="P147" t="s">
        <v>1524</v>
      </c>
      <c r="Q147" t="s">
        <v>1292</v>
      </c>
      <c r="S147" t="s">
        <v>1294</v>
      </c>
      <c r="T147" t="s">
        <v>2930</v>
      </c>
      <c r="U147">
        <v>276</v>
      </c>
      <c r="V147" t="s">
        <v>1526</v>
      </c>
    </row>
    <row r="148" spans="1:22" ht="30" x14ac:dyDescent="0.25">
      <c r="A148" t="s">
        <v>1871</v>
      </c>
      <c r="B148" s="1" t="s">
        <v>1520</v>
      </c>
      <c r="C148" s="1" t="s">
        <v>1530</v>
      </c>
      <c r="D148" s="1" t="s">
        <v>1288</v>
      </c>
      <c r="E148" s="1" t="s">
        <v>1350</v>
      </c>
      <c r="F148" t="s">
        <v>2939</v>
      </c>
      <c r="G148" t="s">
        <v>1521</v>
      </c>
      <c r="H148" t="s">
        <v>381</v>
      </c>
      <c r="I148" t="s">
        <v>1285</v>
      </c>
      <c r="J148" t="s">
        <v>1170</v>
      </c>
      <c r="K148" t="s">
        <v>1167</v>
      </c>
      <c r="L148" t="s">
        <v>1522</v>
      </c>
      <c r="M148" t="s">
        <v>1523</v>
      </c>
      <c r="N148">
        <v>112500</v>
      </c>
      <c r="O148" s="1" t="s">
        <v>1336</v>
      </c>
      <c r="P148" t="s">
        <v>1524</v>
      </c>
      <c r="Q148" t="s">
        <v>1292</v>
      </c>
      <c r="S148" t="s">
        <v>1294</v>
      </c>
      <c r="T148" t="s">
        <v>2940</v>
      </c>
      <c r="U148">
        <v>2140</v>
      </c>
      <c r="V148" t="s">
        <v>1526</v>
      </c>
    </row>
    <row r="149" spans="1:22" ht="30" x14ac:dyDescent="0.25">
      <c r="A149" t="s">
        <v>1871</v>
      </c>
      <c r="B149" s="1" t="s">
        <v>1520</v>
      </c>
      <c r="C149" s="1" t="s">
        <v>1530</v>
      </c>
      <c r="D149" s="1" t="s">
        <v>1288</v>
      </c>
      <c r="E149" s="1" t="s">
        <v>1350</v>
      </c>
      <c r="F149" t="s">
        <v>2945</v>
      </c>
      <c r="G149" t="s">
        <v>1521</v>
      </c>
      <c r="H149" t="s">
        <v>381</v>
      </c>
      <c r="I149" t="s">
        <v>1285</v>
      </c>
      <c r="J149" t="s">
        <v>1170</v>
      </c>
      <c r="K149" t="s">
        <v>1167</v>
      </c>
      <c r="L149" t="s">
        <v>1522</v>
      </c>
      <c r="M149" t="s">
        <v>1523</v>
      </c>
      <c r="N149">
        <v>112500</v>
      </c>
      <c r="O149" s="1" t="s">
        <v>1336</v>
      </c>
      <c r="P149" t="s">
        <v>1524</v>
      </c>
      <c r="Q149" t="s">
        <v>1292</v>
      </c>
      <c r="S149" t="s">
        <v>1294</v>
      </c>
      <c r="T149" t="s">
        <v>2946</v>
      </c>
      <c r="U149">
        <v>10951</v>
      </c>
      <c r="V149" t="s">
        <v>1526</v>
      </c>
    </row>
    <row r="150" spans="1:22" ht="30" x14ac:dyDescent="0.25">
      <c r="A150" t="s">
        <v>1871</v>
      </c>
      <c r="B150" s="1" t="s">
        <v>1520</v>
      </c>
      <c r="C150" s="1" t="s">
        <v>1530</v>
      </c>
      <c r="D150" s="1" t="s">
        <v>1288</v>
      </c>
      <c r="E150" s="1" t="s">
        <v>1350</v>
      </c>
      <c r="F150" t="s">
        <v>2947</v>
      </c>
      <c r="G150" t="s">
        <v>1521</v>
      </c>
      <c r="H150" t="s">
        <v>381</v>
      </c>
      <c r="I150" t="s">
        <v>1285</v>
      </c>
      <c r="J150" t="s">
        <v>1170</v>
      </c>
      <c r="K150" t="s">
        <v>1167</v>
      </c>
      <c r="L150" t="s">
        <v>1522</v>
      </c>
      <c r="M150" t="s">
        <v>1523</v>
      </c>
      <c r="N150">
        <v>112500</v>
      </c>
      <c r="O150" s="1" t="s">
        <v>1336</v>
      </c>
      <c r="P150" t="s">
        <v>1524</v>
      </c>
      <c r="Q150" t="s">
        <v>1292</v>
      </c>
      <c r="S150" t="s">
        <v>1294</v>
      </c>
      <c r="T150" t="s">
        <v>2948</v>
      </c>
      <c r="U150">
        <v>3412</v>
      </c>
      <c r="V150" t="s">
        <v>1526</v>
      </c>
    </row>
    <row r="151" spans="1:22" ht="30" x14ac:dyDescent="0.25">
      <c r="A151" t="s">
        <v>1871</v>
      </c>
      <c r="B151" s="1" t="s">
        <v>1520</v>
      </c>
      <c r="C151" s="1" t="s">
        <v>1530</v>
      </c>
      <c r="D151" s="1" t="s">
        <v>1288</v>
      </c>
      <c r="E151" s="1" t="s">
        <v>1393</v>
      </c>
      <c r="F151" t="s">
        <v>2967</v>
      </c>
      <c r="G151" t="s">
        <v>1521</v>
      </c>
      <c r="H151" t="s">
        <v>381</v>
      </c>
      <c r="I151" t="s">
        <v>1285</v>
      </c>
      <c r="J151" t="s">
        <v>1170</v>
      </c>
      <c r="K151" t="s">
        <v>1167</v>
      </c>
      <c r="L151" t="s">
        <v>1522</v>
      </c>
      <c r="M151" t="s">
        <v>1523</v>
      </c>
      <c r="N151">
        <v>112500</v>
      </c>
      <c r="O151" s="1" t="s">
        <v>1336</v>
      </c>
      <c r="P151" t="s">
        <v>1524</v>
      </c>
      <c r="Q151" t="s">
        <v>1292</v>
      </c>
      <c r="S151" t="s">
        <v>1294</v>
      </c>
      <c r="T151" t="s">
        <v>2968</v>
      </c>
      <c r="U151">
        <v>282</v>
      </c>
      <c r="V151" t="s">
        <v>1564</v>
      </c>
    </row>
    <row r="152" spans="1:22" ht="30" x14ac:dyDescent="0.25">
      <c r="A152" t="s">
        <v>1871</v>
      </c>
      <c r="B152" s="1" t="s">
        <v>1520</v>
      </c>
      <c r="C152" s="1" t="s">
        <v>1530</v>
      </c>
      <c r="D152" s="1" t="s">
        <v>1288</v>
      </c>
      <c r="E152" s="1" t="s">
        <v>1374</v>
      </c>
      <c r="F152" t="s">
        <v>2987</v>
      </c>
      <c r="G152" t="s">
        <v>1521</v>
      </c>
      <c r="H152" t="s">
        <v>381</v>
      </c>
      <c r="I152" t="s">
        <v>1285</v>
      </c>
      <c r="J152" t="s">
        <v>1170</v>
      </c>
      <c r="K152" t="s">
        <v>1167</v>
      </c>
      <c r="L152" t="s">
        <v>1522</v>
      </c>
      <c r="M152" t="s">
        <v>1523</v>
      </c>
      <c r="N152">
        <v>112500</v>
      </c>
      <c r="O152" s="1" t="s">
        <v>1336</v>
      </c>
      <c r="P152" t="s">
        <v>1524</v>
      </c>
      <c r="Q152" t="s">
        <v>1292</v>
      </c>
      <c r="S152" t="s">
        <v>1294</v>
      </c>
      <c r="T152" t="s">
        <v>2988</v>
      </c>
      <c r="U152">
        <v>20738</v>
      </c>
      <c r="V152" t="s">
        <v>1564</v>
      </c>
    </row>
    <row r="153" spans="1:22" ht="30" x14ac:dyDescent="0.25">
      <c r="A153" t="s">
        <v>1871</v>
      </c>
      <c r="B153" s="1" t="s">
        <v>1520</v>
      </c>
      <c r="C153" s="1" t="s">
        <v>1530</v>
      </c>
      <c r="D153" s="1" t="s">
        <v>1288</v>
      </c>
      <c r="E153" s="1" t="s">
        <v>1374</v>
      </c>
      <c r="F153" t="s">
        <v>2991</v>
      </c>
      <c r="G153" t="s">
        <v>1521</v>
      </c>
      <c r="H153" t="s">
        <v>381</v>
      </c>
      <c r="I153" t="s">
        <v>1285</v>
      </c>
      <c r="J153" t="s">
        <v>1170</v>
      </c>
      <c r="K153" t="s">
        <v>1167</v>
      </c>
      <c r="L153" t="s">
        <v>1522</v>
      </c>
      <c r="M153" t="s">
        <v>1523</v>
      </c>
      <c r="N153">
        <v>112500</v>
      </c>
      <c r="O153" s="1" t="s">
        <v>1336</v>
      </c>
      <c r="P153" t="s">
        <v>1524</v>
      </c>
      <c r="Q153" t="s">
        <v>1292</v>
      </c>
      <c r="S153" t="s">
        <v>1294</v>
      </c>
      <c r="T153" t="s">
        <v>2992</v>
      </c>
      <c r="U153">
        <v>9778</v>
      </c>
      <c r="V153" t="s">
        <v>1526</v>
      </c>
    </row>
    <row r="154" spans="1:22" ht="30" x14ac:dyDescent="0.25">
      <c r="A154" t="s">
        <v>1871</v>
      </c>
      <c r="B154" s="1" t="s">
        <v>1520</v>
      </c>
      <c r="C154" s="1" t="s">
        <v>1530</v>
      </c>
      <c r="D154" s="1" t="s">
        <v>1288</v>
      </c>
      <c r="E154" s="1" t="s">
        <v>1374</v>
      </c>
      <c r="F154" t="s">
        <v>2995</v>
      </c>
      <c r="G154" t="s">
        <v>1521</v>
      </c>
      <c r="H154" t="s">
        <v>381</v>
      </c>
      <c r="I154" t="s">
        <v>1285</v>
      </c>
      <c r="J154" t="s">
        <v>1170</v>
      </c>
      <c r="K154" t="s">
        <v>1167</v>
      </c>
      <c r="L154" t="s">
        <v>1522</v>
      </c>
      <c r="M154" t="s">
        <v>1523</v>
      </c>
      <c r="N154">
        <v>112500</v>
      </c>
      <c r="O154" s="1" t="s">
        <v>1336</v>
      </c>
      <c r="P154" t="s">
        <v>1524</v>
      </c>
      <c r="Q154" t="s">
        <v>1292</v>
      </c>
      <c r="S154" t="s">
        <v>1294</v>
      </c>
      <c r="T154" t="s">
        <v>2996</v>
      </c>
      <c r="U154">
        <v>14700</v>
      </c>
      <c r="V154" t="s">
        <v>1526</v>
      </c>
    </row>
    <row r="155" spans="1:22" ht="30" x14ac:dyDescent="0.25">
      <c r="A155" t="s">
        <v>1871</v>
      </c>
      <c r="B155" s="1" t="s">
        <v>1520</v>
      </c>
      <c r="C155" s="1" t="s">
        <v>1530</v>
      </c>
      <c r="D155" s="1" t="s">
        <v>1288</v>
      </c>
      <c r="E155" s="1" t="s">
        <v>1293</v>
      </c>
      <c r="F155" t="s">
        <v>2997</v>
      </c>
      <c r="G155" t="s">
        <v>1521</v>
      </c>
      <c r="H155" t="s">
        <v>381</v>
      </c>
      <c r="I155" t="s">
        <v>1285</v>
      </c>
      <c r="J155" t="s">
        <v>1170</v>
      </c>
      <c r="K155" t="s">
        <v>1167</v>
      </c>
      <c r="L155" t="s">
        <v>1522</v>
      </c>
      <c r="M155" t="s">
        <v>1523</v>
      </c>
      <c r="N155">
        <v>112500</v>
      </c>
      <c r="O155" s="1" t="s">
        <v>1336</v>
      </c>
      <c r="P155" t="s">
        <v>1524</v>
      </c>
      <c r="Q155" t="s">
        <v>1292</v>
      </c>
      <c r="S155" t="s">
        <v>1294</v>
      </c>
      <c r="T155" t="s">
        <v>2998</v>
      </c>
      <c r="U155">
        <v>11</v>
      </c>
      <c r="V155" t="s">
        <v>1526</v>
      </c>
    </row>
    <row r="156" spans="1:22" ht="30" x14ac:dyDescent="0.25">
      <c r="A156" t="s">
        <v>1871</v>
      </c>
      <c r="B156" s="1" t="s">
        <v>1520</v>
      </c>
      <c r="C156" s="1" t="s">
        <v>1530</v>
      </c>
      <c r="D156" s="1" t="s">
        <v>1288</v>
      </c>
      <c r="E156" s="1" t="s">
        <v>1293</v>
      </c>
      <c r="F156" t="s">
        <v>2999</v>
      </c>
      <c r="G156" t="s">
        <v>1521</v>
      </c>
      <c r="H156" t="s">
        <v>381</v>
      </c>
      <c r="I156" t="s">
        <v>1285</v>
      </c>
      <c r="J156" t="s">
        <v>1170</v>
      </c>
      <c r="K156" t="s">
        <v>1167</v>
      </c>
      <c r="L156" t="s">
        <v>1522</v>
      </c>
      <c r="M156" t="s">
        <v>1523</v>
      </c>
      <c r="N156">
        <v>112500</v>
      </c>
      <c r="O156" s="1" t="s">
        <v>1336</v>
      </c>
      <c r="P156" t="s">
        <v>1524</v>
      </c>
      <c r="Q156" t="s">
        <v>1292</v>
      </c>
      <c r="S156" t="s">
        <v>1294</v>
      </c>
      <c r="T156" t="s">
        <v>3000</v>
      </c>
      <c r="U156">
        <v>154</v>
      </c>
      <c r="V156" t="s">
        <v>1526</v>
      </c>
    </row>
    <row r="157" spans="1:22" ht="30" x14ac:dyDescent="0.25">
      <c r="A157" t="s">
        <v>1871</v>
      </c>
      <c r="B157" s="1" t="s">
        <v>1520</v>
      </c>
      <c r="C157" s="1" t="s">
        <v>1530</v>
      </c>
      <c r="D157" s="1" t="s">
        <v>1288</v>
      </c>
      <c r="E157" s="1" t="s">
        <v>1293</v>
      </c>
      <c r="F157" t="s">
        <v>3001</v>
      </c>
      <c r="G157" t="s">
        <v>1521</v>
      </c>
      <c r="H157" t="s">
        <v>381</v>
      </c>
      <c r="I157" t="s">
        <v>1285</v>
      </c>
      <c r="J157" t="s">
        <v>1170</v>
      </c>
      <c r="K157" t="s">
        <v>1167</v>
      </c>
      <c r="L157" t="s">
        <v>1522</v>
      </c>
      <c r="M157" t="s">
        <v>1523</v>
      </c>
      <c r="N157">
        <v>112500</v>
      </c>
      <c r="O157" s="1" t="s">
        <v>1336</v>
      </c>
      <c r="P157" t="s">
        <v>1524</v>
      </c>
      <c r="Q157" t="s">
        <v>1292</v>
      </c>
      <c r="S157" t="s">
        <v>1294</v>
      </c>
      <c r="T157" t="s">
        <v>3002</v>
      </c>
      <c r="U157">
        <v>159</v>
      </c>
      <c r="V157" t="s">
        <v>1564</v>
      </c>
    </row>
    <row r="158" spans="1:22" ht="30" x14ac:dyDescent="0.25">
      <c r="A158" t="s">
        <v>1871</v>
      </c>
      <c r="B158" s="1" t="s">
        <v>1520</v>
      </c>
      <c r="C158" s="1" t="s">
        <v>1530</v>
      </c>
      <c r="D158" s="1" t="s">
        <v>1288</v>
      </c>
      <c r="E158" s="1" t="s">
        <v>1293</v>
      </c>
      <c r="F158" t="s">
        <v>3030</v>
      </c>
      <c r="G158" t="s">
        <v>1521</v>
      </c>
      <c r="H158" t="s">
        <v>381</v>
      </c>
      <c r="I158" t="s">
        <v>1285</v>
      </c>
      <c r="J158" t="s">
        <v>1170</v>
      </c>
      <c r="K158" t="s">
        <v>1167</v>
      </c>
      <c r="L158" t="s">
        <v>1522</v>
      </c>
      <c r="M158" t="s">
        <v>1523</v>
      </c>
      <c r="N158">
        <v>112500</v>
      </c>
      <c r="O158" s="1" t="s">
        <v>1336</v>
      </c>
      <c r="P158" t="s">
        <v>1524</v>
      </c>
      <c r="Q158" t="s">
        <v>1292</v>
      </c>
      <c r="S158" t="s">
        <v>1294</v>
      </c>
      <c r="T158" t="s">
        <v>3031</v>
      </c>
      <c r="U158">
        <v>3692</v>
      </c>
      <c r="V158" t="s">
        <v>1564</v>
      </c>
    </row>
    <row r="159" spans="1:22" ht="30" x14ac:dyDescent="0.25">
      <c r="A159" t="s">
        <v>1871</v>
      </c>
      <c r="B159" s="1" t="s">
        <v>1520</v>
      </c>
      <c r="C159" s="1" t="s">
        <v>1530</v>
      </c>
      <c r="D159" s="1" t="s">
        <v>1288</v>
      </c>
      <c r="E159" s="1" t="s">
        <v>1374</v>
      </c>
      <c r="F159" t="s">
        <v>3042</v>
      </c>
      <c r="G159" t="s">
        <v>1521</v>
      </c>
      <c r="H159" t="s">
        <v>381</v>
      </c>
      <c r="I159" t="s">
        <v>1285</v>
      </c>
      <c r="J159" t="s">
        <v>1170</v>
      </c>
      <c r="K159" t="s">
        <v>1167</v>
      </c>
      <c r="L159" t="s">
        <v>1522</v>
      </c>
      <c r="M159" t="s">
        <v>1523</v>
      </c>
      <c r="N159">
        <v>112500</v>
      </c>
      <c r="O159" s="1" t="s">
        <v>1336</v>
      </c>
      <c r="P159" t="s">
        <v>1524</v>
      </c>
      <c r="Q159" t="s">
        <v>1292</v>
      </c>
      <c r="S159" t="s">
        <v>1294</v>
      </c>
      <c r="T159" t="s">
        <v>3043</v>
      </c>
      <c r="U159">
        <v>27393</v>
      </c>
      <c r="V159" t="s">
        <v>1564</v>
      </c>
    </row>
    <row r="160" spans="1:22" ht="30" x14ac:dyDescent="0.25">
      <c r="A160" t="s">
        <v>1871</v>
      </c>
      <c r="B160" s="1" t="s">
        <v>1520</v>
      </c>
      <c r="C160" s="1" t="s">
        <v>1530</v>
      </c>
      <c r="D160" s="1" t="s">
        <v>1288</v>
      </c>
      <c r="E160" s="1" t="s">
        <v>1326</v>
      </c>
      <c r="F160" t="s">
        <v>3046</v>
      </c>
      <c r="G160" t="s">
        <v>1521</v>
      </c>
      <c r="H160" t="s">
        <v>381</v>
      </c>
      <c r="I160" t="s">
        <v>1285</v>
      </c>
      <c r="J160" t="s">
        <v>1170</v>
      </c>
      <c r="K160" t="s">
        <v>1167</v>
      </c>
      <c r="L160" t="s">
        <v>1522</v>
      </c>
      <c r="M160" t="s">
        <v>1523</v>
      </c>
      <c r="N160">
        <v>112500</v>
      </c>
      <c r="O160" s="1" t="s">
        <v>1336</v>
      </c>
      <c r="P160" t="s">
        <v>1524</v>
      </c>
      <c r="Q160" t="s">
        <v>1292</v>
      </c>
      <c r="S160" t="s">
        <v>1294</v>
      </c>
      <c r="T160" t="s">
        <v>3047</v>
      </c>
      <c r="U160">
        <v>607</v>
      </c>
      <c r="V160" t="s">
        <v>1564</v>
      </c>
    </row>
    <row r="161" spans="1:22" ht="30" x14ac:dyDescent="0.25">
      <c r="A161" t="s">
        <v>1871</v>
      </c>
      <c r="B161" s="1" t="s">
        <v>1520</v>
      </c>
      <c r="C161" s="1" t="s">
        <v>1530</v>
      </c>
      <c r="D161" s="1" t="s">
        <v>1288</v>
      </c>
      <c r="E161" s="1" t="s">
        <v>1368</v>
      </c>
      <c r="F161" t="s">
        <v>3068</v>
      </c>
      <c r="G161" t="s">
        <v>1521</v>
      </c>
      <c r="H161" t="s">
        <v>381</v>
      </c>
      <c r="I161" t="s">
        <v>1285</v>
      </c>
      <c r="J161" t="s">
        <v>1170</v>
      </c>
      <c r="K161" t="s">
        <v>1167</v>
      </c>
      <c r="L161" t="s">
        <v>1522</v>
      </c>
      <c r="M161" t="s">
        <v>1523</v>
      </c>
      <c r="N161">
        <v>112500</v>
      </c>
      <c r="O161" s="1" t="s">
        <v>1336</v>
      </c>
      <c r="P161" t="s">
        <v>1524</v>
      </c>
      <c r="Q161" t="s">
        <v>1292</v>
      </c>
      <c r="S161" t="s">
        <v>1294</v>
      </c>
      <c r="T161" t="s">
        <v>3069</v>
      </c>
      <c r="U161">
        <v>3827</v>
      </c>
      <c r="V161" t="s">
        <v>1564</v>
      </c>
    </row>
    <row r="162" spans="1:22" ht="30" x14ac:dyDescent="0.25">
      <c r="A162" t="s">
        <v>1871</v>
      </c>
      <c r="B162" s="1" t="s">
        <v>1520</v>
      </c>
      <c r="C162" s="1" t="s">
        <v>1530</v>
      </c>
      <c r="D162" s="1" t="s">
        <v>1288</v>
      </c>
      <c r="E162" s="1" t="s">
        <v>1368</v>
      </c>
      <c r="F162" t="s">
        <v>3070</v>
      </c>
      <c r="G162" t="s">
        <v>1521</v>
      </c>
      <c r="H162" t="s">
        <v>381</v>
      </c>
      <c r="I162" t="s">
        <v>1285</v>
      </c>
      <c r="J162" t="s">
        <v>1170</v>
      </c>
      <c r="K162" t="s">
        <v>1167</v>
      </c>
      <c r="L162" t="s">
        <v>1522</v>
      </c>
      <c r="M162" t="s">
        <v>1523</v>
      </c>
      <c r="N162">
        <v>112500</v>
      </c>
      <c r="O162" s="1" t="s">
        <v>1336</v>
      </c>
      <c r="P162" t="s">
        <v>1524</v>
      </c>
      <c r="Q162" t="s">
        <v>1292</v>
      </c>
      <c r="S162" t="s">
        <v>1294</v>
      </c>
      <c r="T162" t="s">
        <v>3071</v>
      </c>
      <c r="U162">
        <v>1665</v>
      </c>
      <c r="V162" t="s">
        <v>1526</v>
      </c>
    </row>
    <row r="163" spans="1:22" ht="30" x14ac:dyDescent="0.25">
      <c r="A163" t="s">
        <v>1871</v>
      </c>
      <c r="B163" s="1" t="s">
        <v>1520</v>
      </c>
      <c r="C163" s="1" t="s">
        <v>1530</v>
      </c>
      <c r="D163" s="1" t="s">
        <v>1288</v>
      </c>
      <c r="E163" s="1" t="s">
        <v>1649</v>
      </c>
      <c r="F163" t="s">
        <v>3072</v>
      </c>
      <c r="G163" t="s">
        <v>1521</v>
      </c>
      <c r="H163" t="s">
        <v>381</v>
      </c>
      <c r="I163" t="s">
        <v>1285</v>
      </c>
      <c r="J163" t="s">
        <v>1170</v>
      </c>
      <c r="K163" t="s">
        <v>1167</v>
      </c>
      <c r="L163" t="s">
        <v>1522</v>
      </c>
      <c r="M163" t="s">
        <v>1523</v>
      </c>
      <c r="N163">
        <v>112500</v>
      </c>
      <c r="O163" s="1" t="s">
        <v>1336</v>
      </c>
      <c r="P163" t="s">
        <v>1524</v>
      </c>
      <c r="Q163" t="s">
        <v>1292</v>
      </c>
      <c r="S163" t="s">
        <v>1294</v>
      </c>
      <c r="T163" t="s">
        <v>3073</v>
      </c>
      <c r="U163">
        <v>3858</v>
      </c>
      <c r="V163" t="s">
        <v>1526</v>
      </c>
    </row>
    <row r="164" spans="1:22" ht="30" x14ac:dyDescent="0.25">
      <c r="A164" t="s">
        <v>1871</v>
      </c>
      <c r="B164" s="1" t="s">
        <v>1520</v>
      </c>
      <c r="C164" s="1" t="s">
        <v>1530</v>
      </c>
      <c r="D164" s="1" t="s">
        <v>1288</v>
      </c>
      <c r="E164" s="1" t="s">
        <v>1649</v>
      </c>
      <c r="F164" t="s">
        <v>3074</v>
      </c>
      <c r="G164" t="s">
        <v>1521</v>
      </c>
      <c r="H164" t="s">
        <v>381</v>
      </c>
      <c r="I164" t="s">
        <v>1285</v>
      </c>
      <c r="J164" t="s">
        <v>1170</v>
      </c>
      <c r="K164" t="s">
        <v>1167</v>
      </c>
      <c r="L164" t="s">
        <v>1522</v>
      </c>
      <c r="M164" t="s">
        <v>1523</v>
      </c>
      <c r="N164">
        <v>112500</v>
      </c>
      <c r="O164" s="1" t="s">
        <v>1336</v>
      </c>
      <c r="P164" t="s">
        <v>1524</v>
      </c>
      <c r="Q164" t="s">
        <v>1292</v>
      </c>
      <c r="S164" t="s">
        <v>1294</v>
      </c>
      <c r="T164" t="s">
        <v>3075</v>
      </c>
      <c r="U164">
        <v>519</v>
      </c>
      <c r="V164" t="s">
        <v>1526</v>
      </c>
    </row>
    <row r="165" spans="1:22" ht="30" x14ac:dyDescent="0.25">
      <c r="A165" t="s">
        <v>1871</v>
      </c>
      <c r="B165" s="1" t="s">
        <v>1520</v>
      </c>
      <c r="C165" s="1" t="s">
        <v>1530</v>
      </c>
      <c r="D165" s="1" t="s">
        <v>1288</v>
      </c>
      <c r="E165" s="1" t="s">
        <v>1649</v>
      </c>
      <c r="F165" t="s">
        <v>3076</v>
      </c>
      <c r="G165" t="s">
        <v>1521</v>
      </c>
      <c r="H165" t="s">
        <v>381</v>
      </c>
      <c r="I165" t="s">
        <v>1285</v>
      </c>
      <c r="J165" t="s">
        <v>1170</v>
      </c>
      <c r="K165" t="s">
        <v>1167</v>
      </c>
      <c r="L165" t="s">
        <v>1522</v>
      </c>
      <c r="M165" t="s">
        <v>1523</v>
      </c>
      <c r="N165">
        <v>112500</v>
      </c>
      <c r="O165" s="1" t="s">
        <v>1336</v>
      </c>
      <c r="P165" t="s">
        <v>1524</v>
      </c>
      <c r="Q165" t="s">
        <v>1292</v>
      </c>
      <c r="S165" t="s">
        <v>1294</v>
      </c>
      <c r="T165" t="s">
        <v>3077</v>
      </c>
      <c r="U165">
        <v>4798</v>
      </c>
      <c r="V165" t="s">
        <v>1526</v>
      </c>
    </row>
    <row r="166" spans="1:22" ht="30" x14ac:dyDescent="0.25">
      <c r="A166" t="s">
        <v>1871</v>
      </c>
      <c r="B166" s="1" t="s">
        <v>1520</v>
      </c>
      <c r="C166" s="1" t="s">
        <v>1530</v>
      </c>
      <c r="D166" s="1" t="s">
        <v>1288</v>
      </c>
      <c r="E166" s="1" t="s">
        <v>1649</v>
      </c>
      <c r="F166" t="s">
        <v>3078</v>
      </c>
      <c r="G166" t="s">
        <v>1521</v>
      </c>
      <c r="H166" t="s">
        <v>381</v>
      </c>
      <c r="I166" t="s">
        <v>1285</v>
      </c>
      <c r="J166" t="s">
        <v>1170</v>
      </c>
      <c r="K166" t="s">
        <v>1167</v>
      </c>
      <c r="L166" t="s">
        <v>1522</v>
      </c>
      <c r="M166" t="s">
        <v>1523</v>
      </c>
      <c r="N166">
        <v>112500</v>
      </c>
      <c r="O166" s="1" t="s">
        <v>1336</v>
      </c>
      <c r="P166" t="s">
        <v>1524</v>
      </c>
      <c r="Q166" t="s">
        <v>1292</v>
      </c>
      <c r="S166" t="s">
        <v>1294</v>
      </c>
      <c r="T166" t="s">
        <v>3079</v>
      </c>
      <c r="U166">
        <v>4110</v>
      </c>
      <c r="V166" t="s">
        <v>1526</v>
      </c>
    </row>
    <row r="167" spans="1:22" ht="30" x14ac:dyDescent="0.25">
      <c r="A167" t="s">
        <v>1871</v>
      </c>
      <c r="B167" s="1" t="s">
        <v>1520</v>
      </c>
      <c r="C167" s="1" t="s">
        <v>1530</v>
      </c>
      <c r="D167" s="1" t="s">
        <v>1288</v>
      </c>
      <c r="E167" s="1" t="s">
        <v>1649</v>
      </c>
      <c r="F167" t="s">
        <v>3080</v>
      </c>
      <c r="G167" t="s">
        <v>1521</v>
      </c>
      <c r="H167" t="s">
        <v>381</v>
      </c>
      <c r="I167" t="s">
        <v>1285</v>
      </c>
      <c r="J167" t="s">
        <v>1170</v>
      </c>
      <c r="K167" t="s">
        <v>1167</v>
      </c>
      <c r="L167" t="s">
        <v>1522</v>
      </c>
      <c r="M167" t="s">
        <v>1523</v>
      </c>
      <c r="N167">
        <v>112500</v>
      </c>
      <c r="O167" s="1" t="s">
        <v>1336</v>
      </c>
      <c r="P167" t="s">
        <v>1524</v>
      </c>
      <c r="Q167" t="s">
        <v>1292</v>
      </c>
      <c r="S167" t="s">
        <v>1294</v>
      </c>
      <c r="T167" t="s">
        <v>3081</v>
      </c>
      <c r="U167">
        <v>169</v>
      </c>
      <c r="V167" t="s">
        <v>1526</v>
      </c>
    </row>
    <row r="168" spans="1:22" ht="30" x14ac:dyDescent="0.25">
      <c r="A168" t="s">
        <v>1871</v>
      </c>
      <c r="B168" s="1" t="s">
        <v>1520</v>
      </c>
      <c r="C168" s="1" t="s">
        <v>1530</v>
      </c>
      <c r="D168" s="1" t="s">
        <v>1288</v>
      </c>
      <c r="E168" s="1" t="s">
        <v>1649</v>
      </c>
      <c r="F168" t="s">
        <v>3082</v>
      </c>
      <c r="G168" t="s">
        <v>1521</v>
      </c>
      <c r="H168" t="s">
        <v>381</v>
      </c>
      <c r="I168" t="s">
        <v>1285</v>
      </c>
      <c r="J168" t="s">
        <v>1170</v>
      </c>
      <c r="K168" t="s">
        <v>1167</v>
      </c>
      <c r="L168" t="s">
        <v>1522</v>
      </c>
      <c r="M168" t="s">
        <v>1523</v>
      </c>
      <c r="N168">
        <v>112500</v>
      </c>
      <c r="O168" s="1" t="s">
        <v>1336</v>
      </c>
      <c r="P168" t="s">
        <v>1524</v>
      </c>
      <c r="Q168" t="s">
        <v>1292</v>
      </c>
      <c r="S168" t="s">
        <v>1294</v>
      </c>
      <c r="T168" t="s">
        <v>3083</v>
      </c>
      <c r="U168">
        <v>60360</v>
      </c>
      <c r="V168" t="s">
        <v>1526</v>
      </c>
    </row>
    <row r="169" spans="1:22" ht="30" x14ac:dyDescent="0.25">
      <c r="A169" t="s">
        <v>1871</v>
      </c>
      <c r="B169" s="1" t="s">
        <v>1520</v>
      </c>
      <c r="C169" s="1" t="s">
        <v>1530</v>
      </c>
      <c r="D169" s="1" t="s">
        <v>1288</v>
      </c>
      <c r="E169" s="1" t="s">
        <v>1649</v>
      </c>
      <c r="F169" t="s">
        <v>3084</v>
      </c>
      <c r="G169" t="s">
        <v>1521</v>
      </c>
      <c r="H169" t="s">
        <v>381</v>
      </c>
      <c r="I169" t="s">
        <v>1285</v>
      </c>
      <c r="J169" t="s">
        <v>1170</v>
      </c>
      <c r="K169" t="s">
        <v>1167</v>
      </c>
      <c r="L169" t="s">
        <v>1522</v>
      </c>
      <c r="M169" t="s">
        <v>1523</v>
      </c>
      <c r="N169">
        <v>112500</v>
      </c>
      <c r="O169" s="1" t="s">
        <v>1336</v>
      </c>
      <c r="P169" t="s">
        <v>1524</v>
      </c>
      <c r="Q169" t="s">
        <v>1292</v>
      </c>
      <c r="S169" t="s">
        <v>1294</v>
      </c>
      <c r="T169" t="s">
        <v>3085</v>
      </c>
      <c r="U169">
        <v>391</v>
      </c>
      <c r="V169" t="s">
        <v>1526</v>
      </c>
    </row>
    <row r="170" spans="1:22" ht="30" x14ac:dyDescent="0.25">
      <c r="A170" t="s">
        <v>1871</v>
      </c>
      <c r="B170" s="1" t="s">
        <v>1520</v>
      </c>
      <c r="C170" s="1" t="s">
        <v>1530</v>
      </c>
      <c r="D170" s="1" t="s">
        <v>1288</v>
      </c>
      <c r="E170" s="1" t="s">
        <v>1649</v>
      </c>
      <c r="F170" t="s">
        <v>3086</v>
      </c>
      <c r="G170" t="s">
        <v>1521</v>
      </c>
      <c r="H170" t="s">
        <v>381</v>
      </c>
      <c r="I170" t="s">
        <v>1285</v>
      </c>
      <c r="J170" t="s">
        <v>1170</v>
      </c>
      <c r="K170" t="s">
        <v>1167</v>
      </c>
      <c r="L170" t="s">
        <v>1522</v>
      </c>
      <c r="M170" t="s">
        <v>1523</v>
      </c>
      <c r="N170">
        <v>112500</v>
      </c>
      <c r="O170" s="1" t="s">
        <v>1336</v>
      </c>
      <c r="P170" t="s">
        <v>1524</v>
      </c>
      <c r="Q170" t="s">
        <v>1292</v>
      </c>
      <c r="S170" t="s">
        <v>1294</v>
      </c>
      <c r="T170" t="s">
        <v>3087</v>
      </c>
      <c r="U170">
        <v>335</v>
      </c>
      <c r="V170" t="s">
        <v>1526</v>
      </c>
    </row>
    <row r="171" spans="1:22" ht="30" x14ac:dyDescent="0.25">
      <c r="A171" t="s">
        <v>1871</v>
      </c>
      <c r="B171" s="1" t="s">
        <v>1520</v>
      </c>
      <c r="C171" s="1" t="s">
        <v>1530</v>
      </c>
      <c r="D171" s="1" t="s">
        <v>1288</v>
      </c>
      <c r="E171" s="1" t="s">
        <v>1393</v>
      </c>
      <c r="F171" t="s">
        <v>3088</v>
      </c>
      <c r="G171" t="s">
        <v>1521</v>
      </c>
      <c r="H171" t="s">
        <v>381</v>
      </c>
      <c r="I171" t="s">
        <v>1285</v>
      </c>
      <c r="J171" t="s">
        <v>1170</v>
      </c>
      <c r="K171" t="s">
        <v>1167</v>
      </c>
      <c r="L171" t="s">
        <v>1522</v>
      </c>
      <c r="M171" t="s">
        <v>1523</v>
      </c>
      <c r="N171">
        <v>112500</v>
      </c>
      <c r="O171" s="1" t="s">
        <v>1336</v>
      </c>
      <c r="P171" t="s">
        <v>1524</v>
      </c>
      <c r="Q171" t="s">
        <v>1292</v>
      </c>
      <c r="S171" t="s">
        <v>1294</v>
      </c>
      <c r="T171" t="s">
        <v>3089</v>
      </c>
      <c r="U171">
        <v>2553</v>
      </c>
      <c r="V171" t="s">
        <v>1526</v>
      </c>
    </row>
    <row r="172" spans="1:22" ht="30" x14ac:dyDescent="0.25">
      <c r="A172" t="s">
        <v>1871</v>
      </c>
      <c r="B172" s="1" t="s">
        <v>1520</v>
      </c>
      <c r="C172" s="1" t="s">
        <v>1530</v>
      </c>
      <c r="D172" s="1" t="s">
        <v>1288</v>
      </c>
      <c r="E172" s="1" t="s">
        <v>1316</v>
      </c>
      <c r="F172" t="s">
        <v>3128</v>
      </c>
      <c r="G172" t="s">
        <v>1521</v>
      </c>
      <c r="H172" t="s">
        <v>381</v>
      </c>
      <c r="I172" t="s">
        <v>1285</v>
      </c>
      <c r="J172" t="s">
        <v>1170</v>
      </c>
      <c r="K172" t="s">
        <v>1167</v>
      </c>
      <c r="L172" t="s">
        <v>1522</v>
      </c>
      <c r="M172" t="s">
        <v>1523</v>
      </c>
      <c r="N172">
        <v>112500</v>
      </c>
      <c r="O172" s="1" t="s">
        <v>1336</v>
      </c>
      <c r="P172" t="s">
        <v>1524</v>
      </c>
      <c r="Q172" t="s">
        <v>1292</v>
      </c>
      <c r="S172" t="s">
        <v>1294</v>
      </c>
      <c r="T172" t="s">
        <v>3129</v>
      </c>
      <c r="U172">
        <v>462</v>
      </c>
      <c r="V172" t="s">
        <v>1564</v>
      </c>
    </row>
    <row r="173" spans="1:22" ht="30" x14ac:dyDescent="0.25">
      <c r="A173" t="s">
        <v>1871</v>
      </c>
      <c r="B173" s="1" t="s">
        <v>1520</v>
      </c>
      <c r="C173" s="1" t="s">
        <v>1530</v>
      </c>
      <c r="D173" s="1" t="s">
        <v>1288</v>
      </c>
      <c r="E173" s="1" t="s">
        <v>1374</v>
      </c>
      <c r="F173" t="s">
        <v>3132</v>
      </c>
      <c r="G173" t="s">
        <v>1521</v>
      </c>
      <c r="H173" t="s">
        <v>381</v>
      </c>
      <c r="I173" t="s">
        <v>1285</v>
      </c>
      <c r="J173" t="s">
        <v>1170</v>
      </c>
      <c r="K173" t="s">
        <v>1167</v>
      </c>
      <c r="L173" t="s">
        <v>1522</v>
      </c>
      <c r="M173" t="s">
        <v>1523</v>
      </c>
      <c r="N173">
        <v>112500</v>
      </c>
      <c r="O173" s="1" t="s">
        <v>1336</v>
      </c>
      <c r="P173" t="s">
        <v>1524</v>
      </c>
      <c r="Q173" t="s">
        <v>1292</v>
      </c>
      <c r="S173" t="s">
        <v>1294</v>
      </c>
      <c r="T173" t="s">
        <v>3133</v>
      </c>
      <c r="U173">
        <v>3589</v>
      </c>
      <c r="V173" t="s">
        <v>1564</v>
      </c>
    </row>
    <row r="174" spans="1:22" ht="30" x14ac:dyDescent="0.25">
      <c r="A174" t="s">
        <v>1871</v>
      </c>
      <c r="B174" s="1" t="s">
        <v>1520</v>
      </c>
      <c r="C174" s="1" t="s">
        <v>1530</v>
      </c>
      <c r="D174" s="1" t="s">
        <v>1288</v>
      </c>
      <c r="E174" s="1" t="s">
        <v>1316</v>
      </c>
      <c r="F174" t="s">
        <v>3146</v>
      </c>
      <c r="G174" t="s">
        <v>1521</v>
      </c>
      <c r="H174" t="s">
        <v>381</v>
      </c>
      <c r="I174" t="s">
        <v>1285</v>
      </c>
      <c r="J174" t="s">
        <v>1170</v>
      </c>
      <c r="K174" t="s">
        <v>1167</v>
      </c>
      <c r="L174" t="s">
        <v>1522</v>
      </c>
      <c r="M174" t="s">
        <v>1523</v>
      </c>
      <c r="N174">
        <v>112500</v>
      </c>
      <c r="O174" s="1" t="s">
        <v>1336</v>
      </c>
      <c r="P174" t="s">
        <v>1524</v>
      </c>
      <c r="Q174" t="s">
        <v>1292</v>
      </c>
      <c r="S174" t="s">
        <v>1294</v>
      </c>
      <c r="T174" t="s">
        <v>3147</v>
      </c>
      <c r="U174">
        <v>3647</v>
      </c>
      <c r="V174" t="s">
        <v>1564</v>
      </c>
    </row>
    <row r="175" spans="1:22" ht="30" x14ac:dyDescent="0.25">
      <c r="A175" t="s">
        <v>1871</v>
      </c>
      <c r="B175" s="1" t="s">
        <v>1520</v>
      </c>
      <c r="C175" s="1" t="s">
        <v>1530</v>
      </c>
      <c r="D175" s="1" t="s">
        <v>1288</v>
      </c>
      <c r="E175" s="1" t="s">
        <v>1393</v>
      </c>
      <c r="F175" t="s">
        <v>3146</v>
      </c>
      <c r="G175" t="s">
        <v>1521</v>
      </c>
      <c r="H175" t="s">
        <v>381</v>
      </c>
      <c r="I175" t="s">
        <v>1285</v>
      </c>
      <c r="J175" t="s">
        <v>1170</v>
      </c>
      <c r="K175" t="s">
        <v>1167</v>
      </c>
      <c r="L175" t="s">
        <v>1522</v>
      </c>
      <c r="M175" t="s">
        <v>1523</v>
      </c>
      <c r="N175">
        <v>112500</v>
      </c>
      <c r="O175" s="1" t="s">
        <v>1336</v>
      </c>
      <c r="P175" t="s">
        <v>1524</v>
      </c>
      <c r="Q175" t="s">
        <v>1292</v>
      </c>
      <c r="S175" t="s">
        <v>1294</v>
      </c>
      <c r="T175" t="s">
        <v>3148</v>
      </c>
      <c r="U175">
        <v>5300</v>
      </c>
      <c r="V175" t="s">
        <v>1526</v>
      </c>
    </row>
    <row r="176" spans="1:22" ht="30" x14ac:dyDescent="0.25">
      <c r="A176" t="s">
        <v>1871</v>
      </c>
      <c r="B176" s="1" t="s">
        <v>1520</v>
      </c>
      <c r="C176" s="1" t="s">
        <v>1530</v>
      </c>
      <c r="D176" s="1" t="s">
        <v>1288</v>
      </c>
      <c r="E176" s="1" t="s">
        <v>1374</v>
      </c>
      <c r="F176" t="s">
        <v>3149</v>
      </c>
      <c r="G176" t="s">
        <v>1521</v>
      </c>
      <c r="H176" t="s">
        <v>381</v>
      </c>
      <c r="I176" t="s">
        <v>1285</v>
      </c>
      <c r="J176" t="s">
        <v>1170</v>
      </c>
      <c r="K176" t="s">
        <v>1167</v>
      </c>
      <c r="L176" t="s">
        <v>1522</v>
      </c>
      <c r="M176" t="s">
        <v>1523</v>
      </c>
      <c r="N176">
        <v>112500</v>
      </c>
      <c r="O176" s="1" t="s">
        <v>1336</v>
      </c>
      <c r="P176" t="s">
        <v>1524</v>
      </c>
      <c r="Q176" t="s">
        <v>1292</v>
      </c>
      <c r="S176" t="s">
        <v>1294</v>
      </c>
      <c r="T176" t="s">
        <v>3150</v>
      </c>
      <c r="U176">
        <v>2187</v>
      </c>
      <c r="V176" t="s">
        <v>1526</v>
      </c>
    </row>
    <row r="177" spans="1:22" ht="30" x14ac:dyDescent="0.25">
      <c r="A177" t="s">
        <v>1871</v>
      </c>
      <c r="B177" s="1" t="s">
        <v>1520</v>
      </c>
      <c r="C177" s="1" t="s">
        <v>1530</v>
      </c>
      <c r="D177" s="1" t="s">
        <v>1288</v>
      </c>
      <c r="E177" s="1" t="s">
        <v>1350</v>
      </c>
      <c r="F177" t="s">
        <v>3155</v>
      </c>
      <c r="G177" t="s">
        <v>1521</v>
      </c>
      <c r="H177" t="s">
        <v>381</v>
      </c>
      <c r="I177" t="s">
        <v>1285</v>
      </c>
      <c r="J177" t="s">
        <v>1170</v>
      </c>
      <c r="K177" t="s">
        <v>1167</v>
      </c>
      <c r="L177" t="s">
        <v>1522</v>
      </c>
      <c r="M177" t="s">
        <v>1523</v>
      </c>
      <c r="N177">
        <v>112500</v>
      </c>
      <c r="O177" s="1" t="s">
        <v>1336</v>
      </c>
      <c r="P177" t="s">
        <v>1524</v>
      </c>
      <c r="Q177" t="s">
        <v>1292</v>
      </c>
      <c r="S177" t="s">
        <v>1294</v>
      </c>
      <c r="T177" t="s">
        <v>3156</v>
      </c>
      <c r="U177">
        <v>2952</v>
      </c>
      <c r="V177" t="s">
        <v>1526</v>
      </c>
    </row>
    <row r="178" spans="1:22" ht="30" x14ac:dyDescent="0.25">
      <c r="A178" t="s">
        <v>1871</v>
      </c>
      <c r="B178" s="1" t="s">
        <v>1520</v>
      </c>
      <c r="C178" s="1" t="s">
        <v>1530</v>
      </c>
      <c r="D178" s="1" t="s">
        <v>1288</v>
      </c>
      <c r="E178" s="1" t="s">
        <v>1374</v>
      </c>
      <c r="F178" t="s">
        <v>3161</v>
      </c>
      <c r="G178" t="s">
        <v>1521</v>
      </c>
      <c r="H178" t="s">
        <v>381</v>
      </c>
      <c r="I178" t="s">
        <v>1285</v>
      </c>
      <c r="J178" t="s">
        <v>1170</v>
      </c>
      <c r="K178" t="s">
        <v>1167</v>
      </c>
      <c r="L178" t="s">
        <v>1522</v>
      </c>
      <c r="M178" t="s">
        <v>1523</v>
      </c>
      <c r="N178">
        <v>112500</v>
      </c>
      <c r="O178" s="1" t="s">
        <v>1336</v>
      </c>
      <c r="P178" t="s">
        <v>1524</v>
      </c>
      <c r="Q178" t="s">
        <v>1292</v>
      </c>
      <c r="S178" t="s">
        <v>1294</v>
      </c>
      <c r="T178" t="s">
        <v>3162</v>
      </c>
      <c r="U178">
        <v>3204</v>
      </c>
      <c r="V178" t="s">
        <v>1526</v>
      </c>
    </row>
    <row r="179" spans="1:22" ht="30" x14ac:dyDescent="0.25">
      <c r="A179" t="s">
        <v>1871</v>
      </c>
      <c r="B179" s="1" t="s">
        <v>1520</v>
      </c>
      <c r="C179" s="1" t="s">
        <v>1530</v>
      </c>
      <c r="D179" s="1" t="s">
        <v>1288</v>
      </c>
      <c r="E179" s="1" t="s">
        <v>1374</v>
      </c>
      <c r="F179" t="s">
        <v>3163</v>
      </c>
      <c r="G179" t="s">
        <v>1521</v>
      </c>
      <c r="H179" t="s">
        <v>381</v>
      </c>
      <c r="I179" t="s">
        <v>1285</v>
      </c>
      <c r="J179" t="s">
        <v>1170</v>
      </c>
      <c r="K179" t="s">
        <v>1167</v>
      </c>
      <c r="L179" t="s">
        <v>1522</v>
      </c>
      <c r="M179" t="s">
        <v>1523</v>
      </c>
      <c r="N179">
        <v>112500</v>
      </c>
      <c r="O179" s="1" t="s">
        <v>1336</v>
      </c>
      <c r="P179" t="s">
        <v>1524</v>
      </c>
      <c r="Q179" t="s">
        <v>1292</v>
      </c>
      <c r="S179" t="s">
        <v>1294</v>
      </c>
      <c r="T179" t="s">
        <v>3164</v>
      </c>
      <c r="U179">
        <v>1176</v>
      </c>
      <c r="V179" t="s">
        <v>1526</v>
      </c>
    </row>
    <row r="180" spans="1:22" ht="30" x14ac:dyDescent="0.25">
      <c r="A180" t="s">
        <v>1871</v>
      </c>
      <c r="B180" s="1" t="s">
        <v>1520</v>
      </c>
      <c r="C180" s="1" t="s">
        <v>1530</v>
      </c>
      <c r="D180" s="1" t="s">
        <v>1288</v>
      </c>
      <c r="E180" s="1" t="s">
        <v>1293</v>
      </c>
      <c r="F180" t="s">
        <v>3165</v>
      </c>
      <c r="G180" t="s">
        <v>1521</v>
      </c>
      <c r="H180" t="s">
        <v>381</v>
      </c>
      <c r="I180" t="s">
        <v>1285</v>
      </c>
      <c r="J180" t="s">
        <v>1170</v>
      </c>
      <c r="K180" t="s">
        <v>1167</v>
      </c>
      <c r="L180" t="s">
        <v>1522</v>
      </c>
      <c r="M180" t="s">
        <v>1523</v>
      </c>
      <c r="N180">
        <v>112500</v>
      </c>
      <c r="O180" s="1" t="s">
        <v>1336</v>
      </c>
      <c r="P180" t="s">
        <v>1524</v>
      </c>
      <c r="Q180" t="s">
        <v>1292</v>
      </c>
      <c r="S180" t="s">
        <v>1294</v>
      </c>
      <c r="T180" t="s">
        <v>3166</v>
      </c>
      <c r="U180">
        <v>1615</v>
      </c>
      <c r="V180" t="s">
        <v>1526</v>
      </c>
    </row>
    <row r="181" spans="1:22" ht="30" x14ac:dyDescent="0.25">
      <c r="A181" t="s">
        <v>1871</v>
      </c>
      <c r="B181" s="1" t="s">
        <v>1520</v>
      </c>
      <c r="C181" s="1" t="s">
        <v>1530</v>
      </c>
      <c r="D181" s="1" t="s">
        <v>1288</v>
      </c>
      <c r="E181" s="1" t="s">
        <v>1374</v>
      </c>
      <c r="F181" t="s">
        <v>3167</v>
      </c>
      <c r="G181" t="s">
        <v>1521</v>
      </c>
      <c r="H181" t="s">
        <v>381</v>
      </c>
      <c r="I181" t="s">
        <v>1285</v>
      </c>
      <c r="J181" t="s">
        <v>1170</v>
      </c>
      <c r="K181" t="s">
        <v>1167</v>
      </c>
      <c r="L181" t="s">
        <v>1522</v>
      </c>
      <c r="M181" t="s">
        <v>1523</v>
      </c>
      <c r="N181">
        <v>112500</v>
      </c>
      <c r="O181" s="1" t="s">
        <v>1336</v>
      </c>
      <c r="P181" t="s">
        <v>1524</v>
      </c>
      <c r="Q181" t="s">
        <v>1292</v>
      </c>
      <c r="S181" t="s">
        <v>1294</v>
      </c>
      <c r="T181" t="s">
        <v>3168</v>
      </c>
      <c r="U181">
        <v>49</v>
      </c>
      <c r="V181" t="s">
        <v>1564</v>
      </c>
    </row>
    <row r="182" spans="1:22" ht="30" x14ac:dyDescent="0.25">
      <c r="A182" t="s">
        <v>1871</v>
      </c>
      <c r="B182" s="1" t="s">
        <v>1520</v>
      </c>
      <c r="C182" s="1" t="s">
        <v>1530</v>
      </c>
      <c r="D182" s="1" t="s">
        <v>1288</v>
      </c>
      <c r="E182" s="1" t="s">
        <v>1374</v>
      </c>
      <c r="F182" t="s">
        <v>3169</v>
      </c>
      <c r="G182" t="s">
        <v>1521</v>
      </c>
      <c r="H182" t="s">
        <v>381</v>
      </c>
      <c r="I182" t="s">
        <v>1285</v>
      </c>
      <c r="J182" t="s">
        <v>1170</v>
      </c>
      <c r="K182" t="s">
        <v>1167</v>
      </c>
      <c r="L182" t="s">
        <v>1522</v>
      </c>
      <c r="M182" t="s">
        <v>1523</v>
      </c>
      <c r="N182">
        <v>112500</v>
      </c>
      <c r="O182" s="1" t="s">
        <v>1336</v>
      </c>
      <c r="P182" t="s">
        <v>1524</v>
      </c>
      <c r="Q182" t="s">
        <v>1292</v>
      </c>
      <c r="S182" t="s">
        <v>1294</v>
      </c>
      <c r="T182" t="s">
        <v>3170</v>
      </c>
      <c r="U182">
        <v>2763</v>
      </c>
      <c r="V182" t="s">
        <v>1526</v>
      </c>
    </row>
    <row r="183" spans="1:22" ht="30" x14ac:dyDescent="0.25">
      <c r="A183" t="s">
        <v>1871</v>
      </c>
      <c r="B183" s="1" t="s">
        <v>1520</v>
      </c>
      <c r="C183" s="1" t="s">
        <v>1530</v>
      </c>
      <c r="D183" s="1" t="s">
        <v>1288</v>
      </c>
      <c r="E183" s="1" t="s">
        <v>1293</v>
      </c>
      <c r="F183" t="s">
        <v>3171</v>
      </c>
      <c r="G183" t="s">
        <v>1521</v>
      </c>
      <c r="H183" t="s">
        <v>381</v>
      </c>
      <c r="I183" t="s">
        <v>1285</v>
      </c>
      <c r="J183" t="s">
        <v>1170</v>
      </c>
      <c r="K183" t="s">
        <v>1167</v>
      </c>
      <c r="L183" t="s">
        <v>1522</v>
      </c>
      <c r="M183" t="s">
        <v>1523</v>
      </c>
      <c r="N183">
        <v>112500</v>
      </c>
      <c r="O183" s="1" t="s">
        <v>1336</v>
      </c>
      <c r="P183" t="s">
        <v>1524</v>
      </c>
      <c r="Q183" t="s">
        <v>1292</v>
      </c>
      <c r="S183" t="s">
        <v>1294</v>
      </c>
      <c r="T183" t="s">
        <v>3172</v>
      </c>
      <c r="U183">
        <v>9964</v>
      </c>
      <c r="V183" t="s">
        <v>1526</v>
      </c>
    </row>
    <row r="184" spans="1:22" ht="30" x14ac:dyDescent="0.25">
      <c r="A184" t="s">
        <v>1871</v>
      </c>
      <c r="B184" s="1" t="s">
        <v>1520</v>
      </c>
      <c r="C184" s="1" t="s">
        <v>1530</v>
      </c>
      <c r="D184" s="1" t="s">
        <v>1288</v>
      </c>
      <c r="E184" s="1" t="s">
        <v>1293</v>
      </c>
      <c r="F184" t="s">
        <v>3173</v>
      </c>
      <c r="G184" t="s">
        <v>1521</v>
      </c>
      <c r="H184" t="s">
        <v>381</v>
      </c>
      <c r="I184" t="s">
        <v>1285</v>
      </c>
      <c r="J184" t="s">
        <v>1170</v>
      </c>
      <c r="K184" t="s">
        <v>1167</v>
      </c>
      <c r="L184" t="s">
        <v>1522</v>
      </c>
      <c r="M184" t="s">
        <v>1523</v>
      </c>
      <c r="N184">
        <v>112500</v>
      </c>
      <c r="O184" s="1" t="s">
        <v>1336</v>
      </c>
      <c r="P184" t="s">
        <v>1524</v>
      </c>
      <c r="Q184" t="s">
        <v>1292</v>
      </c>
      <c r="S184" t="s">
        <v>1294</v>
      </c>
      <c r="T184" t="s">
        <v>3174</v>
      </c>
      <c r="U184">
        <v>7139</v>
      </c>
      <c r="V184" t="s">
        <v>1526</v>
      </c>
    </row>
    <row r="185" spans="1:22" ht="30" x14ac:dyDescent="0.25">
      <c r="A185" t="s">
        <v>1871</v>
      </c>
      <c r="B185" s="1" t="s">
        <v>1520</v>
      </c>
      <c r="C185" s="1" t="s">
        <v>1530</v>
      </c>
      <c r="D185" s="1" t="s">
        <v>1288</v>
      </c>
      <c r="E185" s="1" t="s">
        <v>1316</v>
      </c>
      <c r="F185" t="s">
        <v>3175</v>
      </c>
      <c r="G185" t="s">
        <v>1521</v>
      </c>
      <c r="H185" t="s">
        <v>381</v>
      </c>
      <c r="I185" t="s">
        <v>1285</v>
      </c>
      <c r="J185" t="s">
        <v>1170</v>
      </c>
      <c r="K185" t="s">
        <v>1167</v>
      </c>
      <c r="L185" t="s">
        <v>1522</v>
      </c>
      <c r="M185" t="s">
        <v>1523</v>
      </c>
      <c r="N185">
        <v>112500</v>
      </c>
      <c r="O185" s="1" t="s">
        <v>1336</v>
      </c>
      <c r="P185" t="s">
        <v>1524</v>
      </c>
      <c r="Q185" t="s">
        <v>1292</v>
      </c>
      <c r="S185" t="s">
        <v>1294</v>
      </c>
      <c r="T185" t="s">
        <v>3176</v>
      </c>
      <c r="U185">
        <v>1797</v>
      </c>
      <c r="V185" t="s">
        <v>1526</v>
      </c>
    </row>
    <row r="186" spans="1:22" ht="30" x14ac:dyDescent="0.25">
      <c r="A186" t="s">
        <v>1871</v>
      </c>
      <c r="B186" s="1" t="s">
        <v>1520</v>
      </c>
      <c r="C186" s="1" t="s">
        <v>1530</v>
      </c>
      <c r="D186" s="1" t="s">
        <v>1288</v>
      </c>
      <c r="E186" s="1" t="s">
        <v>1293</v>
      </c>
      <c r="F186" t="s">
        <v>3177</v>
      </c>
      <c r="G186" t="s">
        <v>1521</v>
      </c>
      <c r="H186" t="s">
        <v>381</v>
      </c>
      <c r="I186" t="s">
        <v>1285</v>
      </c>
      <c r="J186" t="s">
        <v>1170</v>
      </c>
      <c r="K186" t="s">
        <v>1167</v>
      </c>
      <c r="L186" t="s">
        <v>1522</v>
      </c>
      <c r="M186" t="s">
        <v>1523</v>
      </c>
      <c r="N186">
        <v>112500</v>
      </c>
      <c r="O186" s="1" t="s">
        <v>1336</v>
      </c>
      <c r="P186" t="s">
        <v>1524</v>
      </c>
      <c r="Q186" t="s">
        <v>1292</v>
      </c>
      <c r="S186" t="s">
        <v>1294</v>
      </c>
      <c r="T186" t="s">
        <v>3178</v>
      </c>
      <c r="U186">
        <v>3503</v>
      </c>
      <c r="V186" t="s">
        <v>1526</v>
      </c>
    </row>
    <row r="187" spans="1:22" ht="30" x14ac:dyDescent="0.25">
      <c r="A187" t="s">
        <v>1871</v>
      </c>
      <c r="B187" s="1" t="s">
        <v>1520</v>
      </c>
      <c r="C187" s="1" t="s">
        <v>1530</v>
      </c>
      <c r="D187" s="1" t="s">
        <v>1288</v>
      </c>
      <c r="E187" s="1" t="s">
        <v>1293</v>
      </c>
      <c r="F187" t="s">
        <v>3179</v>
      </c>
      <c r="G187" t="s">
        <v>1521</v>
      </c>
      <c r="H187" t="s">
        <v>381</v>
      </c>
      <c r="I187" t="s">
        <v>1285</v>
      </c>
      <c r="J187" t="s">
        <v>1170</v>
      </c>
      <c r="K187" t="s">
        <v>1167</v>
      </c>
      <c r="L187" t="s">
        <v>1522</v>
      </c>
      <c r="M187" t="s">
        <v>1523</v>
      </c>
      <c r="N187">
        <v>112500</v>
      </c>
      <c r="O187" s="1" t="s">
        <v>1336</v>
      </c>
      <c r="P187" t="s">
        <v>1524</v>
      </c>
      <c r="Q187" t="s">
        <v>1292</v>
      </c>
      <c r="S187" t="s">
        <v>1294</v>
      </c>
      <c r="T187" t="s">
        <v>1296</v>
      </c>
      <c r="U187">
        <v>0</v>
      </c>
      <c r="V187" t="s">
        <v>1526</v>
      </c>
    </row>
    <row r="188" spans="1:22" ht="30" x14ac:dyDescent="0.25">
      <c r="A188" t="s">
        <v>1871</v>
      </c>
      <c r="B188" s="1" t="s">
        <v>1520</v>
      </c>
      <c r="C188" s="1" t="s">
        <v>1530</v>
      </c>
      <c r="D188" s="1" t="s">
        <v>1288</v>
      </c>
      <c r="E188" s="1" t="s">
        <v>1350</v>
      </c>
      <c r="F188" t="s">
        <v>3187</v>
      </c>
      <c r="G188" t="s">
        <v>1521</v>
      </c>
      <c r="H188" t="s">
        <v>381</v>
      </c>
      <c r="I188" t="s">
        <v>1285</v>
      </c>
      <c r="J188" t="s">
        <v>1170</v>
      </c>
      <c r="K188" t="s">
        <v>1167</v>
      </c>
      <c r="L188" t="s">
        <v>1522</v>
      </c>
      <c r="M188" t="s">
        <v>1523</v>
      </c>
      <c r="N188">
        <v>112500</v>
      </c>
      <c r="O188" s="1" t="s">
        <v>1336</v>
      </c>
      <c r="P188" t="s">
        <v>1524</v>
      </c>
      <c r="Q188" t="s">
        <v>1292</v>
      </c>
      <c r="S188" t="s">
        <v>1294</v>
      </c>
      <c r="T188" t="s">
        <v>3188</v>
      </c>
      <c r="U188">
        <v>3037</v>
      </c>
      <c r="V188" t="s">
        <v>1564</v>
      </c>
    </row>
    <row r="189" spans="1:22" ht="30" x14ac:dyDescent="0.25">
      <c r="A189" t="s">
        <v>1871</v>
      </c>
      <c r="B189" s="1" t="s">
        <v>1520</v>
      </c>
      <c r="C189" s="1" t="s">
        <v>1530</v>
      </c>
      <c r="D189" s="1" t="s">
        <v>1288</v>
      </c>
      <c r="E189" s="1" t="s">
        <v>1350</v>
      </c>
      <c r="F189" t="s">
        <v>3189</v>
      </c>
      <c r="G189" t="s">
        <v>1521</v>
      </c>
      <c r="H189" t="s">
        <v>381</v>
      </c>
      <c r="I189" t="s">
        <v>1285</v>
      </c>
      <c r="J189" t="s">
        <v>1170</v>
      </c>
      <c r="K189" t="s">
        <v>1167</v>
      </c>
      <c r="L189" t="s">
        <v>1522</v>
      </c>
      <c r="M189" t="s">
        <v>1523</v>
      </c>
      <c r="N189">
        <v>112500</v>
      </c>
      <c r="O189" s="1" t="s">
        <v>1336</v>
      </c>
      <c r="P189" t="s">
        <v>1524</v>
      </c>
      <c r="Q189" t="s">
        <v>1292</v>
      </c>
      <c r="S189" t="s">
        <v>1294</v>
      </c>
      <c r="T189" t="s">
        <v>3190</v>
      </c>
      <c r="U189">
        <v>975</v>
      </c>
      <c r="V189" t="s">
        <v>1564</v>
      </c>
    </row>
    <row r="190" spans="1:22" ht="30" x14ac:dyDescent="0.25">
      <c r="A190" t="s">
        <v>1871</v>
      </c>
      <c r="B190" s="1" t="s">
        <v>1520</v>
      </c>
      <c r="C190" s="1" t="s">
        <v>1530</v>
      </c>
      <c r="D190" s="1" t="s">
        <v>1288</v>
      </c>
      <c r="E190" s="1" t="s">
        <v>1350</v>
      </c>
      <c r="F190" t="s">
        <v>3197</v>
      </c>
      <c r="G190" t="s">
        <v>1521</v>
      </c>
      <c r="H190" t="s">
        <v>381</v>
      </c>
      <c r="I190" t="s">
        <v>1285</v>
      </c>
      <c r="J190" t="s">
        <v>1170</v>
      </c>
      <c r="K190" t="s">
        <v>1167</v>
      </c>
      <c r="L190" t="s">
        <v>1522</v>
      </c>
      <c r="M190" t="s">
        <v>1523</v>
      </c>
      <c r="N190">
        <v>112500</v>
      </c>
      <c r="O190" s="1" t="s">
        <v>1336</v>
      </c>
      <c r="P190" t="s">
        <v>1524</v>
      </c>
      <c r="Q190" t="s">
        <v>1292</v>
      </c>
      <c r="S190" t="s">
        <v>1294</v>
      </c>
      <c r="T190" t="s">
        <v>3198</v>
      </c>
      <c r="U190">
        <v>3463</v>
      </c>
      <c r="V190" t="s">
        <v>1526</v>
      </c>
    </row>
    <row r="191" spans="1:22" ht="30" x14ac:dyDescent="0.25">
      <c r="A191" t="s">
        <v>1871</v>
      </c>
      <c r="B191" s="1" t="s">
        <v>1520</v>
      </c>
      <c r="C191" s="1" t="s">
        <v>1530</v>
      </c>
      <c r="D191" s="1" t="s">
        <v>1288</v>
      </c>
      <c r="E191" s="1" t="s">
        <v>1350</v>
      </c>
      <c r="F191" t="s">
        <v>3203</v>
      </c>
      <c r="G191" t="s">
        <v>1521</v>
      </c>
      <c r="H191" t="s">
        <v>381</v>
      </c>
      <c r="I191" t="s">
        <v>1285</v>
      </c>
      <c r="J191" t="s">
        <v>1170</v>
      </c>
      <c r="K191" t="s">
        <v>1167</v>
      </c>
      <c r="L191" t="s">
        <v>1522</v>
      </c>
      <c r="M191" t="s">
        <v>1523</v>
      </c>
      <c r="N191">
        <v>112500</v>
      </c>
      <c r="O191" s="1" t="s">
        <v>1336</v>
      </c>
      <c r="P191" t="s">
        <v>1524</v>
      </c>
      <c r="Q191" t="s">
        <v>1292</v>
      </c>
      <c r="S191" t="s">
        <v>1294</v>
      </c>
      <c r="T191" t="s">
        <v>3204</v>
      </c>
      <c r="U191">
        <v>3084</v>
      </c>
      <c r="V191" t="s">
        <v>1526</v>
      </c>
    </row>
    <row r="192" spans="1:22" ht="30" x14ac:dyDescent="0.25">
      <c r="A192" t="s">
        <v>1871</v>
      </c>
      <c r="B192" s="1" t="s">
        <v>1520</v>
      </c>
      <c r="C192" s="1" t="s">
        <v>1530</v>
      </c>
      <c r="D192" s="1" t="s">
        <v>1288</v>
      </c>
      <c r="E192" s="1" t="s">
        <v>1350</v>
      </c>
      <c r="F192" t="s">
        <v>3215</v>
      </c>
      <c r="G192" t="s">
        <v>1521</v>
      </c>
      <c r="H192" t="s">
        <v>381</v>
      </c>
      <c r="I192" t="s">
        <v>1285</v>
      </c>
      <c r="J192" t="s">
        <v>1170</v>
      </c>
      <c r="K192" t="s">
        <v>1167</v>
      </c>
      <c r="L192" t="s">
        <v>1522</v>
      </c>
      <c r="M192" t="s">
        <v>1523</v>
      </c>
      <c r="N192">
        <v>112500</v>
      </c>
      <c r="O192" s="1" t="s">
        <v>1336</v>
      </c>
      <c r="P192" t="s">
        <v>1524</v>
      </c>
      <c r="Q192" t="s">
        <v>1292</v>
      </c>
      <c r="S192" t="s">
        <v>1294</v>
      </c>
      <c r="T192" t="s">
        <v>3216</v>
      </c>
      <c r="U192">
        <v>15532</v>
      </c>
      <c r="V192" t="s">
        <v>1564</v>
      </c>
    </row>
    <row r="193" spans="1:22" ht="30" x14ac:dyDescent="0.25">
      <c r="A193" t="s">
        <v>1871</v>
      </c>
      <c r="B193" s="1" t="s">
        <v>1520</v>
      </c>
      <c r="C193" s="1" t="s">
        <v>1530</v>
      </c>
      <c r="D193" s="1" t="s">
        <v>1288</v>
      </c>
      <c r="E193" s="1" t="s">
        <v>1350</v>
      </c>
      <c r="F193" t="s">
        <v>3217</v>
      </c>
      <c r="G193" t="s">
        <v>1521</v>
      </c>
      <c r="H193" t="s">
        <v>381</v>
      </c>
      <c r="I193" t="s">
        <v>1285</v>
      </c>
      <c r="J193" t="s">
        <v>1170</v>
      </c>
      <c r="K193" t="s">
        <v>1167</v>
      </c>
      <c r="L193" t="s">
        <v>1522</v>
      </c>
      <c r="M193" t="s">
        <v>1523</v>
      </c>
      <c r="N193">
        <v>112500</v>
      </c>
      <c r="O193" s="1" t="s">
        <v>1336</v>
      </c>
      <c r="P193" t="s">
        <v>1524</v>
      </c>
      <c r="Q193" t="s">
        <v>1292</v>
      </c>
      <c r="S193" t="s">
        <v>1294</v>
      </c>
      <c r="T193" t="s">
        <v>3218</v>
      </c>
      <c r="U193">
        <v>6318</v>
      </c>
      <c r="V193" t="s">
        <v>1564</v>
      </c>
    </row>
    <row r="194" spans="1:22" ht="30" x14ac:dyDescent="0.25">
      <c r="A194" t="s">
        <v>1871</v>
      </c>
      <c r="B194" s="1" t="s">
        <v>1520</v>
      </c>
      <c r="C194" s="1" t="s">
        <v>1530</v>
      </c>
      <c r="D194" s="1" t="s">
        <v>1288</v>
      </c>
      <c r="E194" s="1" t="s">
        <v>1350</v>
      </c>
      <c r="F194" t="s">
        <v>3229</v>
      </c>
      <c r="G194" t="s">
        <v>1521</v>
      </c>
      <c r="H194" t="s">
        <v>381</v>
      </c>
      <c r="I194" t="s">
        <v>1285</v>
      </c>
      <c r="J194" t="s">
        <v>1170</v>
      </c>
      <c r="K194" t="s">
        <v>1167</v>
      </c>
      <c r="L194" t="s">
        <v>1522</v>
      </c>
      <c r="M194" t="s">
        <v>1523</v>
      </c>
      <c r="N194">
        <v>112500</v>
      </c>
      <c r="O194" s="1" t="s">
        <v>1336</v>
      </c>
      <c r="P194" t="s">
        <v>1524</v>
      </c>
      <c r="Q194" t="s">
        <v>1292</v>
      </c>
      <c r="S194" t="s">
        <v>1294</v>
      </c>
      <c r="T194" t="s">
        <v>3230</v>
      </c>
      <c r="U194">
        <v>4815</v>
      </c>
      <c r="V194" t="s">
        <v>1526</v>
      </c>
    </row>
    <row r="195" spans="1:22" ht="30" x14ac:dyDescent="0.25">
      <c r="A195" t="s">
        <v>1871</v>
      </c>
      <c r="B195" s="1" t="s">
        <v>1520</v>
      </c>
      <c r="C195" s="1" t="s">
        <v>1530</v>
      </c>
      <c r="D195" s="1" t="s">
        <v>1288</v>
      </c>
      <c r="E195" s="1" t="s">
        <v>1350</v>
      </c>
      <c r="F195" t="s">
        <v>3239</v>
      </c>
      <c r="G195" t="s">
        <v>1521</v>
      </c>
      <c r="H195" t="s">
        <v>381</v>
      </c>
      <c r="I195" t="s">
        <v>1285</v>
      </c>
      <c r="J195" t="s">
        <v>1170</v>
      </c>
      <c r="K195" t="s">
        <v>1167</v>
      </c>
      <c r="L195" t="s">
        <v>1522</v>
      </c>
      <c r="M195" t="s">
        <v>1523</v>
      </c>
      <c r="N195">
        <v>112500</v>
      </c>
      <c r="O195" s="1" t="s">
        <v>1336</v>
      </c>
      <c r="P195" t="s">
        <v>1524</v>
      </c>
      <c r="Q195" t="s">
        <v>1292</v>
      </c>
      <c r="S195" t="s">
        <v>1294</v>
      </c>
      <c r="T195" t="s">
        <v>3240</v>
      </c>
      <c r="U195">
        <v>38</v>
      </c>
      <c r="V195" t="s">
        <v>1564</v>
      </c>
    </row>
    <row r="196" spans="1:22" ht="30" x14ac:dyDescent="0.25">
      <c r="A196" t="s">
        <v>1871</v>
      </c>
      <c r="B196" s="1" t="s">
        <v>1520</v>
      </c>
      <c r="C196" s="1" t="s">
        <v>1530</v>
      </c>
      <c r="D196" s="1" t="s">
        <v>1288</v>
      </c>
      <c r="E196" s="1" t="s">
        <v>1350</v>
      </c>
      <c r="F196" t="s">
        <v>3269</v>
      </c>
      <c r="G196" t="s">
        <v>1521</v>
      </c>
      <c r="H196" t="s">
        <v>381</v>
      </c>
      <c r="I196" t="s">
        <v>1285</v>
      </c>
      <c r="J196" t="s">
        <v>1170</v>
      </c>
      <c r="K196" t="s">
        <v>1167</v>
      </c>
      <c r="L196" t="s">
        <v>1522</v>
      </c>
      <c r="M196" t="s">
        <v>1523</v>
      </c>
      <c r="N196">
        <v>112500</v>
      </c>
      <c r="O196" s="1" t="s">
        <v>1336</v>
      </c>
      <c r="P196" t="s">
        <v>1524</v>
      </c>
      <c r="Q196" t="s">
        <v>1292</v>
      </c>
      <c r="S196" t="s">
        <v>1294</v>
      </c>
      <c r="T196" t="s">
        <v>3270</v>
      </c>
      <c r="U196">
        <v>16816</v>
      </c>
      <c r="V196" t="s">
        <v>1564</v>
      </c>
    </row>
    <row r="197" spans="1:22" ht="30" x14ac:dyDescent="0.25">
      <c r="A197" t="s">
        <v>1871</v>
      </c>
      <c r="B197" s="1" t="s">
        <v>1520</v>
      </c>
      <c r="C197" s="1" t="s">
        <v>1530</v>
      </c>
      <c r="D197" s="1" t="s">
        <v>1288</v>
      </c>
      <c r="E197" s="1" t="s">
        <v>1350</v>
      </c>
      <c r="F197" t="s">
        <v>3271</v>
      </c>
      <c r="G197" t="s">
        <v>1521</v>
      </c>
      <c r="H197" t="s">
        <v>381</v>
      </c>
      <c r="I197" t="s">
        <v>1285</v>
      </c>
      <c r="J197" t="s">
        <v>1170</v>
      </c>
      <c r="K197" t="s">
        <v>1167</v>
      </c>
      <c r="L197" t="s">
        <v>1522</v>
      </c>
      <c r="M197" t="s">
        <v>1523</v>
      </c>
      <c r="N197">
        <v>112500</v>
      </c>
      <c r="O197" s="1" t="s">
        <v>1336</v>
      </c>
      <c r="P197" t="s">
        <v>1524</v>
      </c>
      <c r="Q197" t="s">
        <v>1292</v>
      </c>
      <c r="S197" t="s">
        <v>1294</v>
      </c>
      <c r="T197" t="s">
        <v>3272</v>
      </c>
      <c r="U197">
        <v>9351</v>
      </c>
      <c r="V197" t="s">
        <v>1564</v>
      </c>
    </row>
    <row r="198" spans="1:22" ht="30" x14ac:dyDescent="0.25">
      <c r="A198" t="s">
        <v>1871</v>
      </c>
      <c r="B198" s="1" t="s">
        <v>1520</v>
      </c>
      <c r="C198" s="1" t="s">
        <v>1530</v>
      </c>
      <c r="D198" s="1" t="s">
        <v>1288</v>
      </c>
      <c r="E198" s="1" t="s">
        <v>1350</v>
      </c>
      <c r="F198" t="s">
        <v>3299</v>
      </c>
      <c r="G198" t="s">
        <v>1521</v>
      </c>
      <c r="H198" t="s">
        <v>381</v>
      </c>
      <c r="I198" t="s">
        <v>1285</v>
      </c>
      <c r="J198" t="s">
        <v>1170</v>
      </c>
      <c r="K198" t="s">
        <v>1167</v>
      </c>
      <c r="L198" t="s">
        <v>1522</v>
      </c>
      <c r="M198" t="s">
        <v>1523</v>
      </c>
      <c r="N198">
        <v>112500</v>
      </c>
      <c r="O198" s="1" t="s">
        <v>1336</v>
      </c>
      <c r="P198" t="s">
        <v>1524</v>
      </c>
      <c r="Q198" t="s">
        <v>1292</v>
      </c>
      <c r="S198" t="s">
        <v>1294</v>
      </c>
      <c r="T198" t="s">
        <v>3300</v>
      </c>
      <c r="U198">
        <v>5800</v>
      </c>
      <c r="V198" t="s">
        <v>1526</v>
      </c>
    </row>
    <row r="199" spans="1:22" ht="30" x14ac:dyDescent="0.25">
      <c r="A199" t="s">
        <v>1871</v>
      </c>
      <c r="B199" s="1" t="s">
        <v>1520</v>
      </c>
      <c r="C199" s="1" t="s">
        <v>1530</v>
      </c>
      <c r="D199" s="1" t="s">
        <v>1288</v>
      </c>
      <c r="E199" s="1" t="s">
        <v>1350</v>
      </c>
      <c r="F199" t="s">
        <v>3301</v>
      </c>
      <c r="G199" t="s">
        <v>1521</v>
      </c>
      <c r="H199" t="s">
        <v>381</v>
      </c>
      <c r="I199" t="s">
        <v>1285</v>
      </c>
      <c r="J199" t="s">
        <v>1170</v>
      </c>
      <c r="K199" t="s">
        <v>1167</v>
      </c>
      <c r="L199" t="s">
        <v>1522</v>
      </c>
      <c r="M199" t="s">
        <v>1523</v>
      </c>
      <c r="N199">
        <v>112500</v>
      </c>
      <c r="O199" s="1" t="s">
        <v>1336</v>
      </c>
      <c r="P199" t="s">
        <v>1524</v>
      </c>
      <c r="Q199" t="s">
        <v>1292</v>
      </c>
      <c r="S199" t="s">
        <v>1294</v>
      </c>
      <c r="T199" t="s">
        <v>3302</v>
      </c>
      <c r="U199">
        <v>26</v>
      </c>
      <c r="V199" t="s">
        <v>1526</v>
      </c>
    </row>
    <row r="200" spans="1:22" ht="30" x14ac:dyDescent="0.25">
      <c r="A200" t="s">
        <v>1871</v>
      </c>
      <c r="B200" s="1" t="s">
        <v>1520</v>
      </c>
      <c r="C200" s="1" t="s">
        <v>1530</v>
      </c>
      <c r="D200" s="1" t="s">
        <v>1288</v>
      </c>
      <c r="E200" s="1" t="s">
        <v>1293</v>
      </c>
      <c r="F200" t="s">
        <v>3307</v>
      </c>
      <c r="G200" t="s">
        <v>1521</v>
      </c>
      <c r="H200" t="s">
        <v>381</v>
      </c>
      <c r="I200" t="s">
        <v>1285</v>
      </c>
      <c r="J200" t="s">
        <v>1170</v>
      </c>
      <c r="K200" t="s">
        <v>1167</v>
      </c>
      <c r="L200" t="s">
        <v>1522</v>
      </c>
      <c r="M200" t="s">
        <v>1523</v>
      </c>
      <c r="N200">
        <v>112500</v>
      </c>
      <c r="O200" s="1" t="s">
        <v>1336</v>
      </c>
      <c r="P200" t="s">
        <v>1524</v>
      </c>
      <c r="Q200" t="s">
        <v>1292</v>
      </c>
      <c r="S200" t="s">
        <v>1294</v>
      </c>
      <c r="T200" t="s">
        <v>3308</v>
      </c>
      <c r="U200">
        <v>2128</v>
      </c>
      <c r="V200" t="s">
        <v>1564</v>
      </c>
    </row>
    <row r="201" spans="1:22" ht="30" x14ac:dyDescent="0.25">
      <c r="A201" t="s">
        <v>1871</v>
      </c>
      <c r="B201" s="1" t="s">
        <v>1520</v>
      </c>
      <c r="C201" s="1" t="s">
        <v>1530</v>
      </c>
      <c r="D201" s="1" t="s">
        <v>1288</v>
      </c>
      <c r="E201" s="1" t="s">
        <v>1293</v>
      </c>
      <c r="F201" t="s">
        <v>3309</v>
      </c>
      <c r="G201" t="s">
        <v>1521</v>
      </c>
      <c r="H201" t="s">
        <v>381</v>
      </c>
      <c r="I201" t="s">
        <v>1285</v>
      </c>
      <c r="J201" t="s">
        <v>1170</v>
      </c>
      <c r="K201" t="s">
        <v>1167</v>
      </c>
      <c r="L201" t="s">
        <v>1522</v>
      </c>
      <c r="M201" t="s">
        <v>1523</v>
      </c>
      <c r="N201">
        <v>112500</v>
      </c>
      <c r="O201" s="1" t="s">
        <v>1336</v>
      </c>
      <c r="P201" t="s">
        <v>1524</v>
      </c>
      <c r="Q201" t="s">
        <v>1292</v>
      </c>
      <c r="S201" t="s">
        <v>1294</v>
      </c>
      <c r="T201" t="s">
        <v>3310</v>
      </c>
      <c r="U201">
        <v>44</v>
      </c>
      <c r="V201" t="s">
        <v>1526</v>
      </c>
    </row>
    <row r="202" spans="1:22" ht="30" x14ac:dyDescent="0.25">
      <c r="A202" t="s">
        <v>1871</v>
      </c>
      <c r="B202" s="1" t="s">
        <v>1520</v>
      </c>
      <c r="C202" s="1" t="s">
        <v>1530</v>
      </c>
      <c r="D202" s="1" t="s">
        <v>1288</v>
      </c>
      <c r="E202" s="1" t="s">
        <v>1378</v>
      </c>
      <c r="F202" t="s">
        <v>3313</v>
      </c>
      <c r="G202" t="s">
        <v>1521</v>
      </c>
      <c r="H202" t="s">
        <v>381</v>
      </c>
      <c r="I202" t="s">
        <v>1285</v>
      </c>
      <c r="J202" t="s">
        <v>1170</v>
      </c>
      <c r="K202" t="s">
        <v>1167</v>
      </c>
      <c r="L202" t="s">
        <v>1522</v>
      </c>
      <c r="M202" t="s">
        <v>1523</v>
      </c>
      <c r="N202">
        <v>112500</v>
      </c>
      <c r="O202" s="1" t="s">
        <v>1336</v>
      </c>
      <c r="P202" t="s">
        <v>1524</v>
      </c>
      <c r="Q202" t="s">
        <v>1292</v>
      </c>
      <c r="S202" t="s">
        <v>1294</v>
      </c>
      <c r="T202" t="s">
        <v>3314</v>
      </c>
      <c r="U202">
        <v>3690</v>
      </c>
      <c r="V202" t="s">
        <v>1526</v>
      </c>
    </row>
    <row r="203" spans="1:22" ht="30" x14ac:dyDescent="0.25">
      <c r="A203" t="s">
        <v>1871</v>
      </c>
      <c r="B203" s="1" t="s">
        <v>1520</v>
      </c>
      <c r="C203" s="1" t="s">
        <v>1530</v>
      </c>
      <c r="D203" s="1" t="s">
        <v>1288</v>
      </c>
      <c r="E203" s="1" t="s">
        <v>1378</v>
      </c>
      <c r="F203" t="s">
        <v>3315</v>
      </c>
      <c r="G203" t="s">
        <v>1521</v>
      </c>
      <c r="H203" t="s">
        <v>381</v>
      </c>
      <c r="I203" t="s">
        <v>1285</v>
      </c>
      <c r="J203" t="s">
        <v>1170</v>
      </c>
      <c r="K203" t="s">
        <v>1167</v>
      </c>
      <c r="L203" t="s">
        <v>1522</v>
      </c>
      <c r="M203" t="s">
        <v>1523</v>
      </c>
      <c r="N203">
        <v>112500</v>
      </c>
      <c r="O203" s="1" t="s">
        <v>1336</v>
      </c>
      <c r="P203" t="s">
        <v>1524</v>
      </c>
      <c r="Q203" t="s">
        <v>1292</v>
      </c>
      <c r="S203" t="s">
        <v>1294</v>
      </c>
      <c r="T203" t="s">
        <v>3316</v>
      </c>
      <c r="U203">
        <v>10505</v>
      </c>
      <c r="V203" t="s">
        <v>1526</v>
      </c>
    </row>
    <row r="204" spans="1:22" ht="30" x14ac:dyDescent="0.25">
      <c r="A204" t="s">
        <v>1871</v>
      </c>
      <c r="B204" s="1" t="s">
        <v>1520</v>
      </c>
      <c r="C204" s="1" t="s">
        <v>1530</v>
      </c>
      <c r="D204" s="1" t="s">
        <v>1288</v>
      </c>
      <c r="E204" s="1" t="s">
        <v>1293</v>
      </c>
      <c r="F204" t="s">
        <v>3319</v>
      </c>
      <c r="G204" t="s">
        <v>1521</v>
      </c>
      <c r="H204" t="s">
        <v>381</v>
      </c>
      <c r="I204" t="s">
        <v>1285</v>
      </c>
      <c r="J204" t="s">
        <v>1170</v>
      </c>
      <c r="K204" t="s">
        <v>1167</v>
      </c>
      <c r="L204" t="s">
        <v>1522</v>
      </c>
      <c r="M204" t="s">
        <v>1523</v>
      </c>
      <c r="N204">
        <v>112500</v>
      </c>
      <c r="O204" s="1" t="s">
        <v>1336</v>
      </c>
      <c r="P204" t="s">
        <v>1524</v>
      </c>
      <c r="Q204" t="s">
        <v>1292</v>
      </c>
      <c r="S204" t="s">
        <v>1294</v>
      </c>
      <c r="T204" t="s">
        <v>3320</v>
      </c>
      <c r="U204">
        <v>1060</v>
      </c>
      <c r="V204" t="s">
        <v>1564</v>
      </c>
    </row>
    <row r="205" spans="1:22" ht="30" x14ac:dyDescent="0.25">
      <c r="A205" t="s">
        <v>1871</v>
      </c>
      <c r="B205" s="1" t="s">
        <v>1520</v>
      </c>
      <c r="C205" s="1" t="s">
        <v>1530</v>
      </c>
      <c r="D205" s="1" t="s">
        <v>1288</v>
      </c>
      <c r="E205" s="1" t="s">
        <v>1374</v>
      </c>
      <c r="F205" t="s">
        <v>3321</v>
      </c>
      <c r="G205" t="s">
        <v>1521</v>
      </c>
      <c r="H205" t="s">
        <v>381</v>
      </c>
      <c r="I205" t="s">
        <v>1285</v>
      </c>
      <c r="J205" t="s">
        <v>1170</v>
      </c>
      <c r="K205" t="s">
        <v>1167</v>
      </c>
      <c r="L205" t="s">
        <v>1522</v>
      </c>
      <c r="M205" t="s">
        <v>1523</v>
      </c>
      <c r="N205">
        <v>112500</v>
      </c>
      <c r="O205" s="1" t="s">
        <v>1336</v>
      </c>
      <c r="P205" t="s">
        <v>1524</v>
      </c>
      <c r="Q205" t="s">
        <v>1292</v>
      </c>
      <c r="S205" t="s">
        <v>1294</v>
      </c>
      <c r="T205" t="s">
        <v>3322</v>
      </c>
      <c r="U205">
        <v>3150</v>
      </c>
      <c r="V205" t="s">
        <v>1526</v>
      </c>
    </row>
    <row r="206" spans="1:22" ht="30" x14ac:dyDescent="0.25">
      <c r="A206" t="s">
        <v>1871</v>
      </c>
      <c r="B206" s="1" t="s">
        <v>1520</v>
      </c>
      <c r="C206" s="1" t="s">
        <v>1530</v>
      </c>
      <c r="D206" s="1" t="s">
        <v>1288</v>
      </c>
      <c r="E206" s="1" t="s">
        <v>1293</v>
      </c>
      <c r="F206" t="s">
        <v>3323</v>
      </c>
      <c r="G206" t="s">
        <v>1521</v>
      </c>
      <c r="H206" t="s">
        <v>381</v>
      </c>
      <c r="I206" t="s">
        <v>1285</v>
      </c>
      <c r="J206" t="s">
        <v>1170</v>
      </c>
      <c r="K206" t="s">
        <v>1167</v>
      </c>
      <c r="L206" t="s">
        <v>1522</v>
      </c>
      <c r="M206" t="s">
        <v>1523</v>
      </c>
      <c r="N206">
        <v>112500</v>
      </c>
      <c r="O206" s="1" t="s">
        <v>1336</v>
      </c>
      <c r="P206" t="s">
        <v>1524</v>
      </c>
      <c r="Q206" t="s">
        <v>1292</v>
      </c>
      <c r="S206" t="s">
        <v>1294</v>
      </c>
      <c r="T206" t="s">
        <v>3324</v>
      </c>
      <c r="U206">
        <v>431</v>
      </c>
      <c r="V206" t="s">
        <v>1564</v>
      </c>
    </row>
    <row r="207" spans="1:22" ht="30" x14ac:dyDescent="0.25">
      <c r="A207" t="s">
        <v>1871</v>
      </c>
      <c r="B207" s="1" t="s">
        <v>1520</v>
      </c>
      <c r="C207" s="1" t="s">
        <v>1530</v>
      </c>
      <c r="D207" s="1" t="s">
        <v>1288</v>
      </c>
      <c r="E207" s="1" t="s">
        <v>1374</v>
      </c>
      <c r="F207" t="s">
        <v>3325</v>
      </c>
      <c r="G207" t="s">
        <v>1521</v>
      </c>
      <c r="H207" t="s">
        <v>381</v>
      </c>
      <c r="I207" t="s">
        <v>1285</v>
      </c>
      <c r="J207" t="s">
        <v>1170</v>
      </c>
      <c r="K207" t="s">
        <v>1167</v>
      </c>
      <c r="L207" t="s">
        <v>1522</v>
      </c>
      <c r="M207" t="s">
        <v>1523</v>
      </c>
      <c r="N207">
        <v>112500</v>
      </c>
      <c r="O207" s="1" t="s">
        <v>1336</v>
      </c>
      <c r="P207" t="s">
        <v>1524</v>
      </c>
      <c r="Q207" t="s">
        <v>1292</v>
      </c>
      <c r="S207" t="s">
        <v>1294</v>
      </c>
      <c r="T207" t="s">
        <v>3326</v>
      </c>
      <c r="U207">
        <v>74</v>
      </c>
      <c r="V207" t="s">
        <v>1526</v>
      </c>
    </row>
    <row r="208" spans="1:22" ht="30" x14ac:dyDescent="0.25">
      <c r="A208" t="s">
        <v>1871</v>
      </c>
      <c r="B208" s="1" t="s">
        <v>1520</v>
      </c>
      <c r="C208" s="1" t="s">
        <v>1530</v>
      </c>
      <c r="D208" s="1" t="s">
        <v>1288</v>
      </c>
      <c r="E208" s="1" t="s">
        <v>1374</v>
      </c>
      <c r="F208" t="s">
        <v>3327</v>
      </c>
      <c r="G208" t="s">
        <v>1521</v>
      </c>
      <c r="H208" t="s">
        <v>381</v>
      </c>
      <c r="I208" t="s">
        <v>1285</v>
      </c>
      <c r="J208" t="s">
        <v>1170</v>
      </c>
      <c r="K208" t="s">
        <v>1167</v>
      </c>
      <c r="L208" t="s">
        <v>1522</v>
      </c>
      <c r="M208" t="s">
        <v>1523</v>
      </c>
      <c r="N208">
        <v>112500</v>
      </c>
      <c r="O208" s="1" t="s">
        <v>1336</v>
      </c>
      <c r="P208" t="s">
        <v>1524</v>
      </c>
      <c r="Q208" t="s">
        <v>1292</v>
      </c>
      <c r="S208" t="s">
        <v>1294</v>
      </c>
      <c r="T208" t="s">
        <v>3328</v>
      </c>
      <c r="U208">
        <v>217</v>
      </c>
      <c r="V208" t="s">
        <v>1526</v>
      </c>
    </row>
    <row r="209" spans="1:22" ht="30" x14ac:dyDescent="0.25">
      <c r="A209" t="s">
        <v>1871</v>
      </c>
      <c r="B209" s="1" t="s">
        <v>1520</v>
      </c>
      <c r="C209" s="1" t="s">
        <v>1530</v>
      </c>
      <c r="D209" s="1" t="s">
        <v>1288</v>
      </c>
      <c r="E209" s="1" t="s">
        <v>2854</v>
      </c>
      <c r="F209" t="s">
        <v>3331</v>
      </c>
      <c r="G209" t="s">
        <v>1521</v>
      </c>
      <c r="H209" t="s">
        <v>381</v>
      </c>
      <c r="I209" t="s">
        <v>1285</v>
      </c>
      <c r="J209" t="s">
        <v>1170</v>
      </c>
      <c r="K209" t="s">
        <v>1167</v>
      </c>
      <c r="L209" t="s">
        <v>1522</v>
      </c>
      <c r="M209" t="s">
        <v>1523</v>
      </c>
      <c r="N209">
        <v>112500</v>
      </c>
      <c r="O209" s="1" t="s">
        <v>1336</v>
      </c>
      <c r="P209" t="s">
        <v>1524</v>
      </c>
      <c r="Q209" t="s">
        <v>1292</v>
      </c>
      <c r="S209" t="s">
        <v>1294</v>
      </c>
      <c r="T209" t="s">
        <v>3332</v>
      </c>
      <c r="U209">
        <v>1081</v>
      </c>
      <c r="V209" t="s">
        <v>1526</v>
      </c>
    </row>
    <row r="210" spans="1:22" ht="30" x14ac:dyDescent="0.25">
      <c r="A210" t="s">
        <v>1871</v>
      </c>
      <c r="B210" s="1" t="s">
        <v>1520</v>
      </c>
      <c r="C210" s="1" t="s">
        <v>1530</v>
      </c>
      <c r="D210" s="1" t="s">
        <v>1288</v>
      </c>
      <c r="E210" s="1" t="s">
        <v>1316</v>
      </c>
      <c r="F210" t="s">
        <v>3333</v>
      </c>
      <c r="G210" t="s">
        <v>1521</v>
      </c>
      <c r="H210" t="s">
        <v>381</v>
      </c>
      <c r="I210" t="s">
        <v>1285</v>
      </c>
      <c r="J210" t="s">
        <v>1170</v>
      </c>
      <c r="K210" t="s">
        <v>1167</v>
      </c>
      <c r="L210" t="s">
        <v>1522</v>
      </c>
      <c r="M210" t="s">
        <v>1523</v>
      </c>
      <c r="N210">
        <v>112500</v>
      </c>
      <c r="O210" s="1" t="s">
        <v>1336</v>
      </c>
      <c r="P210" t="s">
        <v>1524</v>
      </c>
      <c r="Q210" t="s">
        <v>1292</v>
      </c>
      <c r="S210" t="s">
        <v>1294</v>
      </c>
      <c r="T210" t="s">
        <v>3334</v>
      </c>
      <c r="U210">
        <v>240</v>
      </c>
      <c r="V210" t="s">
        <v>1526</v>
      </c>
    </row>
    <row r="211" spans="1:22" ht="30" x14ac:dyDescent="0.25">
      <c r="A211" t="s">
        <v>1871</v>
      </c>
      <c r="B211" s="1" t="s">
        <v>1520</v>
      </c>
      <c r="C211" s="1" t="s">
        <v>1530</v>
      </c>
      <c r="D211" s="1" t="s">
        <v>1288</v>
      </c>
      <c r="E211" s="1" t="s">
        <v>1293</v>
      </c>
      <c r="F211" t="s">
        <v>3344</v>
      </c>
      <c r="G211" t="s">
        <v>1521</v>
      </c>
      <c r="H211" t="s">
        <v>381</v>
      </c>
      <c r="I211" t="s">
        <v>1285</v>
      </c>
      <c r="J211" t="s">
        <v>1170</v>
      </c>
      <c r="K211" t="s">
        <v>1167</v>
      </c>
      <c r="L211" t="s">
        <v>1522</v>
      </c>
      <c r="M211" t="s">
        <v>1523</v>
      </c>
      <c r="N211">
        <v>112500</v>
      </c>
      <c r="O211" s="1" t="s">
        <v>1336</v>
      </c>
      <c r="P211" t="s">
        <v>1524</v>
      </c>
      <c r="Q211" t="s">
        <v>1292</v>
      </c>
      <c r="S211" t="s">
        <v>1294</v>
      </c>
      <c r="T211" t="s">
        <v>3345</v>
      </c>
      <c r="U211">
        <v>106</v>
      </c>
      <c r="V211" t="s">
        <v>1564</v>
      </c>
    </row>
    <row r="212" spans="1:22" ht="30" x14ac:dyDescent="0.25">
      <c r="A212" t="s">
        <v>1871</v>
      </c>
      <c r="B212" s="1" t="s">
        <v>1520</v>
      </c>
      <c r="C212" s="1" t="s">
        <v>1530</v>
      </c>
      <c r="D212" s="1" t="s">
        <v>1288</v>
      </c>
      <c r="E212" s="1" t="s">
        <v>1368</v>
      </c>
      <c r="F212" t="s">
        <v>3348</v>
      </c>
      <c r="G212" t="s">
        <v>1521</v>
      </c>
      <c r="H212" t="s">
        <v>381</v>
      </c>
      <c r="I212" t="s">
        <v>1285</v>
      </c>
      <c r="J212" t="s">
        <v>1170</v>
      </c>
      <c r="K212" t="s">
        <v>1167</v>
      </c>
      <c r="L212" t="s">
        <v>1522</v>
      </c>
      <c r="M212" t="s">
        <v>1523</v>
      </c>
      <c r="N212">
        <v>112500</v>
      </c>
      <c r="O212" s="1" t="s">
        <v>1336</v>
      </c>
      <c r="P212" t="s">
        <v>1524</v>
      </c>
      <c r="Q212" t="s">
        <v>1292</v>
      </c>
      <c r="S212" t="s">
        <v>1294</v>
      </c>
      <c r="T212" t="s">
        <v>3349</v>
      </c>
      <c r="U212">
        <v>502</v>
      </c>
      <c r="V212" t="s">
        <v>1526</v>
      </c>
    </row>
    <row r="213" spans="1:22" ht="30" x14ac:dyDescent="0.25">
      <c r="A213" t="s">
        <v>1871</v>
      </c>
      <c r="B213" s="1" t="s">
        <v>1520</v>
      </c>
      <c r="C213" s="1" t="s">
        <v>1530</v>
      </c>
      <c r="D213" s="1" t="s">
        <v>1288</v>
      </c>
      <c r="E213" s="1" t="s">
        <v>1293</v>
      </c>
      <c r="F213" t="s">
        <v>3353</v>
      </c>
      <c r="G213" t="s">
        <v>1521</v>
      </c>
      <c r="H213" t="s">
        <v>381</v>
      </c>
      <c r="I213" t="s">
        <v>1285</v>
      </c>
      <c r="J213" t="s">
        <v>1170</v>
      </c>
      <c r="K213" t="s">
        <v>1167</v>
      </c>
      <c r="L213" t="s">
        <v>1522</v>
      </c>
      <c r="M213" t="s">
        <v>1523</v>
      </c>
      <c r="N213">
        <v>112500</v>
      </c>
      <c r="O213" s="1" t="s">
        <v>1336</v>
      </c>
      <c r="P213" t="s">
        <v>1524</v>
      </c>
      <c r="Q213" t="s">
        <v>1292</v>
      </c>
      <c r="S213" t="s">
        <v>1294</v>
      </c>
      <c r="T213" t="s">
        <v>3354</v>
      </c>
      <c r="U213">
        <v>15108</v>
      </c>
      <c r="V213" t="s">
        <v>1564</v>
      </c>
    </row>
    <row r="214" spans="1:22" ht="30" x14ac:dyDescent="0.25">
      <c r="A214" t="s">
        <v>1871</v>
      </c>
      <c r="B214" s="1" t="s">
        <v>1520</v>
      </c>
      <c r="C214" s="1" t="s">
        <v>1530</v>
      </c>
      <c r="D214" s="1" t="s">
        <v>1288</v>
      </c>
      <c r="E214" s="1" t="s">
        <v>1393</v>
      </c>
      <c r="F214" t="s">
        <v>3373</v>
      </c>
      <c r="G214" t="s">
        <v>1521</v>
      </c>
      <c r="H214" t="s">
        <v>381</v>
      </c>
      <c r="I214" t="s">
        <v>1285</v>
      </c>
      <c r="J214" t="s">
        <v>1170</v>
      </c>
      <c r="K214" t="s">
        <v>1167</v>
      </c>
      <c r="L214" t="s">
        <v>1522</v>
      </c>
      <c r="M214" t="s">
        <v>1523</v>
      </c>
      <c r="N214">
        <v>112500</v>
      </c>
      <c r="O214" s="1" t="s">
        <v>1336</v>
      </c>
      <c r="P214" t="s">
        <v>1524</v>
      </c>
      <c r="Q214" t="s">
        <v>1292</v>
      </c>
      <c r="S214" t="s">
        <v>1294</v>
      </c>
      <c r="T214" t="s">
        <v>3374</v>
      </c>
      <c r="U214">
        <v>790</v>
      </c>
      <c r="V214" t="s">
        <v>1526</v>
      </c>
    </row>
    <row r="215" spans="1:22" ht="30" x14ac:dyDescent="0.25">
      <c r="A215" t="s">
        <v>1871</v>
      </c>
      <c r="B215" s="1" t="s">
        <v>1520</v>
      </c>
      <c r="C215" s="1" t="s">
        <v>1530</v>
      </c>
      <c r="D215" s="1" t="s">
        <v>1288</v>
      </c>
      <c r="E215" s="1" t="s">
        <v>1374</v>
      </c>
      <c r="F215" t="s">
        <v>3384</v>
      </c>
      <c r="G215" t="s">
        <v>1521</v>
      </c>
      <c r="H215" t="s">
        <v>381</v>
      </c>
      <c r="I215" t="s">
        <v>1285</v>
      </c>
      <c r="J215" t="s">
        <v>1170</v>
      </c>
      <c r="K215" t="s">
        <v>1167</v>
      </c>
      <c r="L215" t="s">
        <v>1522</v>
      </c>
      <c r="M215" t="s">
        <v>1523</v>
      </c>
      <c r="N215">
        <v>112500</v>
      </c>
      <c r="O215" s="1" t="s">
        <v>1336</v>
      </c>
      <c r="P215" t="s">
        <v>1524</v>
      </c>
      <c r="Q215" t="s">
        <v>1292</v>
      </c>
      <c r="S215" t="s">
        <v>1294</v>
      </c>
      <c r="T215" t="s">
        <v>3385</v>
      </c>
      <c r="U215">
        <v>3696</v>
      </c>
      <c r="V215" t="s">
        <v>1564</v>
      </c>
    </row>
    <row r="216" spans="1:22" x14ac:dyDescent="0.25">
      <c r="A216" t="s">
        <v>1281</v>
      </c>
      <c r="B216" s="1" t="s">
        <v>1454</v>
      </c>
      <c r="C216" s="1" t="s">
        <v>1343</v>
      </c>
      <c r="D216" s="1" t="s">
        <v>1288</v>
      </c>
      <c r="E216" s="1" t="s">
        <v>1393</v>
      </c>
      <c r="F216" t="s">
        <v>1453</v>
      </c>
      <c r="G216" t="s">
        <v>1455</v>
      </c>
      <c r="H216" t="s">
        <v>1356</v>
      </c>
      <c r="I216" t="s">
        <v>1285</v>
      </c>
      <c r="J216" t="s">
        <v>1361</v>
      </c>
      <c r="K216" t="s">
        <v>1164</v>
      </c>
      <c r="L216" t="s">
        <v>1456</v>
      </c>
      <c r="M216" t="s">
        <v>1457</v>
      </c>
      <c r="N216" t="s">
        <v>1289</v>
      </c>
      <c r="O216" s="1" t="s">
        <v>1305</v>
      </c>
      <c r="P216" t="s">
        <v>1291</v>
      </c>
      <c r="Q216" t="s">
        <v>1294</v>
      </c>
      <c r="S216" t="s">
        <v>1294</v>
      </c>
      <c r="T216" t="s">
        <v>1296</v>
      </c>
      <c r="U216">
        <v>0</v>
      </c>
      <c r="V216" t="s">
        <v>1454</v>
      </c>
    </row>
    <row r="217" spans="1:22" x14ac:dyDescent="0.25">
      <c r="A217" t="s">
        <v>1281</v>
      </c>
      <c r="B217" s="1" t="s">
        <v>1454</v>
      </c>
      <c r="C217" s="1" t="s">
        <v>1343</v>
      </c>
      <c r="D217" s="1" t="s">
        <v>1288</v>
      </c>
      <c r="E217" s="1" t="s">
        <v>1393</v>
      </c>
      <c r="F217" t="s">
        <v>1458</v>
      </c>
      <c r="G217" t="s">
        <v>1455</v>
      </c>
      <c r="H217" t="s">
        <v>1356</v>
      </c>
      <c r="I217" t="s">
        <v>1285</v>
      </c>
      <c r="J217" t="s">
        <v>1361</v>
      </c>
      <c r="K217" t="s">
        <v>1164</v>
      </c>
      <c r="L217" t="s">
        <v>1456</v>
      </c>
      <c r="M217" t="s">
        <v>1457</v>
      </c>
      <c r="N217" t="s">
        <v>1289</v>
      </c>
      <c r="O217" s="1" t="s">
        <v>1305</v>
      </c>
      <c r="P217" t="s">
        <v>1291</v>
      </c>
      <c r="Q217" t="s">
        <v>1294</v>
      </c>
      <c r="S217" t="s">
        <v>1294</v>
      </c>
      <c r="T217" t="s">
        <v>1296</v>
      </c>
      <c r="U217">
        <v>0</v>
      </c>
      <c r="V217" t="s">
        <v>1454</v>
      </c>
    </row>
    <row r="218" spans="1:22" x14ac:dyDescent="0.25">
      <c r="A218" t="s">
        <v>1281</v>
      </c>
      <c r="B218" s="1" t="s">
        <v>1454</v>
      </c>
      <c r="C218" s="1" t="s">
        <v>1343</v>
      </c>
      <c r="D218" s="1" t="s">
        <v>1288</v>
      </c>
      <c r="E218" s="1" t="s">
        <v>1393</v>
      </c>
      <c r="F218" t="s">
        <v>1459</v>
      </c>
      <c r="G218" t="s">
        <v>1455</v>
      </c>
      <c r="H218" t="s">
        <v>1356</v>
      </c>
      <c r="I218" t="s">
        <v>1285</v>
      </c>
      <c r="J218" t="s">
        <v>1361</v>
      </c>
      <c r="K218" t="s">
        <v>1164</v>
      </c>
      <c r="L218" t="s">
        <v>1456</v>
      </c>
      <c r="M218" t="s">
        <v>1457</v>
      </c>
      <c r="N218" t="s">
        <v>1289</v>
      </c>
      <c r="O218" s="1" t="s">
        <v>1305</v>
      </c>
      <c r="P218" t="s">
        <v>1291</v>
      </c>
      <c r="Q218" t="s">
        <v>1294</v>
      </c>
      <c r="S218" t="s">
        <v>1294</v>
      </c>
      <c r="T218" t="s">
        <v>1296</v>
      </c>
      <c r="U218">
        <v>0</v>
      </c>
      <c r="V218" t="s">
        <v>1454</v>
      </c>
    </row>
    <row r="219" spans="1:22" x14ac:dyDescent="0.25">
      <c r="A219" t="s">
        <v>1871</v>
      </c>
      <c r="B219" s="1" t="s">
        <v>1454</v>
      </c>
      <c r="C219" s="1" t="s">
        <v>1530</v>
      </c>
      <c r="D219" s="1" t="s">
        <v>1288</v>
      </c>
      <c r="E219" s="1" t="s">
        <v>1316</v>
      </c>
      <c r="F219" t="s">
        <v>1873</v>
      </c>
      <c r="G219" t="s">
        <v>1455</v>
      </c>
      <c r="H219" t="s">
        <v>1356</v>
      </c>
      <c r="I219" t="s">
        <v>1285</v>
      </c>
      <c r="J219" t="s">
        <v>1361</v>
      </c>
      <c r="K219" t="s">
        <v>1164</v>
      </c>
      <c r="L219" t="s">
        <v>1456</v>
      </c>
      <c r="M219" t="s">
        <v>1457</v>
      </c>
      <c r="N219" t="s">
        <v>1289</v>
      </c>
      <c r="O219" s="1" t="s">
        <v>1305</v>
      </c>
      <c r="P219" t="s">
        <v>1291</v>
      </c>
      <c r="Q219" t="s">
        <v>1294</v>
      </c>
      <c r="S219" t="s">
        <v>1294</v>
      </c>
      <c r="T219" t="s">
        <v>1874</v>
      </c>
      <c r="U219">
        <v>0</v>
      </c>
      <c r="V219" t="s">
        <v>1454</v>
      </c>
    </row>
    <row r="220" spans="1:22" x14ac:dyDescent="0.25">
      <c r="A220" t="s">
        <v>1871</v>
      </c>
      <c r="B220" s="1" t="s">
        <v>1454</v>
      </c>
      <c r="C220" s="1" t="s">
        <v>1530</v>
      </c>
      <c r="D220" s="1" t="s">
        <v>1288</v>
      </c>
      <c r="E220" s="1" t="s">
        <v>1368</v>
      </c>
      <c r="F220" t="s">
        <v>1947</v>
      </c>
      <c r="G220" t="s">
        <v>1455</v>
      </c>
      <c r="H220" t="s">
        <v>1356</v>
      </c>
      <c r="I220" t="s">
        <v>1285</v>
      </c>
      <c r="J220" t="s">
        <v>1361</v>
      </c>
      <c r="K220" t="s">
        <v>1164</v>
      </c>
      <c r="L220" t="s">
        <v>1456</v>
      </c>
      <c r="M220" t="s">
        <v>1457</v>
      </c>
      <c r="N220" t="s">
        <v>1289</v>
      </c>
      <c r="O220" s="1" t="s">
        <v>1305</v>
      </c>
      <c r="P220" t="s">
        <v>1291</v>
      </c>
      <c r="Q220" t="s">
        <v>1294</v>
      </c>
      <c r="S220" t="s">
        <v>1294</v>
      </c>
      <c r="T220" t="s">
        <v>1296</v>
      </c>
      <c r="U220">
        <v>0</v>
      </c>
      <c r="V220" t="s">
        <v>1454</v>
      </c>
    </row>
    <row r="221" spans="1:22" ht="30" x14ac:dyDescent="0.25">
      <c r="A221" t="s">
        <v>1871</v>
      </c>
      <c r="B221" s="1" t="s">
        <v>1454</v>
      </c>
      <c r="C221" s="1" t="s">
        <v>1530</v>
      </c>
      <c r="D221" s="1" t="s">
        <v>1288</v>
      </c>
      <c r="E221" s="1" t="s">
        <v>1293</v>
      </c>
      <c r="F221" t="s">
        <v>1962</v>
      </c>
      <c r="G221" t="s">
        <v>1455</v>
      </c>
      <c r="H221" t="s">
        <v>1356</v>
      </c>
      <c r="I221" t="s">
        <v>1285</v>
      </c>
      <c r="J221" t="s">
        <v>1361</v>
      </c>
      <c r="K221" t="s">
        <v>1164</v>
      </c>
      <c r="L221" t="s">
        <v>1456</v>
      </c>
      <c r="M221" t="s">
        <v>1457</v>
      </c>
      <c r="N221" t="s">
        <v>1289</v>
      </c>
      <c r="O221" s="1" t="s">
        <v>1305</v>
      </c>
      <c r="P221" t="s">
        <v>1291</v>
      </c>
      <c r="Q221" t="s">
        <v>1294</v>
      </c>
      <c r="S221" t="s">
        <v>1294</v>
      </c>
      <c r="T221" t="s">
        <v>1963</v>
      </c>
      <c r="U221">
        <v>0</v>
      </c>
      <c r="V221" t="s">
        <v>1454</v>
      </c>
    </row>
    <row r="222" spans="1:22" x14ac:dyDescent="0.25">
      <c r="A222" t="s">
        <v>1871</v>
      </c>
      <c r="B222" s="1" t="s">
        <v>1454</v>
      </c>
      <c r="C222" s="1" t="s">
        <v>1530</v>
      </c>
      <c r="D222" s="1" t="s">
        <v>1288</v>
      </c>
      <c r="E222" s="1" t="s">
        <v>1368</v>
      </c>
      <c r="F222" t="s">
        <v>2031</v>
      </c>
      <c r="G222" t="s">
        <v>1455</v>
      </c>
      <c r="H222" t="s">
        <v>1356</v>
      </c>
      <c r="I222" t="s">
        <v>1285</v>
      </c>
      <c r="J222" t="s">
        <v>1361</v>
      </c>
      <c r="K222" t="s">
        <v>1164</v>
      </c>
      <c r="L222" t="s">
        <v>1456</v>
      </c>
      <c r="M222" t="s">
        <v>1457</v>
      </c>
      <c r="N222" t="s">
        <v>1289</v>
      </c>
      <c r="O222" s="1" t="s">
        <v>1305</v>
      </c>
      <c r="P222" t="s">
        <v>1291</v>
      </c>
      <c r="Q222" t="s">
        <v>1294</v>
      </c>
      <c r="S222" t="s">
        <v>1294</v>
      </c>
      <c r="T222" t="s">
        <v>2032</v>
      </c>
      <c r="U222">
        <v>0</v>
      </c>
      <c r="V222" t="s">
        <v>1454</v>
      </c>
    </row>
    <row r="223" spans="1:22" x14ac:dyDescent="0.25">
      <c r="A223" t="s">
        <v>1871</v>
      </c>
      <c r="B223" s="1" t="s">
        <v>1454</v>
      </c>
      <c r="C223" s="1" t="s">
        <v>1530</v>
      </c>
      <c r="D223" s="1" t="s">
        <v>1288</v>
      </c>
      <c r="E223" s="1" t="s">
        <v>1368</v>
      </c>
      <c r="F223" t="s">
        <v>2033</v>
      </c>
      <c r="G223" t="s">
        <v>1455</v>
      </c>
      <c r="H223" t="s">
        <v>1356</v>
      </c>
      <c r="I223" t="s">
        <v>1285</v>
      </c>
      <c r="J223" t="s">
        <v>1361</v>
      </c>
      <c r="K223" t="s">
        <v>1164</v>
      </c>
      <c r="L223" t="s">
        <v>1456</v>
      </c>
      <c r="M223" t="s">
        <v>1457</v>
      </c>
      <c r="N223" t="s">
        <v>1289</v>
      </c>
      <c r="O223" s="1" t="s">
        <v>1305</v>
      </c>
      <c r="P223" t="s">
        <v>1291</v>
      </c>
      <c r="Q223" t="s">
        <v>1294</v>
      </c>
      <c r="S223" t="s">
        <v>1294</v>
      </c>
      <c r="T223" t="s">
        <v>2034</v>
      </c>
      <c r="U223">
        <v>0</v>
      </c>
      <c r="V223" t="s">
        <v>1454</v>
      </c>
    </row>
    <row r="224" spans="1:22" x14ac:dyDescent="0.25">
      <c r="A224" t="s">
        <v>1871</v>
      </c>
      <c r="B224" s="1" t="s">
        <v>1454</v>
      </c>
      <c r="C224" s="1" t="s">
        <v>1530</v>
      </c>
      <c r="D224" s="1" t="s">
        <v>1288</v>
      </c>
      <c r="E224" s="1" t="s">
        <v>1368</v>
      </c>
      <c r="F224" t="s">
        <v>2035</v>
      </c>
      <c r="G224" t="s">
        <v>1455</v>
      </c>
      <c r="H224" t="s">
        <v>1356</v>
      </c>
      <c r="I224" t="s">
        <v>1285</v>
      </c>
      <c r="J224" t="s">
        <v>1361</v>
      </c>
      <c r="K224" t="s">
        <v>1164</v>
      </c>
      <c r="L224" t="s">
        <v>1456</v>
      </c>
      <c r="M224" t="s">
        <v>1457</v>
      </c>
      <c r="N224" t="s">
        <v>1289</v>
      </c>
      <c r="O224" s="1" t="s">
        <v>1305</v>
      </c>
      <c r="P224" t="s">
        <v>1291</v>
      </c>
      <c r="Q224" t="s">
        <v>1294</v>
      </c>
      <c r="S224" t="s">
        <v>1294</v>
      </c>
      <c r="T224" t="s">
        <v>2036</v>
      </c>
      <c r="U224">
        <v>0</v>
      </c>
      <c r="V224" t="s">
        <v>1454</v>
      </c>
    </row>
    <row r="225" spans="1:22" x14ac:dyDescent="0.25">
      <c r="A225" t="s">
        <v>1871</v>
      </c>
      <c r="B225" s="1" t="s">
        <v>1454</v>
      </c>
      <c r="C225" s="1" t="s">
        <v>1530</v>
      </c>
      <c r="D225" s="1" t="s">
        <v>1288</v>
      </c>
      <c r="E225" s="1" t="s">
        <v>1378</v>
      </c>
      <c r="F225" t="s">
        <v>2053</v>
      </c>
      <c r="G225" t="s">
        <v>1455</v>
      </c>
      <c r="H225" t="s">
        <v>1356</v>
      </c>
      <c r="I225" t="s">
        <v>1285</v>
      </c>
      <c r="J225" t="s">
        <v>1361</v>
      </c>
      <c r="K225" t="s">
        <v>1164</v>
      </c>
      <c r="L225" t="s">
        <v>1456</v>
      </c>
      <c r="M225" t="s">
        <v>1457</v>
      </c>
      <c r="N225" t="s">
        <v>1289</v>
      </c>
      <c r="O225" s="1" t="s">
        <v>1305</v>
      </c>
      <c r="P225" t="s">
        <v>1291</v>
      </c>
      <c r="Q225" t="s">
        <v>1294</v>
      </c>
      <c r="S225" t="s">
        <v>1294</v>
      </c>
      <c r="T225" t="s">
        <v>2054</v>
      </c>
      <c r="U225">
        <v>0</v>
      </c>
      <c r="V225" t="s">
        <v>1454</v>
      </c>
    </row>
    <row r="226" spans="1:22" ht="30" x14ac:dyDescent="0.25">
      <c r="A226" t="s">
        <v>1871</v>
      </c>
      <c r="B226" s="1" t="s">
        <v>1454</v>
      </c>
      <c r="C226" s="1" t="s">
        <v>1530</v>
      </c>
      <c r="D226" s="1" t="s">
        <v>1288</v>
      </c>
      <c r="E226" s="1" t="s">
        <v>1293</v>
      </c>
      <c r="F226" t="s">
        <v>2100</v>
      </c>
      <c r="G226" t="s">
        <v>1455</v>
      </c>
      <c r="H226" t="s">
        <v>1356</v>
      </c>
      <c r="I226" t="s">
        <v>1285</v>
      </c>
      <c r="J226" t="s">
        <v>1361</v>
      </c>
      <c r="K226" t="s">
        <v>1164</v>
      </c>
      <c r="L226" t="s">
        <v>1456</v>
      </c>
      <c r="M226" t="s">
        <v>1457</v>
      </c>
      <c r="N226" t="s">
        <v>1289</v>
      </c>
      <c r="O226" s="1" t="s">
        <v>1305</v>
      </c>
      <c r="P226" t="s">
        <v>1291</v>
      </c>
      <c r="Q226" t="s">
        <v>1294</v>
      </c>
      <c r="S226" t="s">
        <v>1294</v>
      </c>
      <c r="T226" t="s">
        <v>2101</v>
      </c>
      <c r="U226">
        <v>0</v>
      </c>
      <c r="V226" t="s">
        <v>1454</v>
      </c>
    </row>
    <row r="227" spans="1:22" x14ac:dyDescent="0.25">
      <c r="A227" t="s">
        <v>1871</v>
      </c>
      <c r="B227" s="1" t="s">
        <v>1454</v>
      </c>
      <c r="C227" s="1" t="s">
        <v>1530</v>
      </c>
      <c r="D227" s="1" t="s">
        <v>1288</v>
      </c>
      <c r="E227" s="1" t="s">
        <v>1636</v>
      </c>
      <c r="F227" t="s">
        <v>2129</v>
      </c>
      <c r="G227" t="s">
        <v>1455</v>
      </c>
      <c r="H227" t="s">
        <v>1356</v>
      </c>
      <c r="I227" t="s">
        <v>1285</v>
      </c>
      <c r="J227" t="s">
        <v>1361</v>
      </c>
      <c r="K227" t="s">
        <v>1164</v>
      </c>
      <c r="L227" t="s">
        <v>1456</v>
      </c>
      <c r="M227" t="s">
        <v>1457</v>
      </c>
      <c r="N227" t="s">
        <v>1289</v>
      </c>
      <c r="O227" s="1" t="s">
        <v>1305</v>
      </c>
      <c r="P227" t="s">
        <v>1291</v>
      </c>
      <c r="Q227" t="s">
        <v>1294</v>
      </c>
      <c r="S227" t="s">
        <v>1294</v>
      </c>
      <c r="T227" t="s">
        <v>2130</v>
      </c>
      <c r="U227">
        <v>0</v>
      </c>
      <c r="V227" t="s">
        <v>1454</v>
      </c>
    </row>
    <row r="228" spans="1:22" x14ac:dyDescent="0.25">
      <c r="A228" t="s">
        <v>1871</v>
      </c>
      <c r="B228" s="1" t="s">
        <v>1454</v>
      </c>
      <c r="C228" s="1" t="s">
        <v>1530</v>
      </c>
      <c r="D228" s="1" t="s">
        <v>1288</v>
      </c>
      <c r="E228" s="1" t="s">
        <v>1316</v>
      </c>
      <c r="F228" t="s">
        <v>2242</v>
      </c>
      <c r="G228" t="s">
        <v>1455</v>
      </c>
      <c r="H228" t="s">
        <v>1356</v>
      </c>
      <c r="I228" t="s">
        <v>1285</v>
      </c>
      <c r="J228" t="s">
        <v>1361</v>
      </c>
      <c r="K228" t="s">
        <v>1164</v>
      </c>
      <c r="L228" t="s">
        <v>1456</v>
      </c>
      <c r="M228" t="s">
        <v>1457</v>
      </c>
      <c r="N228" t="s">
        <v>1289</v>
      </c>
      <c r="O228" s="1" t="s">
        <v>1305</v>
      </c>
      <c r="P228" t="s">
        <v>1291</v>
      </c>
      <c r="Q228" t="s">
        <v>1294</v>
      </c>
      <c r="S228" t="s">
        <v>1294</v>
      </c>
      <c r="T228" t="s">
        <v>2243</v>
      </c>
      <c r="U228">
        <v>0</v>
      </c>
      <c r="V228" t="s">
        <v>1454</v>
      </c>
    </row>
    <row r="229" spans="1:22" x14ac:dyDescent="0.25">
      <c r="A229" t="s">
        <v>1871</v>
      </c>
      <c r="B229" s="1" t="s">
        <v>1454</v>
      </c>
      <c r="C229" s="1" t="s">
        <v>1530</v>
      </c>
      <c r="D229" s="1" t="s">
        <v>1288</v>
      </c>
      <c r="E229" s="1" t="s">
        <v>1374</v>
      </c>
      <c r="F229" t="s">
        <v>2247</v>
      </c>
      <c r="G229" t="s">
        <v>1455</v>
      </c>
      <c r="H229" t="s">
        <v>1356</v>
      </c>
      <c r="I229" t="s">
        <v>1285</v>
      </c>
      <c r="J229" t="s">
        <v>1361</v>
      </c>
      <c r="K229" t="s">
        <v>1164</v>
      </c>
      <c r="L229" t="s">
        <v>1456</v>
      </c>
      <c r="M229" t="s">
        <v>1457</v>
      </c>
      <c r="N229" t="s">
        <v>1289</v>
      </c>
      <c r="O229" s="1" t="s">
        <v>1305</v>
      </c>
      <c r="P229" t="s">
        <v>1291</v>
      </c>
      <c r="Q229" t="s">
        <v>1294</v>
      </c>
      <c r="S229" t="s">
        <v>1294</v>
      </c>
      <c r="T229" t="s">
        <v>2248</v>
      </c>
      <c r="U229">
        <v>0</v>
      </c>
      <c r="V229" t="s">
        <v>1454</v>
      </c>
    </row>
    <row r="230" spans="1:22" ht="30" x14ac:dyDescent="0.25">
      <c r="A230" t="s">
        <v>1871</v>
      </c>
      <c r="B230" s="1" t="s">
        <v>1454</v>
      </c>
      <c r="C230" s="1" t="s">
        <v>1530</v>
      </c>
      <c r="D230" s="1" t="s">
        <v>1288</v>
      </c>
      <c r="E230" s="1" t="s">
        <v>1543</v>
      </c>
      <c r="F230" t="s">
        <v>2407</v>
      </c>
      <c r="G230" t="s">
        <v>1455</v>
      </c>
      <c r="H230" t="s">
        <v>1356</v>
      </c>
      <c r="I230" t="s">
        <v>1285</v>
      </c>
      <c r="J230" t="s">
        <v>1361</v>
      </c>
      <c r="K230" t="s">
        <v>1164</v>
      </c>
      <c r="L230" t="s">
        <v>1456</v>
      </c>
      <c r="M230" t="s">
        <v>1457</v>
      </c>
      <c r="N230" t="s">
        <v>1289</v>
      </c>
      <c r="O230" s="1" t="s">
        <v>1305</v>
      </c>
      <c r="P230" t="s">
        <v>1291</v>
      </c>
      <c r="Q230" t="s">
        <v>1294</v>
      </c>
      <c r="S230" t="s">
        <v>1294</v>
      </c>
      <c r="T230" t="s">
        <v>2408</v>
      </c>
      <c r="U230">
        <v>0</v>
      </c>
      <c r="V230" t="s">
        <v>1454</v>
      </c>
    </row>
    <row r="231" spans="1:22" x14ac:dyDescent="0.25">
      <c r="A231" t="s">
        <v>1871</v>
      </c>
      <c r="B231" s="1" t="s">
        <v>1454</v>
      </c>
      <c r="C231" s="1" t="s">
        <v>1530</v>
      </c>
      <c r="D231" s="1" t="s">
        <v>1288</v>
      </c>
      <c r="E231" s="1" t="s">
        <v>1316</v>
      </c>
      <c r="F231" t="s">
        <v>2643</v>
      </c>
      <c r="G231" t="s">
        <v>1455</v>
      </c>
      <c r="H231" t="s">
        <v>1356</v>
      </c>
      <c r="I231" t="s">
        <v>1285</v>
      </c>
      <c r="J231" t="s">
        <v>1361</v>
      </c>
      <c r="K231" t="s">
        <v>1164</v>
      </c>
      <c r="L231" t="s">
        <v>1456</v>
      </c>
      <c r="M231" t="s">
        <v>1457</v>
      </c>
      <c r="N231" t="s">
        <v>1289</v>
      </c>
      <c r="O231" s="1" t="s">
        <v>1305</v>
      </c>
      <c r="P231" t="s">
        <v>1291</v>
      </c>
      <c r="Q231" t="s">
        <v>1294</v>
      </c>
      <c r="S231" t="s">
        <v>1294</v>
      </c>
      <c r="T231" t="s">
        <v>2644</v>
      </c>
      <c r="U231">
        <v>0</v>
      </c>
      <c r="V231" t="s">
        <v>1454</v>
      </c>
    </row>
    <row r="232" spans="1:22" ht="30" x14ac:dyDescent="0.25">
      <c r="A232" t="s">
        <v>1871</v>
      </c>
      <c r="B232" s="1" t="s">
        <v>1454</v>
      </c>
      <c r="C232" s="1" t="s">
        <v>1530</v>
      </c>
      <c r="D232" s="1" t="s">
        <v>1288</v>
      </c>
      <c r="E232" s="1" t="s">
        <v>1293</v>
      </c>
      <c r="F232" t="s">
        <v>2880</v>
      </c>
      <c r="G232" t="s">
        <v>1455</v>
      </c>
      <c r="H232" t="s">
        <v>1356</v>
      </c>
      <c r="I232" t="s">
        <v>1285</v>
      </c>
      <c r="J232" t="s">
        <v>1361</v>
      </c>
      <c r="K232" t="s">
        <v>1164</v>
      </c>
      <c r="L232" t="s">
        <v>1456</v>
      </c>
      <c r="M232" t="s">
        <v>1457</v>
      </c>
      <c r="N232" t="s">
        <v>1289</v>
      </c>
      <c r="O232" s="1" t="s">
        <v>1305</v>
      </c>
      <c r="P232" t="s">
        <v>1291</v>
      </c>
      <c r="Q232" t="s">
        <v>1294</v>
      </c>
      <c r="S232" t="s">
        <v>1294</v>
      </c>
      <c r="T232" t="s">
        <v>2881</v>
      </c>
      <c r="U232">
        <v>0</v>
      </c>
      <c r="V232" t="s">
        <v>1454</v>
      </c>
    </row>
    <row r="233" spans="1:22" x14ac:dyDescent="0.25">
      <c r="A233" t="s">
        <v>1871</v>
      </c>
      <c r="B233" s="1" t="s">
        <v>1454</v>
      </c>
      <c r="C233" s="1" t="s">
        <v>1530</v>
      </c>
      <c r="D233" s="1" t="s">
        <v>1288</v>
      </c>
      <c r="E233" s="1" t="s">
        <v>1316</v>
      </c>
      <c r="F233" t="s">
        <v>2888</v>
      </c>
      <c r="G233" t="s">
        <v>1455</v>
      </c>
      <c r="H233" t="s">
        <v>1356</v>
      </c>
      <c r="I233" t="s">
        <v>1285</v>
      </c>
      <c r="J233" t="s">
        <v>1361</v>
      </c>
      <c r="K233" t="s">
        <v>1164</v>
      </c>
      <c r="L233" t="s">
        <v>1456</v>
      </c>
      <c r="M233" t="s">
        <v>1457</v>
      </c>
      <c r="N233" t="s">
        <v>1289</v>
      </c>
      <c r="O233" s="1" t="s">
        <v>1305</v>
      </c>
      <c r="P233" t="s">
        <v>1291</v>
      </c>
      <c r="Q233" t="s">
        <v>1294</v>
      </c>
      <c r="S233" t="s">
        <v>1294</v>
      </c>
      <c r="T233" t="s">
        <v>2889</v>
      </c>
      <c r="U233">
        <v>0</v>
      </c>
      <c r="V233" t="s">
        <v>1454</v>
      </c>
    </row>
    <row r="234" spans="1:22" x14ac:dyDescent="0.25">
      <c r="A234" t="s">
        <v>1871</v>
      </c>
      <c r="B234" s="1" t="s">
        <v>1454</v>
      </c>
      <c r="C234" s="1" t="s">
        <v>1530</v>
      </c>
      <c r="D234" s="1" t="s">
        <v>1288</v>
      </c>
      <c r="E234" s="1" t="s">
        <v>1316</v>
      </c>
      <c r="F234" t="s">
        <v>2925</v>
      </c>
      <c r="G234" t="s">
        <v>1455</v>
      </c>
      <c r="H234" t="s">
        <v>1356</v>
      </c>
      <c r="I234" t="s">
        <v>1285</v>
      </c>
      <c r="J234" t="s">
        <v>1361</v>
      </c>
      <c r="K234" t="s">
        <v>1164</v>
      </c>
      <c r="L234" t="s">
        <v>1456</v>
      </c>
      <c r="M234" t="s">
        <v>1457</v>
      </c>
      <c r="N234" t="s">
        <v>1289</v>
      </c>
      <c r="O234" s="1" t="s">
        <v>1305</v>
      </c>
      <c r="P234" t="s">
        <v>1291</v>
      </c>
      <c r="Q234" t="s">
        <v>1294</v>
      </c>
      <c r="S234" t="s">
        <v>1294</v>
      </c>
      <c r="T234" t="s">
        <v>2926</v>
      </c>
      <c r="U234">
        <v>0</v>
      </c>
      <c r="V234" t="s">
        <v>1454</v>
      </c>
    </row>
    <row r="235" spans="1:22" x14ac:dyDescent="0.25">
      <c r="A235" t="s">
        <v>1871</v>
      </c>
      <c r="B235" s="1" t="s">
        <v>1454</v>
      </c>
      <c r="C235" s="1" t="s">
        <v>1530</v>
      </c>
      <c r="D235" s="1" t="s">
        <v>1288</v>
      </c>
      <c r="E235" s="1" t="s">
        <v>1316</v>
      </c>
      <c r="F235" t="s">
        <v>2927</v>
      </c>
      <c r="G235" t="s">
        <v>1455</v>
      </c>
      <c r="H235" t="s">
        <v>1356</v>
      </c>
      <c r="I235" t="s">
        <v>1285</v>
      </c>
      <c r="J235" t="s">
        <v>1361</v>
      </c>
      <c r="K235" t="s">
        <v>1164</v>
      </c>
      <c r="L235" t="s">
        <v>1456</v>
      </c>
      <c r="M235" t="s">
        <v>1457</v>
      </c>
      <c r="N235" t="s">
        <v>1289</v>
      </c>
      <c r="O235" s="1" t="s">
        <v>1305</v>
      </c>
      <c r="P235" t="s">
        <v>1291</v>
      </c>
      <c r="Q235" t="s">
        <v>1294</v>
      </c>
      <c r="S235" t="s">
        <v>1294</v>
      </c>
      <c r="T235" t="s">
        <v>2928</v>
      </c>
      <c r="U235">
        <v>0</v>
      </c>
      <c r="V235" t="s">
        <v>1454</v>
      </c>
    </row>
    <row r="236" spans="1:22" x14ac:dyDescent="0.25">
      <c r="A236" t="s">
        <v>1871</v>
      </c>
      <c r="B236" s="1" t="s">
        <v>1454</v>
      </c>
      <c r="C236" s="1" t="s">
        <v>1530</v>
      </c>
      <c r="D236" s="1" t="s">
        <v>1288</v>
      </c>
      <c r="E236" s="1" t="s">
        <v>1368</v>
      </c>
      <c r="F236" t="s">
        <v>3062</v>
      </c>
      <c r="G236" t="s">
        <v>1455</v>
      </c>
      <c r="H236" t="s">
        <v>1356</v>
      </c>
      <c r="I236" t="s">
        <v>1285</v>
      </c>
      <c r="J236" t="s">
        <v>1361</v>
      </c>
      <c r="K236" t="s">
        <v>1164</v>
      </c>
      <c r="L236" t="s">
        <v>1456</v>
      </c>
      <c r="M236" t="s">
        <v>1457</v>
      </c>
      <c r="N236" t="s">
        <v>1289</v>
      </c>
      <c r="O236" s="1" t="s">
        <v>1305</v>
      </c>
      <c r="P236" t="s">
        <v>1291</v>
      </c>
      <c r="Q236" t="s">
        <v>1294</v>
      </c>
      <c r="S236" t="s">
        <v>1294</v>
      </c>
      <c r="T236" t="s">
        <v>3063</v>
      </c>
      <c r="U236">
        <v>0</v>
      </c>
      <c r="V236" t="s">
        <v>1454</v>
      </c>
    </row>
    <row r="237" spans="1:22" x14ac:dyDescent="0.25">
      <c r="A237" t="s">
        <v>1871</v>
      </c>
      <c r="B237" s="1" t="s">
        <v>1454</v>
      </c>
      <c r="C237" s="1" t="s">
        <v>1530</v>
      </c>
      <c r="D237" s="1" t="s">
        <v>1288</v>
      </c>
      <c r="E237" s="1" t="s">
        <v>1393</v>
      </c>
      <c r="F237" t="s">
        <v>3118</v>
      </c>
      <c r="G237" t="s">
        <v>1455</v>
      </c>
      <c r="H237" t="s">
        <v>1356</v>
      </c>
      <c r="I237" t="s">
        <v>1285</v>
      </c>
      <c r="J237" t="s">
        <v>1361</v>
      </c>
      <c r="K237" t="s">
        <v>1164</v>
      </c>
      <c r="L237" t="s">
        <v>1456</v>
      </c>
      <c r="M237" t="s">
        <v>1457</v>
      </c>
      <c r="N237" t="s">
        <v>1289</v>
      </c>
      <c r="O237" s="1" t="s">
        <v>1305</v>
      </c>
      <c r="P237" t="s">
        <v>1291</v>
      </c>
      <c r="Q237" t="s">
        <v>1294</v>
      </c>
      <c r="S237" t="s">
        <v>1294</v>
      </c>
      <c r="T237" t="s">
        <v>3119</v>
      </c>
      <c r="U237">
        <v>0</v>
      </c>
      <c r="V237" t="s">
        <v>1454</v>
      </c>
    </row>
    <row r="238" spans="1:22" x14ac:dyDescent="0.25">
      <c r="A238" t="s">
        <v>1871</v>
      </c>
      <c r="B238" s="1" t="s">
        <v>1454</v>
      </c>
      <c r="C238" s="1" t="s">
        <v>1530</v>
      </c>
      <c r="D238" s="1" t="s">
        <v>1288</v>
      </c>
      <c r="E238" s="1" t="s">
        <v>1350</v>
      </c>
      <c r="F238" t="s">
        <v>3211</v>
      </c>
      <c r="G238" t="s">
        <v>1455</v>
      </c>
      <c r="H238" t="s">
        <v>1356</v>
      </c>
      <c r="I238" t="s">
        <v>1285</v>
      </c>
      <c r="J238" t="s">
        <v>1361</v>
      </c>
      <c r="K238" t="s">
        <v>1164</v>
      </c>
      <c r="L238" t="s">
        <v>1456</v>
      </c>
      <c r="M238" t="s">
        <v>1457</v>
      </c>
      <c r="N238" t="s">
        <v>1289</v>
      </c>
      <c r="O238" s="1" t="s">
        <v>1305</v>
      </c>
      <c r="P238" t="s">
        <v>1291</v>
      </c>
      <c r="Q238" t="s">
        <v>1294</v>
      </c>
      <c r="S238" t="s">
        <v>1294</v>
      </c>
      <c r="T238" t="s">
        <v>3212</v>
      </c>
      <c r="U238">
        <v>0</v>
      </c>
      <c r="V238" t="s">
        <v>1454</v>
      </c>
    </row>
    <row r="239" spans="1:22" x14ac:dyDescent="0.25">
      <c r="A239" t="s">
        <v>1871</v>
      </c>
      <c r="B239" s="1" t="s">
        <v>1454</v>
      </c>
      <c r="C239" s="1" t="s">
        <v>1530</v>
      </c>
      <c r="D239" s="1" t="s">
        <v>1288</v>
      </c>
      <c r="E239" s="1" t="s">
        <v>1350</v>
      </c>
      <c r="F239" t="s">
        <v>3263</v>
      </c>
      <c r="G239" t="s">
        <v>1455</v>
      </c>
      <c r="H239" t="s">
        <v>1356</v>
      </c>
      <c r="I239" t="s">
        <v>1285</v>
      </c>
      <c r="J239" t="s">
        <v>1361</v>
      </c>
      <c r="K239" t="s">
        <v>1164</v>
      </c>
      <c r="L239" t="s">
        <v>1456</v>
      </c>
      <c r="M239" t="s">
        <v>1457</v>
      </c>
      <c r="N239" t="s">
        <v>1289</v>
      </c>
      <c r="O239" s="1" t="s">
        <v>1305</v>
      </c>
      <c r="P239" t="s">
        <v>1291</v>
      </c>
      <c r="Q239" t="s">
        <v>1294</v>
      </c>
      <c r="S239" t="s">
        <v>1294</v>
      </c>
      <c r="T239" t="s">
        <v>3264</v>
      </c>
      <c r="U239">
        <v>0</v>
      </c>
      <c r="V239" t="s">
        <v>1454</v>
      </c>
    </row>
    <row r="240" spans="1:22" x14ac:dyDescent="0.25">
      <c r="A240" t="s">
        <v>1871</v>
      </c>
      <c r="B240" s="1" t="s">
        <v>1454</v>
      </c>
      <c r="C240" s="1" t="s">
        <v>1530</v>
      </c>
      <c r="D240" s="1" t="s">
        <v>1288</v>
      </c>
      <c r="E240" s="1" t="s">
        <v>1350</v>
      </c>
      <c r="F240" t="s">
        <v>3296</v>
      </c>
      <c r="G240" t="s">
        <v>1455</v>
      </c>
      <c r="H240" t="s">
        <v>1356</v>
      </c>
      <c r="I240" t="s">
        <v>1285</v>
      </c>
      <c r="J240" t="s">
        <v>1361</v>
      </c>
      <c r="K240" t="s">
        <v>1164</v>
      </c>
      <c r="L240" t="s">
        <v>1456</v>
      </c>
      <c r="M240" t="s">
        <v>1457</v>
      </c>
      <c r="N240" t="s">
        <v>1289</v>
      </c>
      <c r="O240" s="1" t="s">
        <v>1305</v>
      </c>
      <c r="P240" t="s">
        <v>1291</v>
      </c>
      <c r="Q240" t="s">
        <v>1294</v>
      </c>
      <c r="S240" t="s">
        <v>1294</v>
      </c>
      <c r="T240" t="s">
        <v>1296</v>
      </c>
      <c r="U240">
        <v>0</v>
      </c>
      <c r="V240" t="s">
        <v>1454</v>
      </c>
    </row>
    <row r="241" spans="1:22" x14ac:dyDescent="0.25">
      <c r="A241" t="s">
        <v>1871</v>
      </c>
      <c r="B241" s="1" t="s">
        <v>1454</v>
      </c>
      <c r="C241" s="1" t="s">
        <v>1530</v>
      </c>
      <c r="D241" s="1" t="s">
        <v>1288</v>
      </c>
      <c r="E241" s="1" t="s">
        <v>1358</v>
      </c>
      <c r="F241" t="s">
        <v>3350</v>
      </c>
      <c r="G241" t="s">
        <v>1455</v>
      </c>
      <c r="H241" t="s">
        <v>1356</v>
      </c>
      <c r="I241" t="s">
        <v>1285</v>
      </c>
      <c r="J241" t="s">
        <v>1361</v>
      </c>
      <c r="K241" t="s">
        <v>1164</v>
      </c>
      <c r="L241" t="s">
        <v>1456</v>
      </c>
      <c r="M241" t="s">
        <v>1457</v>
      </c>
      <c r="N241" t="s">
        <v>1289</v>
      </c>
      <c r="O241" s="1" t="s">
        <v>1305</v>
      </c>
      <c r="P241" t="s">
        <v>1291</v>
      </c>
      <c r="Q241" t="s">
        <v>1294</v>
      </c>
      <c r="S241" t="s">
        <v>1294</v>
      </c>
      <c r="T241" t="s">
        <v>1296</v>
      </c>
      <c r="U241">
        <v>0</v>
      </c>
      <c r="V241" t="s">
        <v>1454</v>
      </c>
    </row>
    <row r="242" spans="1:22" x14ac:dyDescent="0.25">
      <c r="A242" t="s">
        <v>1871</v>
      </c>
      <c r="B242" s="1" t="s">
        <v>1454</v>
      </c>
      <c r="C242" s="1" t="s">
        <v>1530</v>
      </c>
      <c r="D242" s="1" t="s">
        <v>1288</v>
      </c>
      <c r="E242" s="1" t="s">
        <v>1350</v>
      </c>
      <c r="F242" t="s">
        <v>3363</v>
      </c>
      <c r="G242" t="s">
        <v>1455</v>
      </c>
      <c r="H242" t="s">
        <v>1356</v>
      </c>
      <c r="I242" t="s">
        <v>1285</v>
      </c>
      <c r="J242" t="s">
        <v>1361</v>
      </c>
      <c r="K242" t="s">
        <v>1164</v>
      </c>
      <c r="L242" t="s">
        <v>1456</v>
      </c>
      <c r="M242" t="s">
        <v>1457</v>
      </c>
      <c r="N242" t="s">
        <v>1289</v>
      </c>
      <c r="O242" s="1" t="s">
        <v>1305</v>
      </c>
      <c r="P242" t="s">
        <v>1291</v>
      </c>
      <c r="Q242" t="s">
        <v>1294</v>
      </c>
      <c r="S242" t="s">
        <v>1294</v>
      </c>
      <c r="T242" t="s">
        <v>3364</v>
      </c>
      <c r="U242">
        <v>0</v>
      </c>
      <c r="V242" t="s">
        <v>1454</v>
      </c>
    </row>
    <row r="243" spans="1:22" x14ac:dyDescent="0.25">
      <c r="A243" t="s">
        <v>1871</v>
      </c>
      <c r="B243" s="1" t="s">
        <v>1454</v>
      </c>
      <c r="C243" s="1" t="s">
        <v>1530</v>
      </c>
      <c r="D243" s="1" t="s">
        <v>1288</v>
      </c>
      <c r="E243" s="1" t="s">
        <v>1358</v>
      </c>
      <c r="F243" t="s">
        <v>3425</v>
      </c>
      <c r="G243" t="s">
        <v>1455</v>
      </c>
      <c r="H243" t="s">
        <v>1356</v>
      </c>
      <c r="I243" t="s">
        <v>1285</v>
      </c>
      <c r="J243" t="s">
        <v>1361</v>
      </c>
      <c r="K243" t="s">
        <v>1164</v>
      </c>
      <c r="L243" t="s">
        <v>1456</v>
      </c>
      <c r="M243" t="s">
        <v>1457</v>
      </c>
      <c r="N243" t="s">
        <v>1289</v>
      </c>
      <c r="O243" s="1" t="s">
        <v>1305</v>
      </c>
      <c r="P243" t="s">
        <v>1291</v>
      </c>
      <c r="Q243" t="s">
        <v>1294</v>
      </c>
      <c r="S243" t="s">
        <v>1294</v>
      </c>
      <c r="T243" t="s">
        <v>3426</v>
      </c>
      <c r="U243">
        <v>0</v>
      </c>
      <c r="V243" t="s">
        <v>1454</v>
      </c>
    </row>
    <row r="244" spans="1:22" x14ac:dyDescent="0.25">
      <c r="A244" t="s">
        <v>1871</v>
      </c>
      <c r="B244" s="1" t="s">
        <v>1454</v>
      </c>
      <c r="C244" s="1" t="s">
        <v>1530</v>
      </c>
      <c r="D244" s="1" t="s">
        <v>1288</v>
      </c>
      <c r="E244" s="1" t="s">
        <v>1358</v>
      </c>
      <c r="F244" t="s">
        <v>3427</v>
      </c>
      <c r="G244" t="s">
        <v>1455</v>
      </c>
      <c r="H244" t="s">
        <v>1356</v>
      </c>
      <c r="I244" t="s">
        <v>1285</v>
      </c>
      <c r="J244" t="s">
        <v>1361</v>
      </c>
      <c r="K244" t="s">
        <v>1164</v>
      </c>
      <c r="L244" t="s">
        <v>1456</v>
      </c>
      <c r="M244" t="s">
        <v>1457</v>
      </c>
      <c r="N244" t="s">
        <v>1289</v>
      </c>
      <c r="O244" s="1" t="s">
        <v>1305</v>
      </c>
      <c r="P244" t="s">
        <v>1291</v>
      </c>
      <c r="Q244" t="s">
        <v>1294</v>
      </c>
      <c r="S244" t="s">
        <v>1294</v>
      </c>
      <c r="T244" t="s">
        <v>3428</v>
      </c>
      <c r="U244">
        <v>0</v>
      </c>
      <c r="V244" t="s">
        <v>1454</v>
      </c>
    </row>
    <row r="245" spans="1:22" ht="30" x14ac:dyDescent="0.25">
      <c r="A245" t="s">
        <v>1281</v>
      </c>
      <c r="B245" s="1" t="s">
        <v>1380</v>
      </c>
      <c r="C245" s="1" t="s">
        <v>1327</v>
      </c>
      <c r="D245" s="1" t="s">
        <v>1288</v>
      </c>
      <c r="E245" s="1" t="s">
        <v>1293</v>
      </c>
      <c r="F245" t="s">
        <v>1379</v>
      </c>
      <c r="G245" t="s">
        <v>1381</v>
      </c>
      <c r="H245" t="s">
        <v>1356</v>
      </c>
      <c r="I245" t="s">
        <v>1285</v>
      </c>
      <c r="J245" t="s">
        <v>1170</v>
      </c>
      <c r="K245" t="s">
        <v>1170</v>
      </c>
      <c r="L245" t="s">
        <v>1382</v>
      </c>
      <c r="M245" t="s">
        <v>1383</v>
      </c>
      <c r="N245" t="s">
        <v>1289</v>
      </c>
      <c r="O245" s="1" t="s">
        <v>795</v>
      </c>
      <c r="P245" t="s">
        <v>1291</v>
      </c>
      <c r="Q245" t="s">
        <v>1292</v>
      </c>
      <c r="S245" t="s">
        <v>1375</v>
      </c>
      <c r="T245" t="s">
        <v>1296</v>
      </c>
      <c r="U245">
        <v>0</v>
      </c>
      <c r="V245" t="s">
        <v>1380</v>
      </c>
    </row>
    <row r="246" spans="1:22" ht="30" x14ac:dyDescent="0.25">
      <c r="A246" t="s">
        <v>1460</v>
      </c>
      <c r="B246" s="1" t="s">
        <v>1380</v>
      </c>
      <c r="C246" s="1" t="s">
        <v>1295</v>
      </c>
      <c r="D246" s="1" t="s">
        <v>1288</v>
      </c>
      <c r="E246" s="1" t="s">
        <v>1636</v>
      </c>
      <c r="F246" t="s">
        <v>1707</v>
      </c>
      <c r="G246" t="s">
        <v>1381</v>
      </c>
      <c r="H246" t="s">
        <v>1356</v>
      </c>
      <c r="I246" t="s">
        <v>1285</v>
      </c>
      <c r="J246" t="s">
        <v>1170</v>
      </c>
      <c r="K246" t="s">
        <v>1170</v>
      </c>
      <c r="L246" t="s">
        <v>1382</v>
      </c>
      <c r="M246" t="s">
        <v>1383</v>
      </c>
      <c r="N246" t="s">
        <v>1289</v>
      </c>
      <c r="O246" s="1" t="s">
        <v>795</v>
      </c>
      <c r="P246" t="s">
        <v>1291</v>
      </c>
      <c r="Q246" t="s">
        <v>1292</v>
      </c>
      <c r="S246" t="s">
        <v>1375</v>
      </c>
      <c r="T246" t="s">
        <v>1708</v>
      </c>
      <c r="U246">
        <v>0</v>
      </c>
      <c r="V246" t="s">
        <v>1380</v>
      </c>
    </row>
    <row r="247" spans="1:22" ht="30" x14ac:dyDescent="0.25">
      <c r="A247" t="s">
        <v>1871</v>
      </c>
      <c r="B247" s="1" t="s">
        <v>1380</v>
      </c>
      <c r="C247" s="1" t="s">
        <v>1530</v>
      </c>
      <c r="D247" s="1" t="s">
        <v>1288</v>
      </c>
      <c r="E247" s="1" t="s">
        <v>1326</v>
      </c>
      <c r="F247" t="s">
        <v>2227</v>
      </c>
      <c r="G247" t="s">
        <v>1381</v>
      </c>
      <c r="H247" t="s">
        <v>1356</v>
      </c>
      <c r="I247" t="s">
        <v>1285</v>
      </c>
      <c r="J247" t="s">
        <v>1170</v>
      </c>
      <c r="K247" t="s">
        <v>1170</v>
      </c>
      <c r="L247" t="s">
        <v>1382</v>
      </c>
      <c r="M247" t="s">
        <v>1383</v>
      </c>
      <c r="N247" t="s">
        <v>1289</v>
      </c>
      <c r="O247" s="1" t="s">
        <v>795</v>
      </c>
      <c r="P247" t="s">
        <v>1291</v>
      </c>
      <c r="Q247" t="s">
        <v>1292</v>
      </c>
      <c r="S247" t="s">
        <v>1375</v>
      </c>
      <c r="T247" t="s">
        <v>2228</v>
      </c>
      <c r="U247">
        <v>0</v>
      </c>
      <c r="V247" t="s">
        <v>1380</v>
      </c>
    </row>
    <row r="248" spans="1:22" ht="30" x14ac:dyDescent="0.25">
      <c r="A248" t="s">
        <v>1871</v>
      </c>
      <c r="B248" s="1" t="s">
        <v>1380</v>
      </c>
      <c r="C248" s="1" t="s">
        <v>1530</v>
      </c>
      <c r="D248" s="1" t="s">
        <v>1288</v>
      </c>
      <c r="E248" s="1" t="s">
        <v>1326</v>
      </c>
      <c r="F248" t="s">
        <v>2231</v>
      </c>
      <c r="G248" t="s">
        <v>1381</v>
      </c>
      <c r="H248" t="s">
        <v>1356</v>
      </c>
      <c r="I248" t="s">
        <v>1285</v>
      </c>
      <c r="J248" t="s">
        <v>1170</v>
      </c>
      <c r="K248" t="s">
        <v>1170</v>
      </c>
      <c r="L248" t="s">
        <v>1382</v>
      </c>
      <c r="M248" t="s">
        <v>1383</v>
      </c>
      <c r="N248" t="s">
        <v>1289</v>
      </c>
      <c r="O248" s="1" t="s">
        <v>795</v>
      </c>
      <c r="P248" t="s">
        <v>1291</v>
      </c>
      <c r="Q248" t="s">
        <v>1292</v>
      </c>
      <c r="S248" t="s">
        <v>1375</v>
      </c>
      <c r="T248" t="s">
        <v>2232</v>
      </c>
      <c r="U248">
        <v>0</v>
      </c>
      <c r="V248" t="s">
        <v>1380</v>
      </c>
    </row>
    <row r="249" spans="1:22" ht="30" x14ac:dyDescent="0.25">
      <c r="A249" t="s">
        <v>1871</v>
      </c>
      <c r="B249" s="1" t="s">
        <v>1380</v>
      </c>
      <c r="C249" s="1" t="s">
        <v>1530</v>
      </c>
      <c r="D249" s="1" t="s">
        <v>1288</v>
      </c>
      <c r="E249" s="1" t="s">
        <v>1326</v>
      </c>
      <c r="F249" t="s">
        <v>2233</v>
      </c>
      <c r="G249" t="s">
        <v>1381</v>
      </c>
      <c r="H249" t="s">
        <v>1356</v>
      </c>
      <c r="I249" t="s">
        <v>1285</v>
      </c>
      <c r="J249" t="s">
        <v>1170</v>
      </c>
      <c r="K249" t="s">
        <v>1170</v>
      </c>
      <c r="L249" t="s">
        <v>1382</v>
      </c>
      <c r="M249" t="s">
        <v>1383</v>
      </c>
      <c r="N249" t="s">
        <v>1289</v>
      </c>
      <c r="O249" s="1" t="s">
        <v>795</v>
      </c>
      <c r="P249" t="s">
        <v>1291</v>
      </c>
      <c r="Q249" t="s">
        <v>1292</v>
      </c>
      <c r="S249" t="s">
        <v>1375</v>
      </c>
      <c r="T249" t="s">
        <v>1296</v>
      </c>
      <c r="U249">
        <v>0</v>
      </c>
      <c r="V249" t="s">
        <v>1380</v>
      </c>
    </row>
    <row r="250" spans="1:22" ht="30" x14ac:dyDescent="0.25">
      <c r="A250" t="s">
        <v>1871</v>
      </c>
      <c r="B250" s="1" t="s">
        <v>1380</v>
      </c>
      <c r="C250" s="1" t="s">
        <v>1530</v>
      </c>
      <c r="D250" s="1" t="s">
        <v>1288</v>
      </c>
      <c r="E250" s="1" t="s">
        <v>1293</v>
      </c>
      <c r="F250" t="s">
        <v>2566</v>
      </c>
      <c r="G250" t="s">
        <v>1381</v>
      </c>
      <c r="H250" t="s">
        <v>1356</v>
      </c>
      <c r="I250" t="s">
        <v>1285</v>
      </c>
      <c r="J250" t="s">
        <v>1170</v>
      </c>
      <c r="K250" t="s">
        <v>1170</v>
      </c>
      <c r="L250" t="s">
        <v>1382</v>
      </c>
      <c r="M250" t="s">
        <v>1383</v>
      </c>
      <c r="N250" t="s">
        <v>1289</v>
      </c>
      <c r="O250" s="1" t="s">
        <v>795</v>
      </c>
      <c r="P250" t="s">
        <v>1291</v>
      </c>
      <c r="Q250" t="s">
        <v>1292</v>
      </c>
      <c r="S250" t="s">
        <v>1375</v>
      </c>
      <c r="T250" t="s">
        <v>2567</v>
      </c>
      <c r="U250">
        <v>0</v>
      </c>
      <c r="V250" t="s">
        <v>1380</v>
      </c>
    </row>
    <row r="251" spans="1:22" ht="30" x14ac:dyDescent="0.25">
      <c r="A251" t="s">
        <v>1871</v>
      </c>
      <c r="B251" s="1" t="s">
        <v>1380</v>
      </c>
      <c r="C251" s="1" t="s">
        <v>1530</v>
      </c>
      <c r="D251" s="1" t="s">
        <v>1288</v>
      </c>
      <c r="E251" s="1" t="s">
        <v>1293</v>
      </c>
      <c r="F251" t="s">
        <v>2677</v>
      </c>
      <c r="G251" t="s">
        <v>1381</v>
      </c>
      <c r="H251" t="s">
        <v>1356</v>
      </c>
      <c r="I251" t="s">
        <v>1285</v>
      </c>
      <c r="J251" t="s">
        <v>1170</v>
      </c>
      <c r="K251" t="s">
        <v>1170</v>
      </c>
      <c r="L251" t="s">
        <v>1382</v>
      </c>
      <c r="M251" t="s">
        <v>1383</v>
      </c>
      <c r="N251" t="s">
        <v>1289</v>
      </c>
      <c r="O251" s="1" t="s">
        <v>795</v>
      </c>
      <c r="P251" t="s">
        <v>1291</v>
      </c>
      <c r="Q251" t="s">
        <v>1292</v>
      </c>
      <c r="S251" t="s">
        <v>1375</v>
      </c>
      <c r="T251" t="s">
        <v>2678</v>
      </c>
      <c r="U251">
        <v>0</v>
      </c>
      <c r="V251" t="s">
        <v>1380</v>
      </c>
    </row>
    <row r="252" spans="1:22" ht="30" x14ac:dyDescent="0.25">
      <c r="A252" t="s">
        <v>1871</v>
      </c>
      <c r="B252" s="1" t="s">
        <v>1380</v>
      </c>
      <c r="C252" s="1" t="s">
        <v>1530</v>
      </c>
      <c r="D252" s="1" t="s">
        <v>1288</v>
      </c>
      <c r="E252" s="1" t="s">
        <v>1293</v>
      </c>
      <c r="F252" t="s">
        <v>3021</v>
      </c>
      <c r="G252" t="s">
        <v>1381</v>
      </c>
      <c r="H252" t="s">
        <v>1356</v>
      </c>
      <c r="I252" t="s">
        <v>1285</v>
      </c>
      <c r="J252" t="s">
        <v>1170</v>
      </c>
      <c r="K252" t="s">
        <v>1170</v>
      </c>
      <c r="L252" t="s">
        <v>1382</v>
      </c>
      <c r="M252" t="s">
        <v>1383</v>
      </c>
      <c r="N252" t="s">
        <v>1289</v>
      </c>
      <c r="O252" s="1" t="s">
        <v>795</v>
      </c>
      <c r="P252" t="s">
        <v>1291</v>
      </c>
      <c r="Q252" t="s">
        <v>1292</v>
      </c>
      <c r="S252" t="s">
        <v>1375</v>
      </c>
      <c r="T252" t="s">
        <v>3022</v>
      </c>
      <c r="U252">
        <v>0</v>
      </c>
      <c r="V252" t="s">
        <v>1380</v>
      </c>
    </row>
    <row r="253" spans="1:22" ht="30" x14ac:dyDescent="0.25">
      <c r="A253" t="s">
        <v>1871</v>
      </c>
      <c r="B253" s="1" t="s">
        <v>1380</v>
      </c>
      <c r="C253" s="1" t="s">
        <v>1530</v>
      </c>
      <c r="D253" s="1" t="s">
        <v>1288</v>
      </c>
      <c r="E253" s="1" t="s">
        <v>1636</v>
      </c>
      <c r="F253" t="s">
        <v>3096</v>
      </c>
      <c r="G253" t="s">
        <v>1381</v>
      </c>
      <c r="H253" t="s">
        <v>1356</v>
      </c>
      <c r="I253" t="s">
        <v>1285</v>
      </c>
      <c r="J253" t="s">
        <v>1170</v>
      </c>
      <c r="K253" t="s">
        <v>1170</v>
      </c>
      <c r="L253" t="s">
        <v>1382</v>
      </c>
      <c r="M253" t="s">
        <v>1383</v>
      </c>
      <c r="N253" t="s">
        <v>1289</v>
      </c>
      <c r="O253" s="1" t="s">
        <v>795</v>
      </c>
      <c r="P253" t="s">
        <v>1291</v>
      </c>
      <c r="Q253" t="s">
        <v>1292</v>
      </c>
      <c r="S253" t="s">
        <v>1375</v>
      </c>
      <c r="T253" t="s">
        <v>3097</v>
      </c>
      <c r="U253">
        <v>0</v>
      </c>
      <c r="V253" t="s">
        <v>1380</v>
      </c>
    </row>
    <row r="254" spans="1:22" ht="30" x14ac:dyDescent="0.25">
      <c r="A254" t="s">
        <v>1871</v>
      </c>
      <c r="B254" s="1" t="s">
        <v>1380</v>
      </c>
      <c r="C254" s="1" t="s">
        <v>1530</v>
      </c>
      <c r="D254" s="1" t="s">
        <v>1288</v>
      </c>
      <c r="E254" s="1" t="s">
        <v>1636</v>
      </c>
      <c r="F254" t="s">
        <v>3098</v>
      </c>
      <c r="G254" t="s">
        <v>1381</v>
      </c>
      <c r="H254" t="s">
        <v>1356</v>
      </c>
      <c r="I254" t="s">
        <v>1285</v>
      </c>
      <c r="J254" t="s">
        <v>1170</v>
      </c>
      <c r="K254" t="s">
        <v>1170</v>
      </c>
      <c r="L254" t="s">
        <v>1382</v>
      </c>
      <c r="M254" t="s">
        <v>1383</v>
      </c>
      <c r="N254" t="s">
        <v>1289</v>
      </c>
      <c r="O254" s="1" t="s">
        <v>795</v>
      </c>
      <c r="P254" t="s">
        <v>1291</v>
      </c>
      <c r="Q254" t="s">
        <v>1292</v>
      </c>
      <c r="S254" t="s">
        <v>1375</v>
      </c>
      <c r="T254" t="s">
        <v>3099</v>
      </c>
      <c r="U254">
        <v>0</v>
      </c>
      <c r="V254" t="s">
        <v>1380</v>
      </c>
    </row>
    <row r="255" spans="1:22" ht="30" x14ac:dyDescent="0.25">
      <c r="A255" t="s">
        <v>1871</v>
      </c>
      <c r="B255" s="1" t="s">
        <v>1380</v>
      </c>
      <c r="C255" s="1" t="s">
        <v>1530</v>
      </c>
      <c r="D255" s="1" t="s">
        <v>1288</v>
      </c>
      <c r="E255" s="1" t="s">
        <v>1636</v>
      </c>
      <c r="F255" t="s">
        <v>3106</v>
      </c>
      <c r="G255" t="s">
        <v>1381</v>
      </c>
      <c r="H255" t="s">
        <v>1356</v>
      </c>
      <c r="I255" t="s">
        <v>1285</v>
      </c>
      <c r="J255" t="s">
        <v>1170</v>
      </c>
      <c r="K255" t="s">
        <v>1170</v>
      </c>
      <c r="L255" t="s">
        <v>1382</v>
      </c>
      <c r="M255" t="s">
        <v>1383</v>
      </c>
      <c r="N255" t="s">
        <v>1289</v>
      </c>
      <c r="O255" s="1" t="s">
        <v>795</v>
      </c>
      <c r="P255" t="s">
        <v>1291</v>
      </c>
      <c r="Q255" t="s">
        <v>1292</v>
      </c>
      <c r="S255" t="s">
        <v>1375</v>
      </c>
      <c r="T255" t="s">
        <v>3107</v>
      </c>
      <c r="U255">
        <v>0</v>
      </c>
      <c r="V255" t="s">
        <v>1380</v>
      </c>
    </row>
    <row r="256" spans="1:22" ht="30" x14ac:dyDescent="0.25">
      <c r="A256" t="s">
        <v>1871</v>
      </c>
      <c r="B256" s="1" t="s">
        <v>1380</v>
      </c>
      <c r="C256" s="1" t="s">
        <v>1530</v>
      </c>
      <c r="D256" s="1" t="s">
        <v>1288</v>
      </c>
      <c r="E256" s="1" t="s">
        <v>1636</v>
      </c>
      <c r="F256" t="s">
        <v>3108</v>
      </c>
      <c r="G256" t="s">
        <v>1381</v>
      </c>
      <c r="H256" t="s">
        <v>1356</v>
      </c>
      <c r="I256" t="s">
        <v>1285</v>
      </c>
      <c r="J256" t="s">
        <v>1170</v>
      </c>
      <c r="K256" t="s">
        <v>1170</v>
      </c>
      <c r="L256" t="s">
        <v>1382</v>
      </c>
      <c r="M256" t="s">
        <v>1383</v>
      </c>
      <c r="N256" t="s">
        <v>1289</v>
      </c>
      <c r="O256" s="1" t="s">
        <v>795</v>
      </c>
      <c r="P256" t="s">
        <v>1291</v>
      </c>
      <c r="Q256" t="s">
        <v>1292</v>
      </c>
      <c r="S256" t="s">
        <v>1375</v>
      </c>
      <c r="T256" t="s">
        <v>3109</v>
      </c>
      <c r="U256">
        <v>0</v>
      </c>
      <c r="V256" t="s">
        <v>1380</v>
      </c>
    </row>
    <row r="257" spans="1:22" ht="30" x14ac:dyDescent="0.25">
      <c r="A257" t="s">
        <v>1460</v>
      </c>
      <c r="B257" s="1" t="s">
        <v>1582</v>
      </c>
      <c r="C257" s="1" t="s">
        <v>1327</v>
      </c>
      <c r="D257" s="1" t="s">
        <v>1288</v>
      </c>
      <c r="E257" s="1" t="s">
        <v>1410</v>
      </c>
      <c r="F257" t="s">
        <v>1581</v>
      </c>
      <c r="G257" t="s">
        <v>1583</v>
      </c>
      <c r="H257" t="s">
        <v>1284</v>
      </c>
      <c r="I257" t="s">
        <v>1285</v>
      </c>
      <c r="J257" t="s">
        <v>1312</v>
      </c>
      <c r="K257" t="s">
        <v>1584</v>
      </c>
      <c r="L257" t="s">
        <v>1585</v>
      </c>
      <c r="M257" t="s">
        <v>1586</v>
      </c>
      <c r="N257">
        <v>50000</v>
      </c>
      <c r="O257" s="1" t="s">
        <v>1336</v>
      </c>
      <c r="P257" t="s">
        <v>1484</v>
      </c>
      <c r="Q257" t="s">
        <v>1292</v>
      </c>
      <c r="S257" t="s">
        <v>1294</v>
      </c>
      <c r="T257" t="s">
        <v>1296</v>
      </c>
      <c r="U257">
        <v>601545</v>
      </c>
      <c r="V257" t="s">
        <v>1587</v>
      </c>
    </row>
    <row r="258" spans="1:22" ht="30" x14ac:dyDescent="0.25">
      <c r="A258" t="s">
        <v>1460</v>
      </c>
      <c r="B258" s="1" t="s">
        <v>1582</v>
      </c>
      <c r="C258" s="1" t="s">
        <v>1320</v>
      </c>
      <c r="D258" s="1" t="s">
        <v>1288</v>
      </c>
      <c r="E258" s="1" t="s">
        <v>1410</v>
      </c>
      <c r="F258" t="s">
        <v>1588</v>
      </c>
      <c r="G258" t="s">
        <v>1583</v>
      </c>
      <c r="H258" t="s">
        <v>1284</v>
      </c>
      <c r="I258" t="s">
        <v>1285</v>
      </c>
      <c r="J258" t="s">
        <v>1312</v>
      </c>
      <c r="K258" t="s">
        <v>1589</v>
      </c>
      <c r="L258" t="s">
        <v>1585</v>
      </c>
      <c r="M258" t="s">
        <v>1586</v>
      </c>
      <c r="N258">
        <v>50000</v>
      </c>
      <c r="O258" s="1" t="s">
        <v>1336</v>
      </c>
      <c r="P258" t="s">
        <v>1484</v>
      </c>
      <c r="Q258" t="s">
        <v>1292</v>
      </c>
      <c r="S258" t="s">
        <v>1294</v>
      </c>
      <c r="T258" t="s">
        <v>1296</v>
      </c>
      <c r="U258">
        <v>1911042</v>
      </c>
      <c r="V258" t="s">
        <v>1590</v>
      </c>
    </row>
    <row r="259" spans="1:22" ht="30" x14ac:dyDescent="0.25">
      <c r="A259" t="s">
        <v>1460</v>
      </c>
      <c r="B259" s="1" t="s">
        <v>1582</v>
      </c>
      <c r="C259" s="1" t="s">
        <v>1320</v>
      </c>
      <c r="D259" s="1" t="s">
        <v>1288</v>
      </c>
      <c r="E259" s="1" t="s">
        <v>1410</v>
      </c>
      <c r="F259" t="s">
        <v>1591</v>
      </c>
      <c r="G259" t="s">
        <v>1583</v>
      </c>
      <c r="H259" t="s">
        <v>1284</v>
      </c>
      <c r="I259" t="s">
        <v>1285</v>
      </c>
      <c r="J259" t="s">
        <v>1312</v>
      </c>
      <c r="K259" t="s">
        <v>1592</v>
      </c>
      <c r="L259" t="s">
        <v>1585</v>
      </c>
      <c r="M259" t="s">
        <v>1586</v>
      </c>
      <c r="N259">
        <v>50000</v>
      </c>
      <c r="O259" s="1" t="s">
        <v>1336</v>
      </c>
      <c r="P259" t="s">
        <v>1484</v>
      </c>
      <c r="Q259" t="s">
        <v>1292</v>
      </c>
      <c r="S259" t="s">
        <v>1294</v>
      </c>
      <c r="T259" t="s">
        <v>1296</v>
      </c>
      <c r="U259">
        <v>4875706</v>
      </c>
      <c r="V259" t="s">
        <v>1593</v>
      </c>
    </row>
    <row r="260" spans="1:22" ht="30" x14ac:dyDescent="0.25">
      <c r="A260" t="s">
        <v>1460</v>
      </c>
      <c r="B260" s="1" t="s">
        <v>1582</v>
      </c>
      <c r="C260" s="1" t="s">
        <v>1295</v>
      </c>
      <c r="D260" s="1" t="s">
        <v>1288</v>
      </c>
      <c r="E260" s="1" t="s">
        <v>1410</v>
      </c>
      <c r="F260" t="s">
        <v>1594</v>
      </c>
      <c r="G260" t="s">
        <v>1583</v>
      </c>
      <c r="H260" t="s">
        <v>1284</v>
      </c>
      <c r="I260" t="s">
        <v>1285</v>
      </c>
      <c r="J260" t="s">
        <v>1312</v>
      </c>
      <c r="K260" t="s">
        <v>1595</v>
      </c>
      <c r="L260" t="s">
        <v>1585</v>
      </c>
      <c r="M260" t="s">
        <v>1586</v>
      </c>
      <c r="N260">
        <v>50000</v>
      </c>
      <c r="O260" s="1" t="s">
        <v>1336</v>
      </c>
      <c r="P260" t="s">
        <v>1484</v>
      </c>
      <c r="Q260" t="s">
        <v>1292</v>
      </c>
      <c r="S260" t="s">
        <v>1294</v>
      </c>
      <c r="T260" t="s">
        <v>1296</v>
      </c>
      <c r="U260">
        <v>1378982</v>
      </c>
      <c r="V260" t="s">
        <v>1596</v>
      </c>
    </row>
    <row r="261" spans="1:22" ht="30" x14ac:dyDescent="0.25">
      <c r="A261" t="s">
        <v>1281</v>
      </c>
      <c r="B261" s="1" t="s">
        <v>1340</v>
      </c>
      <c r="C261" s="1" t="s">
        <v>1343</v>
      </c>
      <c r="D261" s="1" t="s">
        <v>1288</v>
      </c>
      <c r="E261" s="1" t="s">
        <v>1316</v>
      </c>
      <c r="F261" t="s">
        <v>1339</v>
      </c>
      <c r="G261" t="s">
        <v>1341</v>
      </c>
      <c r="H261" t="s">
        <v>381</v>
      </c>
      <c r="I261" t="s">
        <v>1285</v>
      </c>
      <c r="J261" t="s">
        <v>1170</v>
      </c>
      <c r="K261" t="s">
        <v>1178</v>
      </c>
      <c r="L261" t="s">
        <v>1342</v>
      </c>
      <c r="M261" t="s">
        <v>1325</v>
      </c>
      <c r="N261" t="s">
        <v>1289</v>
      </c>
      <c r="O261" s="1" t="s">
        <v>1305</v>
      </c>
      <c r="P261" t="s">
        <v>1291</v>
      </c>
      <c r="Q261" t="s">
        <v>1294</v>
      </c>
      <c r="S261" t="s">
        <v>1294</v>
      </c>
      <c r="T261" t="s">
        <v>1296</v>
      </c>
      <c r="U261">
        <v>0</v>
      </c>
      <c r="V261" t="s">
        <v>1340</v>
      </c>
    </row>
    <row r="262" spans="1:22" ht="30" x14ac:dyDescent="0.25">
      <c r="A262" t="s">
        <v>1871</v>
      </c>
      <c r="B262" s="1" t="s">
        <v>1340</v>
      </c>
      <c r="C262" s="1" t="s">
        <v>1530</v>
      </c>
      <c r="D262" s="1" t="s">
        <v>1288</v>
      </c>
      <c r="E262" s="1" t="s">
        <v>1393</v>
      </c>
      <c r="F262" t="s">
        <v>1932</v>
      </c>
      <c r="G262" t="s">
        <v>1341</v>
      </c>
      <c r="H262" t="s">
        <v>381</v>
      </c>
      <c r="I262" t="s">
        <v>1285</v>
      </c>
      <c r="J262" t="s">
        <v>1170</v>
      </c>
      <c r="K262" t="s">
        <v>1178</v>
      </c>
      <c r="L262" t="s">
        <v>1342</v>
      </c>
      <c r="M262" t="s">
        <v>1325</v>
      </c>
      <c r="N262" t="s">
        <v>1289</v>
      </c>
      <c r="O262" s="1" t="s">
        <v>1305</v>
      </c>
      <c r="P262" t="s">
        <v>1291</v>
      </c>
      <c r="Q262" t="s">
        <v>1294</v>
      </c>
      <c r="S262" t="s">
        <v>1294</v>
      </c>
      <c r="T262" t="s">
        <v>1933</v>
      </c>
      <c r="U262">
        <v>0</v>
      </c>
      <c r="V262" t="s">
        <v>1340</v>
      </c>
    </row>
    <row r="263" spans="1:22" ht="30" x14ac:dyDescent="0.25">
      <c r="A263" t="s">
        <v>1871</v>
      </c>
      <c r="B263" s="1" t="s">
        <v>1340</v>
      </c>
      <c r="C263" s="1" t="s">
        <v>1530</v>
      </c>
      <c r="D263" s="1" t="s">
        <v>1288</v>
      </c>
      <c r="E263" s="1" t="s">
        <v>1293</v>
      </c>
      <c r="F263" t="s">
        <v>2078</v>
      </c>
      <c r="G263" t="s">
        <v>1341</v>
      </c>
      <c r="H263" t="s">
        <v>381</v>
      </c>
      <c r="I263" t="s">
        <v>1285</v>
      </c>
      <c r="J263" t="s">
        <v>1170</v>
      </c>
      <c r="K263" t="s">
        <v>1178</v>
      </c>
      <c r="L263" t="s">
        <v>1342</v>
      </c>
      <c r="M263" t="s">
        <v>1325</v>
      </c>
      <c r="N263" t="s">
        <v>1289</v>
      </c>
      <c r="O263" s="1" t="s">
        <v>1305</v>
      </c>
      <c r="P263" t="s">
        <v>1291</v>
      </c>
      <c r="Q263" t="s">
        <v>1294</v>
      </c>
      <c r="S263" t="s">
        <v>1294</v>
      </c>
      <c r="T263" t="s">
        <v>2079</v>
      </c>
      <c r="U263">
        <v>0</v>
      </c>
      <c r="V263" t="s">
        <v>1340</v>
      </c>
    </row>
    <row r="264" spans="1:22" ht="30" x14ac:dyDescent="0.25">
      <c r="A264" t="s">
        <v>1871</v>
      </c>
      <c r="B264" s="1" t="s">
        <v>1340</v>
      </c>
      <c r="C264" s="1" t="s">
        <v>1530</v>
      </c>
      <c r="D264" s="1" t="s">
        <v>1288</v>
      </c>
      <c r="E264" s="1" t="s">
        <v>1319</v>
      </c>
      <c r="F264" t="s">
        <v>2138</v>
      </c>
      <c r="G264" t="s">
        <v>1341</v>
      </c>
      <c r="H264" t="s">
        <v>381</v>
      </c>
      <c r="I264" t="s">
        <v>1285</v>
      </c>
      <c r="J264" t="s">
        <v>1170</v>
      </c>
      <c r="K264" t="s">
        <v>1178</v>
      </c>
      <c r="L264" t="s">
        <v>1342</v>
      </c>
      <c r="M264" t="s">
        <v>1325</v>
      </c>
      <c r="N264" t="s">
        <v>1289</v>
      </c>
      <c r="O264" s="1" t="s">
        <v>1305</v>
      </c>
      <c r="P264" t="s">
        <v>1291</v>
      </c>
      <c r="Q264" t="s">
        <v>1294</v>
      </c>
      <c r="S264" t="s">
        <v>1294</v>
      </c>
      <c r="T264" t="s">
        <v>2139</v>
      </c>
      <c r="U264">
        <v>0</v>
      </c>
      <c r="V264" t="s">
        <v>1340</v>
      </c>
    </row>
    <row r="265" spans="1:22" ht="30" x14ac:dyDescent="0.25">
      <c r="A265" t="s">
        <v>1871</v>
      </c>
      <c r="B265" s="1" t="s">
        <v>1340</v>
      </c>
      <c r="C265" s="1" t="s">
        <v>1530</v>
      </c>
      <c r="D265" s="1" t="s">
        <v>1288</v>
      </c>
      <c r="E265" s="1" t="s">
        <v>1319</v>
      </c>
      <c r="F265" t="s">
        <v>2140</v>
      </c>
      <c r="G265" t="s">
        <v>1341</v>
      </c>
      <c r="H265" t="s">
        <v>381</v>
      </c>
      <c r="I265" t="s">
        <v>1285</v>
      </c>
      <c r="J265" t="s">
        <v>1170</v>
      </c>
      <c r="K265" t="s">
        <v>1178</v>
      </c>
      <c r="L265" t="s">
        <v>1342</v>
      </c>
      <c r="M265" t="s">
        <v>1325</v>
      </c>
      <c r="N265" t="s">
        <v>1289</v>
      </c>
      <c r="O265" s="1" t="s">
        <v>1305</v>
      </c>
      <c r="P265" t="s">
        <v>1291</v>
      </c>
      <c r="Q265" t="s">
        <v>1294</v>
      </c>
      <c r="S265" t="s">
        <v>1294</v>
      </c>
      <c r="T265" t="s">
        <v>2141</v>
      </c>
      <c r="U265">
        <v>0</v>
      </c>
      <c r="V265" t="s">
        <v>1340</v>
      </c>
    </row>
    <row r="266" spans="1:22" ht="30" x14ac:dyDescent="0.25">
      <c r="A266" t="s">
        <v>1871</v>
      </c>
      <c r="B266" s="1" t="s">
        <v>1340</v>
      </c>
      <c r="C266" s="1" t="s">
        <v>1530</v>
      </c>
      <c r="D266" s="1" t="s">
        <v>1288</v>
      </c>
      <c r="E266" s="1" t="s">
        <v>1319</v>
      </c>
      <c r="F266" t="s">
        <v>2142</v>
      </c>
      <c r="G266" t="s">
        <v>1341</v>
      </c>
      <c r="H266" t="s">
        <v>381</v>
      </c>
      <c r="I266" t="s">
        <v>1285</v>
      </c>
      <c r="J266" t="s">
        <v>1170</v>
      </c>
      <c r="K266" t="s">
        <v>1178</v>
      </c>
      <c r="L266" t="s">
        <v>1342</v>
      </c>
      <c r="M266" t="s">
        <v>1325</v>
      </c>
      <c r="N266" t="s">
        <v>1289</v>
      </c>
      <c r="O266" s="1" t="s">
        <v>1305</v>
      </c>
      <c r="P266" t="s">
        <v>1291</v>
      </c>
      <c r="Q266" t="s">
        <v>1294</v>
      </c>
      <c r="S266" t="s">
        <v>1294</v>
      </c>
      <c r="T266" t="s">
        <v>2143</v>
      </c>
      <c r="U266">
        <v>0</v>
      </c>
      <c r="V266" t="s">
        <v>1340</v>
      </c>
    </row>
    <row r="267" spans="1:22" ht="30" x14ac:dyDescent="0.25">
      <c r="A267" t="s">
        <v>1871</v>
      </c>
      <c r="B267" s="1" t="s">
        <v>1340</v>
      </c>
      <c r="C267" s="1" t="s">
        <v>1530</v>
      </c>
      <c r="D267" s="1" t="s">
        <v>1288</v>
      </c>
      <c r="E267" s="1" t="s">
        <v>1410</v>
      </c>
      <c r="F267" t="s">
        <v>2427</v>
      </c>
      <c r="G267" t="s">
        <v>1341</v>
      </c>
      <c r="H267" t="s">
        <v>381</v>
      </c>
      <c r="I267" t="s">
        <v>1285</v>
      </c>
      <c r="J267" t="s">
        <v>1170</v>
      </c>
      <c r="K267" t="s">
        <v>1178</v>
      </c>
      <c r="L267" t="s">
        <v>1342</v>
      </c>
      <c r="M267" t="s">
        <v>1325</v>
      </c>
      <c r="N267" t="s">
        <v>1289</v>
      </c>
      <c r="O267" s="1" t="s">
        <v>1305</v>
      </c>
      <c r="P267" t="s">
        <v>1291</v>
      </c>
      <c r="Q267" t="s">
        <v>1294</v>
      </c>
      <c r="S267" t="s">
        <v>1294</v>
      </c>
      <c r="T267" t="s">
        <v>2428</v>
      </c>
      <c r="U267">
        <v>0</v>
      </c>
      <c r="V267" t="s">
        <v>1340</v>
      </c>
    </row>
    <row r="268" spans="1:22" ht="30" x14ac:dyDescent="0.25">
      <c r="A268" t="s">
        <v>1871</v>
      </c>
      <c r="B268" s="1" t="s">
        <v>1340</v>
      </c>
      <c r="C268" s="1" t="s">
        <v>1530</v>
      </c>
      <c r="D268" s="1" t="s">
        <v>1288</v>
      </c>
      <c r="E268" s="1" t="s">
        <v>1410</v>
      </c>
      <c r="F268" t="s">
        <v>2433</v>
      </c>
      <c r="G268" t="s">
        <v>1341</v>
      </c>
      <c r="H268" t="s">
        <v>381</v>
      </c>
      <c r="I268" t="s">
        <v>1285</v>
      </c>
      <c r="J268" t="s">
        <v>1170</v>
      </c>
      <c r="K268" t="s">
        <v>1178</v>
      </c>
      <c r="L268" t="s">
        <v>1342</v>
      </c>
      <c r="M268" t="s">
        <v>1325</v>
      </c>
      <c r="N268" t="s">
        <v>1289</v>
      </c>
      <c r="O268" s="1" t="s">
        <v>1305</v>
      </c>
      <c r="P268" t="s">
        <v>1291</v>
      </c>
      <c r="Q268" t="s">
        <v>1294</v>
      </c>
      <c r="S268" t="s">
        <v>1294</v>
      </c>
      <c r="T268" t="s">
        <v>2434</v>
      </c>
      <c r="U268">
        <v>0</v>
      </c>
      <c r="V268" t="s">
        <v>1340</v>
      </c>
    </row>
    <row r="269" spans="1:22" ht="30" x14ac:dyDescent="0.25">
      <c r="A269" t="s">
        <v>1871</v>
      </c>
      <c r="B269" s="1" t="s">
        <v>1340</v>
      </c>
      <c r="C269" s="1" t="s">
        <v>1530</v>
      </c>
      <c r="D269" s="1" t="s">
        <v>1288</v>
      </c>
      <c r="E269" s="1" t="s">
        <v>1410</v>
      </c>
      <c r="F269" t="s">
        <v>2437</v>
      </c>
      <c r="G269" t="s">
        <v>1341</v>
      </c>
      <c r="H269" t="s">
        <v>381</v>
      </c>
      <c r="I269" t="s">
        <v>1285</v>
      </c>
      <c r="J269" t="s">
        <v>1170</v>
      </c>
      <c r="K269" t="s">
        <v>1178</v>
      </c>
      <c r="L269" t="s">
        <v>1342</v>
      </c>
      <c r="M269" t="s">
        <v>1325</v>
      </c>
      <c r="N269" t="s">
        <v>1289</v>
      </c>
      <c r="O269" s="1" t="s">
        <v>1305</v>
      </c>
      <c r="P269" t="s">
        <v>1291</v>
      </c>
      <c r="Q269" t="s">
        <v>1294</v>
      </c>
      <c r="S269" t="s">
        <v>1294</v>
      </c>
      <c r="T269" t="s">
        <v>2438</v>
      </c>
      <c r="U269">
        <v>0</v>
      </c>
      <c r="V269" t="s">
        <v>1340</v>
      </c>
    </row>
    <row r="270" spans="1:22" ht="30" x14ac:dyDescent="0.25">
      <c r="A270" t="s">
        <v>1871</v>
      </c>
      <c r="B270" s="1" t="s">
        <v>1340</v>
      </c>
      <c r="C270" s="1" t="s">
        <v>1530</v>
      </c>
      <c r="D270" s="1" t="s">
        <v>1288</v>
      </c>
      <c r="E270" s="1" t="s">
        <v>1410</v>
      </c>
      <c r="F270" t="s">
        <v>2441</v>
      </c>
      <c r="G270" t="s">
        <v>1341</v>
      </c>
      <c r="H270" t="s">
        <v>381</v>
      </c>
      <c r="I270" t="s">
        <v>1285</v>
      </c>
      <c r="J270" t="s">
        <v>1170</v>
      </c>
      <c r="K270" t="s">
        <v>1178</v>
      </c>
      <c r="L270" t="s">
        <v>1342</v>
      </c>
      <c r="M270" t="s">
        <v>1325</v>
      </c>
      <c r="N270" t="s">
        <v>1289</v>
      </c>
      <c r="O270" s="1" t="s">
        <v>1305</v>
      </c>
      <c r="P270" t="s">
        <v>1291</v>
      </c>
      <c r="Q270" t="s">
        <v>1294</v>
      </c>
      <c r="S270" t="s">
        <v>1294</v>
      </c>
      <c r="T270" t="s">
        <v>2442</v>
      </c>
      <c r="U270">
        <v>0</v>
      </c>
      <c r="V270" t="s">
        <v>1340</v>
      </c>
    </row>
    <row r="271" spans="1:22" ht="30" x14ac:dyDescent="0.25">
      <c r="A271" t="s">
        <v>1871</v>
      </c>
      <c r="B271" s="1" t="s">
        <v>1340</v>
      </c>
      <c r="C271" s="1" t="s">
        <v>1530</v>
      </c>
      <c r="D271" s="1" t="s">
        <v>1288</v>
      </c>
      <c r="E271" s="1" t="s">
        <v>1410</v>
      </c>
      <c r="F271" t="s">
        <v>2445</v>
      </c>
      <c r="G271" t="s">
        <v>1341</v>
      </c>
      <c r="H271" t="s">
        <v>381</v>
      </c>
      <c r="I271" t="s">
        <v>1285</v>
      </c>
      <c r="J271" t="s">
        <v>1170</v>
      </c>
      <c r="K271" t="s">
        <v>1178</v>
      </c>
      <c r="L271" t="s">
        <v>1342</v>
      </c>
      <c r="M271" t="s">
        <v>1325</v>
      </c>
      <c r="N271" t="s">
        <v>1289</v>
      </c>
      <c r="O271" s="1" t="s">
        <v>1305</v>
      </c>
      <c r="P271" t="s">
        <v>1291</v>
      </c>
      <c r="Q271" t="s">
        <v>1294</v>
      </c>
      <c r="S271" t="s">
        <v>1294</v>
      </c>
      <c r="T271" t="s">
        <v>2446</v>
      </c>
      <c r="U271">
        <v>0</v>
      </c>
      <c r="V271" t="s">
        <v>1340</v>
      </c>
    </row>
    <row r="272" spans="1:22" ht="30" x14ac:dyDescent="0.25">
      <c r="A272" t="s">
        <v>1871</v>
      </c>
      <c r="B272" s="1" t="s">
        <v>1340</v>
      </c>
      <c r="C272" s="1" t="s">
        <v>1530</v>
      </c>
      <c r="D272" s="1" t="s">
        <v>1288</v>
      </c>
      <c r="E272" s="1" t="s">
        <v>1410</v>
      </c>
      <c r="F272" t="s">
        <v>2449</v>
      </c>
      <c r="G272" t="s">
        <v>1341</v>
      </c>
      <c r="H272" t="s">
        <v>381</v>
      </c>
      <c r="I272" t="s">
        <v>1285</v>
      </c>
      <c r="J272" t="s">
        <v>1170</v>
      </c>
      <c r="K272" t="s">
        <v>1178</v>
      </c>
      <c r="L272" t="s">
        <v>1342</v>
      </c>
      <c r="M272" t="s">
        <v>1325</v>
      </c>
      <c r="N272" t="s">
        <v>1289</v>
      </c>
      <c r="O272" s="1" t="s">
        <v>1305</v>
      </c>
      <c r="P272" t="s">
        <v>1291</v>
      </c>
      <c r="Q272" t="s">
        <v>1294</v>
      </c>
      <c r="S272" t="s">
        <v>1294</v>
      </c>
      <c r="T272" t="s">
        <v>2450</v>
      </c>
      <c r="U272">
        <v>0</v>
      </c>
      <c r="V272" t="s">
        <v>1340</v>
      </c>
    </row>
    <row r="273" spans="1:22" ht="30" x14ac:dyDescent="0.25">
      <c r="A273" t="s">
        <v>1871</v>
      </c>
      <c r="B273" s="1" t="s">
        <v>1340</v>
      </c>
      <c r="C273" s="1" t="s">
        <v>1530</v>
      </c>
      <c r="D273" s="1" t="s">
        <v>1288</v>
      </c>
      <c r="E273" s="1" t="s">
        <v>1410</v>
      </c>
      <c r="F273" t="s">
        <v>2453</v>
      </c>
      <c r="G273" t="s">
        <v>1341</v>
      </c>
      <c r="H273" t="s">
        <v>381</v>
      </c>
      <c r="I273" t="s">
        <v>1285</v>
      </c>
      <c r="J273" t="s">
        <v>1170</v>
      </c>
      <c r="K273" t="s">
        <v>1178</v>
      </c>
      <c r="L273" t="s">
        <v>1342</v>
      </c>
      <c r="M273" t="s">
        <v>1325</v>
      </c>
      <c r="N273" t="s">
        <v>1289</v>
      </c>
      <c r="O273" s="1" t="s">
        <v>1305</v>
      </c>
      <c r="P273" t="s">
        <v>1291</v>
      </c>
      <c r="Q273" t="s">
        <v>1294</v>
      </c>
      <c r="S273" t="s">
        <v>1294</v>
      </c>
      <c r="T273" t="s">
        <v>2454</v>
      </c>
      <c r="U273">
        <v>0</v>
      </c>
      <c r="V273" t="s">
        <v>1340</v>
      </c>
    </row>
    <row r="274" spans="1:22" ht="30" x14ac:dyDescent="0.25">
      <c r="A274" t="s">
        <v>1871</v>
      </c>
      <c r="B274" s="1" t="s">
        <v>1340</v>
      </c>
      <c r="C274" s="1" t="s">
        <v>1530</v>
      </c>
      <c r="D274" s="1" t="s">
        <v>1288</v>
      </c>
      <c r="E274" s="1" t="s">
        <v>1410</v>
      </c>
      <c r="F274" t="s">
        <v>2457</v>
      </c>
      <c r="G274" t="s">
        <v>1341</v>
      </c>
      <c r="H274" t="s">
        <v>381</v>
      </c>
      <c r="I274" t="s">
        <v>1285</v>
      </c>
      <c r="J274" t="s">
        <v>1170</v>
      </c>
      <c r="K274" t="s">
        <v>1178</v>
      </c>
      <c r="L274" t="s">
        <v>1342</v>
      </c>
      <c r="M274" t="s">
        <v>1325</v>
      </c>
      <c r="N274" t="s">
        <v>1289</v>
      </c>
      <c r="O274" s="1" t="s">
        <v>1305</v>
      </c>
      <c r="P274" t="s">
        <v>1291</v>
      </c>
      <c r="Q274" t="s">
        <v>1294</v>
      </c>
      <c r="S274" t="s">
        <v>1294</v>
      </c>
      <c r="T274" t="s">
        <v>2458</v>
      </c>
      <c r="U274">
        <v>0</v>
      </c>
      <c r="V274" t="s">
        <v>1340</v>
      </c>
    </row>
    <row r="275" spans="1:22" ht="30" x14ac:dyDescent="0.25">
      <c r="A275" t="s">
        <v>1871</v>
      </c>
      <c r="B275" s="1" t="s">
        <v>1340</v>
      </c>
      <c r="C275" s="1" t="s">
        <v>1530</v>
      </c>
      <c r="D275" s="1" t="s">
        <v>1288</v>
      </c>
      <c r="E275" s="1" t="s">
        <v>1410</v>
      </c>
      <c r="F275" t="s">
        <v>2461</v>
      </c>
      <c r="G275" t="s">
        <v>1341</v>
      </c>
      <c r="H275" t="s">
        <v>381</v>
      </c>
      <c r="I275" t="s">
        <v>1285</v>
      </c>
      <c r="J275" t="s">
        <v>1170</v>
      </c>
      <c r="K275" t="s">
        <v>1178</v>
      </c>
      <c r="L275" t="s">
        <v>1342</v>
      </c>
      <c r="M275" t="s">
        <v>1325</v>
      </c>
      <c r="N275" t="s">
        <v>1289</v>
      </c>
      <c r="O275" s="1" t="s">
        <v>1305</v>
      </c>
      <c r="P275" t="s">
        <v>1291</v>
      </c>
      <c r="Q275" t="s">
        <v>1294</v>
      </c>
      <c r="S275" t="s">
        <v>1294</v>
      </c>
      <c r="T275" t="s">
        <v>2462</v>
      </c>
      <c r="U275">
        <v>0</v>
      </c>
      <c r="V275" t="s">
        <v>1340</v>
      </c>
    </row>
    <row r="276" spans="1:22" ht="30" x14ac:dyDescent="0.25">
      <c r="A276" t="s">
        <v>1871</v>
      </c>
      <c r="B276" s="1" t="s">
        <v>1340</v>
      </c>
      <c r="C276" s="1" t="s">
        <v>1530</v>
      </c>
      <c r="D276" s="1" t="s">
        <v>1288</v>
      </c>
      <c r="E276" s="1" t="s">
        <v>1410</v>
      </c>
      <c r="F276" t="s">
        <v>2465</v>
      </c>
      <c r="G276" t="s">
        <v>1341</v>
      </c>
      <c r="H276" t="s">
        <v>381</v>
      </c>
      <c r="I276" t="s">
        <v>1285</v>
      </c>
      <c r="J276" t="s">
        <v>1170</v>
      </c>
      <c r="K276" t="s">
        <v>1178</v>
      </c>
      <c r="L276" t="s">
        <v>1342</v>
      </c>
      <c r="M276" t="s">
        <v>1325</v>
      </c>
      <c r="N276" t="s">
        <v>1289</v>
      </c>
      <c r="O276" s="1" t="s">
        <v>1305</v>
      </c>
      <c r="P276" t="s">
        <v>1291</v>
      </c>
      <c r="Q276" t="s">
        <v>1294</v>
      </c>
      <c r="S276" t="s">
        <v>1294</v>
      </c>
      <c r="T276" t="s">
        <v>2466</v>
      </c>
      <c r="U276">
        <v>0</v>
      </c>
      <c r="V276" t="s">
        <v>1340</v>
      </c>
    </row>
    <row r="277" spans="1:22" ht="30" x14ac:dyDescent="0.25">
      <c r="A277" t="s">
        <v>1871</v>
      </c>
      <c r="B277" s="1" t="s">
        <v>1340</v>
      </c>
      <c r="C277" s="1" t="s">
        <v>1530</v>
      </c>
      <c r="D277" s="1" t="s">
        <v>1288</v>
      </c>
      <c r="E277" s="1" t="s">
        <v>1410</v>
      </c>
      <c r="F277" t="s">
        <v>2468</v>
      </c>
      <c r="G277" t="s">
        <v>1341</v>
      </c>
      <c r="H277" t="s">
        <v>381</v>
      </c>
      <c r="I277" t="s">
        <v>1285</v>
      </c>
      <c r="J277" t="s">
        <v>1170</v>
      </c>
      <c r="K277" t="s">
        <v>1178</v>
      </c>
      <c r="L277" t="s">
        <v>1342</v>
      </c>
      <c r="M277" t="s">
        <v>1325</v>
      </c>
      <c r="N277" t="s">
        <v>1289</v>
      </c>
      <c r="O277" s="1" t="s">
        <v>1305</v>
      </c>
      <c r="P277" t="s">
        <v>1291</v>
      </c>
      <c r="Q277" t="s">
        <v>1294</v>
      </c>
      <c r="S277" t="s">
        <v>1294</v>
      </c>
      <c r="T277" t="s">
        <v>2469</v>
      </c>
      <c r="U277">
        <v>0</v>
      </c>
      <c r="V277" t="s">
        <v>1340</v>
      </c>
    </row>
    <row r="278" spans="1:22" ht="30" x14ac:dyDescent="0.25">
      <c r="A278" t="s">
        <v>1871</v>
      </c>
      <c r="B278" s="1" t="s">
        <v>1340</v>
      </c>
      <c r="C278" s="1" t="s">
        <v>1530</v>
      </c>
      <c r="D278" s="1" t="s">
        <v>1288</v>
      </c>
      <c r="E278" s="1" t="s">
        <v>1410</v>
      </c>
      <c r="F278" t="s">
        <v>2472</v>
      </c>
      <c r="G278" t="s">
        <v>1341</v>
      </c>
      <c r="H278" t="s">
        <v>381</v>
      </c>
      <c r="I278" t="s">
        <v>1285</v>
      </c>
      <c r="J278" t="s">
        <v>1170</v>
      </c>
      <c r="K278" t="s">
        <v>1178</v>
      </c>
      <c r="L278" t="s">
        <v>1342</v>
      </c>
      <c r="M278" t="s">
        <v>1325</v>
      </c>
      <c r="N278" t="s">
        <v>1289</v>
      </c>
      <c r="O278" s="1" t="s">
        <v>1305</v>
      </c>
      <c r="P278" t="s">
        <v>1291</v>
      </c>
      <c r="Q278" t="s">
        <v>1294</v>
      </c>
      <c r="S278" t="s">
        <v>1294</v>
      </c>
      <c r="T278" t="s">
        <v>2473</v>
      </c>
      <c r="U278">
        <v>0</v>
      </c>
      <c r="V278" t="s">
        <v>1340</v>
      </c>
    </row>
    <row r="279" spans="1:22" ht="30" x14ac:dyDescent="0.25">
      <c r="A279" t="s">
        <v>1871</v>
      </c>
      <c r="B279" s="1" t="s">
        <v>1340</v>
      </c>
      <c r="C279" s="1" t="s">
        <v>1530</v>
      </c>
      <c r="D279" s="1" t="s">
        <v>1288</v>
      </c>
      <c r="E279" s="1" t="s">
        <v>1410</v>
      </c>
      <c r="F279" t="s">
        <v>2493</v>
      </c>
      <c r="G279" t="s">
        <v>1341</v>
      </c>
      <c r="H279" t="s">
        <v>381</v>
      </c>
      <c r="I279" t="s">
        <v>1285</v>
      </c>
      <c r="J279" t="s">
        <v>1170</v>
      </c>
      <c r="K279" t="s">
        <v>1178</v>
      </c>
      <c r="L279" t="s">
        <v>1342</v>
      </c>
      <c r="M279" t="s">
        <v>1325</v>
      </c>
      <c r="N279" t="s">
        <v>1289</v>
      </c>
      <c r="O279" s="1" t="s">
        <v>1305</v>
      </c>
      <c r="P279" t="s">
        <v>1291</v>
      </c>
      <c r="Q279" t="s">
        <v>1294</v>
      </c>
      <c r="S279" t="s">
        <v>1294</v>
      </c>
      <c r="T279" t="s">
        <v>2494</v>
      </c>
      <c r="U279">
        <v>0</v>
      </c>
      <c r="V279" t="s">
        <v>1340</v>
      </c>
    </row>
    <row r="280" spans="1:22" ht="30" x14ac:dyDescent="0.25">
      <c r="A280" t="s">
        <v>1871</v>
      </c>
      <c r="B280" s="1" t="s">
        <v>1340</v>
      </c>
      <c r="C280" s="1" t="s">
        <v>1530</v>
      </c>
      <c r="D280" s="1" t="s">
        <v>1288</v>
      </c>
      <c r="E280" s="1" t="s">
        <v>1410</v>
      </c>
      <c r="F280" t="s">
        <v>2517</v>
      </c>
      <c r="G280" t="s">
        <v>1341</v>
      </c>
      <c r="H280" t="s">
        <v>381</v>
      </c>
      <c r="I280" t="s">
        <v>1285</v>
      </c>
      <c r="J280" t="s">
        <v>1170</v>
      </c>
      <c r="K280" t="s">
        <v>1178</v>
      </c>
      <c r="L280" t="s">
        <v>1342</v>
      </c>
      <c r="M280" t="s">
        <v>1325</v>
      </c>
      <c r="N280" t="s">
        <v>1289</v>
      </c>
      <c r="O280" s="1" t="s">
        <v>1305</v>
      </c>
      <c r="P280" t="s">
        <v>1291</v>
      </c>
      <c r="Q280" t="s">
        <v>1294</v>
      </c>
      <c r="S280" t="s">
        <v>1294</v>
      </c>
      <c r="T280" t="s">
        <v>2518</v>
      </c>
      <c r="U280">
        <v>0</v>
      </c>
      <c r="V280" t="s">
        <v>1340</v>
      </c>
    </row>
    <row r="281" spans="1:22" ht="30" x14ac:dyDescent="0.25">
      <c r="A281" t="s">
        <v>1871</v>
      </c>
      <c r="B281" s="1" t="s">
        <v>1340</v>
      </c>
      <c r="C281" s="1" t="s">
        <v>1530</v>
      </c>
      <c r="D281" s="1" t="s">
        <v>1288</v>
      </c>
      <c r="E281" s="1" t="s">
        <v>1410</v>
      </c>
      <c r="F281" t="s">
        <v>2539</v>
      </c>
      <c r="G281" t="s">
        <v>1341</v>
      </c>
      <c r="H281" t="s">
        <v>381</v>
      </c>
      <c r="I281" t="s">
        <v>1285</v>
      </c>
      <c r="J281" t="s">
        <v>1170</v>
      </c>
      <c r="K281" t="s">
        <v>1178</v>
      </c>
      <c r="L281" t="s">
        <v>1342</v>
      </c>
      <c r="M281" t="s">
        <v>1325</v>
      </c>
      <c r="N281" t="s">
        <v>1289</v>
      </c>
      <c r="O281" s="1" t="s">
        <v>1305</v>
      </c>
      <c r="P281" t="s">
        <v>1291</v>
      </c>
      <c r="Q281" t="s">
        <v>1294</v>
      </c>
      <c r="S281" t="s">
        <v>1294</v>
      </c>
      <c r="T281" t="s">
        <v>2540</v>
      </c>
      <c r="U281">
        <v>0</v>
      </c>
      <c r="V281" t="s">
        <v>1340</v>
      </c>
    </row>
    <row r="282" spans="1:22" ht="30" x14ac:dyDescent="0.25">
      <c r="A282" t="s">
        <v>1871</v>
      </c>
      <c r="B282" s="1" t="s">
        <v>1340</v>
      </c>
      <c r="C282" s="1" t="s">
        <v>1530</v>
      </c>
      <c r="D282" s="1" t="s">
        <v>1288</v>
      </c>
      <c r="E282" s="1" t="s">
        <v>1410</v>
      </c>
      <c r="F282" t="s">
        <v>2544</v>
      </c>
      <c r="G282" t="s">
        <v>1341</v>
      </c>
      <c r="H282" t="s">
        <v>381</v>
      </c>
      <c r="I282" t="s">
        <v>1285</v>
      </c>
      <c r="J282" t="s">
        <v>1170</v>
      </c>
      <c r="K282" t="s">
        <v>1178</v>
      </c>
      <c r="L282" t="s">
        <v>1342</v>
      </c>
      <c r="M282" t="s">
        <v>1325</v>
      </c>
      <c r="N282" t="s">
        <v>1289</v>
      </c>
      <c r="O282" s="1" t="s">
        <v>1305</v>
      </c>
      <c r="P282" t="s">
        <v>1291</v>
      </c>
      <c r="Q282" t="s">
        <v>1294</v>
      </c>
      <c r="S282" t="s">
        <v>1294</v>
      </c>
      <c r="T282" t="s">
        <v>2545</v>
      </c>
      <c r="U282">
        <v>0</v>
      </c>
      <c r="V282" t="s">
        <v>1340</v>
      </c>
    </row>
    <row r="283" spans="1:22" ht="30" x14ac:dyDescent="0.25">
      <c r="A283" t="s">
        <v>1871</v>
      </c>
      <c r="B283" s="1" t="s">
        <v>1340</v>
      </c>
      <c r="C283" s="1" t="s">
        <v>1530</v>
      </c>
      <c r="D283" s="1" t="s">
        <v>1288</v>
      </c>
      <c r="E283" s="1" t="s">
        <v>1410</v>
      </c>
      <c r="F283" t="s">
        <v>2548</v>
      </c>
      <c r="G283" t="s">
        <v>1341</v>
      </c>
      <c r="H283" t="s">
        <v>381</v>
      </c>
      <c r="I283" t="s">
        <v>1285</v>
      </c>
      <c r="J283" t="s">
        <v>1170</v>
      </c>
      <c r="K283" t="s">
        <v>1178</v>
      </c>
      <c r="L283" t="s">
        <v>1342</v>
      </c>
      <c r="M283" t="s">
        <v>1325</v>
      </c>
      <c r="N283" t="s">
        <v>1289</v>
      </c>
      <c r="O283" s="1" t="s">
        <v>1305</v>
      </c>
      <c r="P283" t="s">
        <v>1291</v>
      </c>
      <c r="Q283" t="s">
        <v>1294</v>
      </c>
      <c r="S283" t="s">
        <v>1294</v>
      </c>
      <c r="T283" t="s">
        <v>2549</v>
      </c>
      <c r="U283">
        <v>0</v>
      </c>
      <c r="V283" t="s">
        <v>1340</v>
      </c>
    </row>
    <row r="284" spans="1:22" ht="30" x14ac:dyDescent="0.25">
      <c r="A284" t="s">
        <v>1871</v>
      </c>
      <c r="B284" s="1" t="s">
        <v>1340</v>
      </c>
      <c r="C284" s="1" t="s">
        <v>1530</v>
      </c>
      <c r="D284" s="1" t="s">
        <v>1288</v>
      </c>
      <c r="E284" s="1" t="s">
        <v>1410</v>
      </c>
      <c r="F284" t="s">
        <v>2552</v>
      </c>
      <c r="G284" t="s">
        <v>1341</v>
      </c>
      <c r="H284" t="s">
        <v>381</v>
      </c>
      <c r="I284" t="s">
        <v>1285</v>
      </c>
      <c r="J284" t="s">
        <v>1170</v>
      </c>
      <c r="K284" t="s">
        <v>1178</v>
      </c>
      <c r="L284" t="s">
        <v>1342</v>
      </c>
      <c r="M284" t="s">
        <v>1325</v>
      </c>
      <c r="N284" t="s">
        <v>1289</v>
      </c>
      <c r="O284" s="1" t="s">
        <v>1305</v>
      </c>
      <c r="P284" t="s">
        <v>1291</v>
      </c>
      <c r="Q284" t="s">
        <v>1294</v>
      </c>
      <c r="S284" t="s">
        <v>1294</v>
      </c>
      <c r="T284" t="s">
        <v>2553</v>
      </c>
      <c r="U284">
        <v>0</v>
      </c>
      <c r="V284" t="s">
        <v>1340</v>
      </c>
    </row>
    <row r="285" spans="1:22" ht="30" x14ac:dyDescent="0.25">
      <c r="A285" t="s">
        <v>1871</v>
      </c>
      <c r="B285" s="1" t="s">
        <v>1340</v>
      </c>
      <c r="C285" s="1" t="s">
        <v>1530</v>
      </c>
      <c r="D285" s="1" t="s">
        <v>1288</v>
      </c>
      <c r="E285" s="1" t="s">
        <v>1410</v>
      </c>
      <c r="F285" t="s">
        <v>2556</v>
      </c>
      <c r="G285" t="s">
        <v>1341</v>
      </c>
      <c r="H285" t="s">
        <v>381</v>
      </c>
      <c r="I285" t="s">
        <v>1285</v>
      </c>
      <c r="J285" t="s">
        <v>1170</v>
      </c>
      <c r="K285" t="s">
        <v>1178</v>
      </c>
      <c r="L285" t="s">
        <v>1342</v>
      </c>
      <c r="M285" t="s">
        <v>1325</v>
      </c>
      <c r="N285" t="s">
        <v>1289</v>
      </c>
      <c r="O285" s="1" t="s">
        <v>1305</v>
      </c>
      <c r="P285" t="s">
        <v>1291</v>
      </c>
      <c r="Q285" t="s">
        <v>1294</v>
      </c>
      <c r="S285" t="s">
        <v>1294</v>
      </c>
      <c r="T285" t="s">
        <v>2557</v>
      </c>
      <c r="U285">
        <v>0</v>
      </c>
      <c r="V285" t="s">
        <v>1340</v>
      </c>
    </row>
    <row r="286" spans="1:22" ht="30" x14ac:dyDescent="0.25">
      <c r="A286" t="s">
        <v>1871</v>
      </c>
      <c r="B286" s="1" t="s">
        <v>1340</v>
      </c>
      <c r="C286" s="1" t="s">
        <v>1530</v>
      </c>
      <c r="D286" s="1" t="s">
        <v>1288</v>
      </c>
      <c r="E286" s="1" t="s">
        <v>1378</v>
      </c>
      <c r="F286" t="s">
        <v>2595</v>
      </c>
      <c r="G286" t="s">
        <v>1341</v>
      </c>
      <c r="H286" t="s">
        <v>381</v>
      </c>
      <c r="I286" t="s">
        <v>1285</v>
      </c>
      <c r="J286" t="s">
        <v>1170</v>
      </c>
      <c r="K286" t="s">
        <v>1178</v>
      </c>
      <c r="L286" t="s">
        <v>1342</v>
      </c>
      <c r="M286" t="s">
        <v>1325</v>
      </c>
      <c r="N286" t="s">
        <v>1289</v>
      </c>
      <c r="O286" s="1" t="s">
        <v>1305</v>
      </c>
      <c r="P286" t="s">
        <v>1291</v>
      </c>
      <c r="Q286" t="s">
        <v>1294</v>
      </c>
      <c r="S286" t="s">
        <v>1294</v>
      </c>
      <c r="T286" t="s">
        <v>2596</v>
      </c>
      <c r="U286">
        <v>0</v>
      </c>
      <c r="V286" t="s">
        <v>1340</v>
      </c>
    </row>
    <row r="287" spans="1:22" ht="30" x14ac:dyDescent="0.25">
      <c r="A287" t="s">
        <v>1871</v>
      </c>
      <c r="B287" s="1" t="s">
        <v>1340</v>
      </c>
      <c r="C287" s="1" t="s">
        <v>1530</v>
      </c>
      <c r="D287" s="1" t="s">
        <v>1288</v>
      </c>
      <c r="E287" s="1" t="s">
        <v>1316</v>
      </c>
      <c r="F287" t="s">
        <v>2641</v>
      </c>
      <c r="G287" t="s">
        <v>1341</v>
      </c>
      <c r="H287" t="s">
        <v>381</v>
      </c>
      <c r="I287" t="s">
        <v>1285</v>
      </c>
      <c r="J287" t="s">
        <v>1170</v>
      </c>
      <c r="K287" t="s">
        <v>1178</v>
      </c>
      <c r="L287" t="s">
        <v>1342</v>
      </c>
      <c r="M287" t="s">
        <v>1325</v>
      </c>
      <c r="N287" t="s">
        <v>1289</v>
      </c>
      <c r="O287" s="1" t="s">
        <v>1305</v>
      </c>
      <c r="P287" t="s">
        <v>1291</v>
      </c>
      <c r="Q287" t="s">
        <v>1294</v>
      </c>
      <c r="S287" t="s">
        <v>1294</v>
      </c>
      <c r="T287" t="s">
        <v>2642</v>
      </c>
      <c r="U287">
        <v>0</v>
      </c>
      <c r="V287" t="s">
        <v>1340</v>
      </c>
    </row>
    <row r="288" spans="1:22" ht="30" x14ac:dyDescent="0.25">
      <c r="A288" t="s">
        <v>1871</v>
      </c>
      <c r="B288" s="1" t="s">
        <v>1340</v>
      </c>
      <c r="C288" s="1" t="s">
        <v>1530</v>
      </c>
      <c r="D288" s="1" t="s">
        <v>1288</v>
      </c>
      <c r="E288" s="1" t="s">
        <v>1316</v>
      </c>
      <c r="F288" t="s">
        <v>2653</v>
      </c>
      <c r="G288" t="s">
        <v>1341</v>
      </c>
      <c r="H288" t="s">
        <v>381</v>
      </c>
      <c r="I288" t="s">
        <v>1285</v>
      </c>
      <c r="J288" t="s">
        <v>1170</v>
      </c>
      <c r="K288" t="s">
        <v>1178</v>
      </c>
      <c r="L288" t="s">
        <v>1342</v>
      </c>
      <c r="M288" t="s">
        <v>1325</v>
      </c>
      <c r="N288" t="s">
        <v>1289</v>
      </c>
      <c r="O288" s="1" t="s">
        <v>1305</v>
      </c>
      <c r="P288" t="s">
        <v>1291</v>
      </c>
      <c r="Q288" t="s">
        <v>1294</v>
      </c>
      <c r="S288" t="s">
        <v>1294</v>
      </c>
      <c r="T288" t="s">
        <v>2654</v>
      </c>
      <c r="U288">
        <v>0</v>
      </c>
      <c r="V288" t="s">
        <v>1340</v>
      </c>
    </row>
    <row r="289" spans="1:22" ht="30" x14ac:dyDescent="0.25">
      <c r="A289" t="s">
        <v>1871</v>
      </c>
      <c r="B289" s="1" t="s">
        <v>1340</v>
      </c>
      <c r="C289" s="1" t="s">
        <v>1530</v>
      </c>
      <c r="D289" s="1" t="s">
        <v>1288</v>
      </c>
      <c r="E289" s="1" t="s">
        <v>1316</v>
      </c>
      <c r="F289" t="s">
        <v>2655</v>
      </c>
      <c r="G289" t="s">
        <v>1341</v>
      </c>
      <c r="H289" t="s">
        <v>381</v>
      </c>
      <c r="I289" t="s">
        <v>1285</v>
      </c>
      <c r="J289" t="s">
        <v>1170</v>
      </c>
      <c r="K289" t="s">
        <v>1178</v>
      </c>
      <c r="L289" t="s">
        <v>1342</v>
      </c>
      <c r="M289" t="s">
        <v>1325</v>
      </c>
      <c r="N289" t="s">
        <v>1289</v>
      </c>
      <c r="O289" s="1" t="s">
        <v>1305</v>
      </c>
      <c r="P289" t="s">
        <v>1291</v>
      </c>
      <c r="Q289" t="s">
        <v>1294</v>
      </c>
      <c r="S289" t="s">
        <v>1294</v>
      </c>
      <c r="T289" t="s">
        <v>2656</v>
      </c>
      <c r="U289">
        <v>0</v>
      </c>
      <c r="V289" t="s">
        <v>1340</v>
      </c>
    </row>
    <row r="290" spans="1:22" ht="30" x14ac:dyDescent="0.25">
      <c r="A290" t="s">
        <v>1871</v>
      </c>
      <c r="B290" s="1" t="s">
        <v>1340</v>
      </c>
      <c r="C290" s="1" t="s">
        <v>1530</v>
      </c>
      <c r="D290" s="1" t="s">
        <v>1288</v>
      </c>
      <c r="E290" s="1" t="s">
        <v>1316</v>
      </c>
      <c r="F290" t="s">
        <v>2657</v>
      </c>
      <c r="G290" t="s">
        <v>1341</v>
      </c>
      <c r="H290" t="s">
        <v>381</v>
      </c>
      <c r="I290" t="s">
        <v>1285</v>
      </c>
      <c r="J290" t="s">
        <v>1170</v>
      </c>
      <c r="K290" t="s">
        <v>1178</v>
      </c>
      <c r="L290" t="s">
        <v>1342</v>
      </c>
      <c r="M290" t="s">
        <v>1325</v>
      </c>
      <c r="N290" t="s">
        <v>1289</v>
      </c>
      <c r="O290" s="1" t="s">
        <v>1305</v>
      </c>
      <c r="P290" t="s">
        <v>1291</v>
      </c>
      <c r="Q290" t="s">
        <v>1294</v>
      </c>
      <c r="S290" t="s">
        <v>1294</v>
      </c>
      <c r="T290" t="s">
        <v>2658</v>
      </c>
      <c r="U290">
        <v>0</v>
      </c>
      <c r="V290" t="s">
        <v>1340</v>
      </c>
    </row>
    <row r="291" spans="1:22" ht="30" x14ac:dyDescent="0.25">
      <c r="A291" t="s">
        <v>1871</v>
      </c>
      <c r="B291" s="1" t="s">
        <v>1340</v>
      </c>
      <c r="C291" s="1" t="s">
        <v>1530</v>
      </c>
      <c r="D291" s="1" t="s">
        <v>1288</v>
      </c>
      <c r="E291" s="1" t="s">
        <v>2854</v>
      </c>
      <c r="F291" t="s">
        <v>2853</v>
      </c>
      <c r="G291" t="s">
        <v>1341</v>
      </c>
      <c r="H291" t="s">
        <v>381</v>
      </c>
      <c r="I291" t="s">
        <v>1285</v>
      </c>
      <c r="J291" t="s">
        <v>1170</v>
      </c>
      <c r="K291" t="s">
        <v>1178</v>
      </c>
      <c r="L291" t="s">
        <v>1342</v>
      </c>
      <c r="M291" t="s">
        <v>1325</v>
      </c>
      <c r="N291" t="s">
        <v>1289</v>
      </c>
      <c r="O291" s="1" t="s">
        <v>1305</v>
      </c>
      <c r="P291" t="s">
        <v>1291</v>
      </c>
      <c r="Q291" t="s">
        <v>1294</v>
      </c>
      <c r="S291" t="s">
        <v>1294</v>
      </c>
      <c r="T291" t="s">
        <v>2855</v>
      </c>
      <c r="U291">
        <v>0</v>
      </c>
      <c r="V291" t="s">
        <v>1340</v>
      </c>
    </row>
    <row r="292" spans="1:22" ht="30" x14ac:dyDescent="0.25">
      <c r="A292" t="s">
        <v>1871</v>
      </c>
      <c r="B292" s="1" t="s">
        <v>1340</v>
      </c>
      <c r="C292" s="1" t="s">
        <v>1530</v>
      </c>
      <c r="D292" s="1" t="s">
        <v>1288</v>
      </c>
      <c r="E292" s="1" t="s">
        <v>2854</v>
      </c>
      <c r="F292" t="s">
        <v>2856</v>
      </c>
      <c r="G292" t="s">
        <v>1341</v>
      </c>
      <c r="H292" t="s">
        <v>381</v>
      </c>
      <c r="I292" t="s">
        <v>1285</v>
      </c>
      <c r="J292" t="s">
        <v>1170</v>
      </c>
      <c r="K292" t="s">
        <v>1178</v>
      </c>
      <c r="L292" t="s">
        <v>1342</v>
      </c>
      <c r="M292" t="s">
        <v>1325</v>
      </c>
      <c r="N292" t="s">
        <v>1289</v>
      </c>
      <c r="O292" s="1" t="s">
        <v>1305</v>
      </c>
      <c r="P292" t="s">
        <v>1291</v>
      </c>
      <c r="Q292" t="s">
        <v>1294</v>
      </c>
      <c r="S292" t="s">
        <v>1294</v>
      </c>
      <c r="T292" t="s">
        <v>2857</v>
      </c>
      <c r="U292">
        <v>0</v>
      </c>
      <c r="V292" t="s">
        <v>1340</v>
      </c>
    </row>
    <row r="293" spans="1:22" ht="30" x14ac:dyDescent="0.25">
      <c r="A293" t="s">
        <v>1871</v>
      </c>
      <c r="B293" s="1" t="s">
        <v>1340</v>
      </c>
      <c r="C293" s="1" t="s">
        <v>1530</v>
      </c>
      <c r="D293" s="1" t="s">
        <v>1288</v>
      </c>
      <c r="E293" s="1" t="s">
        <v>2854</v>
      </c>
      <c r="F293" t="s">
        <v>2858</v>
      </c>
      <c r="G293" t="s">
        <v>1341</v>
      </c>
      <c r="H293" t="s">
        <v>381</v>
      </c>
      <c r="I293" t="s">
        <v>1285</v>
      </c>
      <c r="J293" t="s">
        <v>1170</v>
      </c>
      <c r="K293" t="s">
        <v>1178</v>
      </c>
      <c r="L293" t="s">
        <v>1342</v>
      </c>
      <c r="M293" t="s">
        <v>1325</v>
      </c>
      <c r="N293" t="s">
        <v>1289</v>
      </c>
      <c r="O293" s="1" t="s">
        <v>1305</v>
      </c>
      <c r="P293" t="s">
        <v>1291</v>
      </c>
      <c r="Q293" t="s">
        <v>1294</v>
      </c>
      <c r="S293" t="s">
        <v>1294</v>
      </c>
      <c r="T293" t="s">
        <v>2859</v>
      </c>
      <c r="U293">
        <v>0</v>
      </c>
      <c r="V293" t="s">
        <v>1340</v>
      </c>
    </row>
    <row r="294" spans="1:22" ht="30" x14ac:dyDescent="0.25">
      <c r="A294" t="s">
        <v>1871</v>
      </c>
      <c r="B294" s="1" t="s">
        <v>1340</v>
      </c>
      <c r="C294" s="1" t="s">
        <v>1530</v>
      </c>
      <c r="D294" s="1" t="s">
        <v>1288</v>
      </c>
      <c r="E294" s="1" t="s">
        <v>2854</v>
      </c>
      <c r="F294" t="s">
        <v>2860</v>
      </c>
      <c r="G294" t="s">
        <v>1341</v>
      </c>
      <c r="H294" t="s">
        <v>381</v>
      </c>
      <c r="I294" t="s">
        <v>1285</v>
      </c>
      <c r="J294" t="s">
        <v>1170</v>
      </c>
      <c r="K294" t="s">
        <v>1178</v>
      </c>
      <c r="L294" t="s">
        <v>1342</v>
      </c>
      <c r="M294" t="s">
        <v>1325</v>
      </c>
      <c r="N294" t="s">
        <v>1289</v>
      </c>
      <c r="O294" s="1" t="s">
        <v>1305</v>
      </c>
      <c r="P294" t="s">
        <v>1291</v>
      </c>
      <c r="Q294" t="s">
        <v>1294</v>
      </c>
      <c r="S294" t="s">
        <v>1294</v>
      </c>
      <c r="T294" t="s">
        <v>2861</v>
      </c>
      <c r="U294">
        <v>0</v>
      </c>
      <c r="V294" t="s">
        <v>1340</v>
      </c>
    </row>
    <row r="295" spans="1:22" ht="30" x14ac:dyDescent="0.25">
      <c r="A295" t="s">
        <v>1871</v>
      </c>
      <c r="B295" s="1" t="s">
        <v>1340</v>
      </c>
      <c r="C295" s="1" t="s">
        <v>1530</v>
      </c>
      <c r="D295" s="1" t="s">
        <v>1288</v>
      </c>
      <c r="E295" s="1" t="s">
        <v>1316</v>
      </c>
      <c r="F295" t="s">
        <v>2935</v>
      </c>
      <c r="G295" t="s">
        <v>1341</v>
      </c>
      <c r="H295" t="s">
        <v>381</v>
      </c>
      <c r="I295" t="s">
        <v>1285</v>
      </c>
      <c r="J295" t="s">
        <v>1170</v>
      </c>
      <c r="K295" t="s">
        <v>1178</v>
      </c>
      <c r="L295" t="s">
        <v>1342</v>
      </c>
      <c r="M295" t="s">
        <v>1325</v>
      </c>
      <c r="N295" t="s">
        <v>1289</v>
      </c>
      <c r="O295" s="1" t="s">
        <v>1305</v>
      </c>
      <c r="P295" t="s">
        <v>1291</v>
      </c>
      <c r="Q295" t="s">
        <v>1294</v>
      </c>
      <c r="S295" t="s">
        <v>1294</v>
      </c>
      <c r="T295" t="s">
        <v>2936</v>
      </c>
      <c r="U295">
        <v>0</v>
      </c>
      <c r="V295" t="s">
        <v>1340</v>
      </c>
    </row>
    <row r="296" spans="1:22" ht="30" x14ac:dyDescent="0.25">
      <c r="A296" t="s">
        <v>1871</v>
      </c>
      <c r="B296" s="1" t="s">
        <v>1340</v>
      </c>
      <c r="C296" s="1" t="s">
        <v>1530</v>
      </c>
      <c r="D296" s="1" t="s">
        <v>1288</v>
      </c>
      <c r="E296" s="1" t="s">
        <v>1374</v>
      </c>
      <c r="F296" t="s">
        <v>2980</v>
      </c>
      <c r="G296" t="s">
        <v>1341</v>
      </c>
      <c r="H296" t="s">
        <v>381</v>
      </c>
      <c r="I296" t="s">
        <v>1285</v>
      </c>
      <c r="J296" t="s">
        <v>1170</v>
      </c>
      <c r="K296" t="s">
        <v>1178</v>
      </c>
      <c r="L296" t="s">
        <v>1342</v>
      </c>
      <c r="M296" t="s">
        <v>1325</v>
      </c>
      <c r="N296" t="s">
        <v>1289</v>
      </c>
      <c r="O296" s="1" t="s">
        <v>1305</v>
      </c>
      <c r="P296" t="s">
        <v>1291</v>
      </c>
      <c r="Q296" t="s">
        <v>1294</v>
      </c>
      <c r="S296" t="s">
        <v>1294</v>
      </c>
      <c r="T296" t="s">
        <v>2981</v>
      </c>
      <c r="U296">
        <v>0</v>
      </c>
      <c r="V296" t="s">
        <v>1340</v>
      </c>
    </row>
    <row r="297" spans="1:22" ht="30" x14ac:dyDescent="0.25">
      <c r="A297" t="s">
        <v>1871</v>
      </c>
      <c r="B297" s="1" t="s">
        <v>1340</v>
      </c>
      <c r="C297" s="1" t="s">
        <v>1530</v>
      </c>
      <c r="D297" s="1" t="s">
        <v>1288</v>
      </c>
      <c r="E297" s="1" t="s">
        <v>1649</v>
      </c>
      <c r="F297" t="s">
        <v>3136</v>
      </c>
      <c r="G297" t="s">
        <v>1341</v>
      </c>
      <c r="H297" t="s">
        <v>381</v>
      </c>
      <c r="I297" t="s">
        <v>1285</v>
      </c>
      <c r="J297" t="s">
        <v>1170</v>
      </c>
      <c r="K297" t="s">
        <v>1178</v>
      </c>
      <c r="L297" t="s">
        <v>1342</v>
      </c>
      <c r="M297" t="s">
        <v>1325</v>
      </c>
      <c r="N297" t="s">
        <v>1289</v>
      </c>
      <c r="O297" s="1" t="s">
        <v>1305</v>
      </c>
      <c r="P297" t="s">
        <v>1291</v>
      </c>
      <c r="Q297" t="s">
        <v>1294</v>
      </c>
      <c r="S297" t="s">
        <v>1294</v>
      </c>
      <c r="T297" t="s">
        <v>3137</v>
      </c>
      <c r="U297">
        <v>0</v>
      </c>
      <c r="V297" t="s">
        <v>1340</v>
      </c>
    </row>
    <row r="298" spans="1:22" ht="30" x14ac:dyDescent="0.25">
      <c r="A298" t="s">
        <v>1871</v>
      </c>
      <c r="B298" s="1" t="s">
        <v>1340</v>
      </c>
      <c r="C298" s="1" t="s">
        <v>1530</v>
      </c>
      <c r="D298" s="1" t="s">
        <v>1288</v>
      </c>
      <c r="E298" s="1" t="s">
        <v>1649</v>
      </c>
      <c r="F298" t="s">
        <v>3138</v>
      </c>
      <c r="G298" t="s">
        <v>1341</v>
      </c>
      <c r="H298" t="s">
        <v>381</v>
      </c>
      <c r="I298" t="s">
        <v>1285</v>
      </c>
      <c r="J298" t="s">
        <v>1170</v>
      </c>
      <c r="K298" t="s">
        <v>1178</v>
      </c>
      <c r="L298" t="s">
        <v>1342</v>
      </c>
      <c r="M298" t="s">
        <v>1325</v>
      </c>
      <c r="N298" t="s">
        <v>1289</v>
      </c>
      <c r="O298" s="1" t="s">
        <v>1305</v>
      </c>
      <c r="P298" t="s">
        <v>1291</v>
      </c>
      <c r="Q298" t="s">
        <v>1294</v>
      </c>
      <c r="S298" t="s">
        <v>1294</v>
      </c>
      <c r="T298" t="s">
        <v>3139</v>
      </c>
      <c r="U298">
        <v>0</v>
      </c>
      <c r="V298" t="s">
        <v>1340</v>
      </c>
    </row>
    <row r="299" spans="1:22" ht="30" x14ac:dyDescent="0.25">
      <c r="A299" t="s">
        <v>1871</v>
      </c>
      <c r="B299" s="1" t="s">
        <v>1340</v>
      </c>
      <c r="C299" s="1" t="s">
        <v>1530</v>
      </c>
      <c r="D299" s="1" t="s">
        <v>1288</v>
      </c>
      <c r="E299" s="1" t="s">
        <v>1649</v>
      </c>
      <c r="F299" t="s">
        <v>3140</v>
      </c>
      <c r="G299" t="s">
        <v>1341</v>
      </c>
      <c r="H299" t="s">
        <v>381</v>
      </c>
      <c r="I299" t="s">
        <v>1285</v>
      </c>
      <c r="J299" t="s">
        <v>1170</v>
      </c>
      <c r="K299" t="s">
        <v>1178</v>
      </c>
      <c r="L299" t="s">
        <v>1342</v>
      </c>
      <c r="M299" t="s">
        <v>1325</v>
      </c>
      <c r="N299" t="s">
        <v>1289</v>
      </c>
      <c r="O299" s="1" t="s">
        <v>1305</v>
      </c>
      <c r="P299" t="s">
        <v>1291</v>
      </c>
      <c r="Q299" t="s">
        <v>1294</v>
      </c>
      <c r="S299" t="s">
        <v>1294</v>
      </c>
      <c r="T299" t="s">
        <v>3141</v>
      </c>
      <c r="U299">
        <v>0</v>
      </c>
      <c r="V299" t="s">
        <v>1340</v>
      </c>
    </row>
    <row r="300" spans="1:22" ht="30" x14ac:dyDescent="0.25">
      <c r="A300" t="s">
        <v>1871</v>
      </c>
      <c r="B300" s="1" t="s">
        <v>1340</v>
      </c>
      <c r="C300" s="1" t="s">
        <v>1530</v>
      </c>
      <c r="D300" s="1" t="s">
        <v>1288</v>
      </c>
      <c r="E300" s="1" t="s">
        <v>1649</v>
      </c>
      <c r="F300" t="s">
        <v>3142</v>
      </c>
      <c r="G300" t="s">
        <v>1341</v>
      </c>
      <c r="H300" t="s">
        <v>381</v>
      </c>
      <c r="I300" t="s">
        <v>1285</v>
      </c>
      <c r="J300" t="s">
        <v>1170</v>
      </c>
      <c r="K300" t="s">
        <v>1178</v>
      </c>
      <c r="L300" t="s">
        <v>1342</v>
      </c>
      <c r="M300" t="s">
        <v>1325</v>
      </c>
      <c r="N300" t="s">
        <v>1289</v>
      </c>
      <c r="O300" s="1" t="s">
        <v>1305</v>
      </c>
      <c r="P300" t="s">
        <v>1291</v>
      </c>
      <c r="Q300" t="s">
        <v>1294</v>
      </c>
      <c r="S300" t="s">
        <v>1294</v>
      </c>
      <c r="T300" t="s">
        <v>3143</v>
      </c>
      <c r="U300">
        <v>0</v>
      </c>
      <c r="V300" t="s">
        <v>1340</v>
      </c>
    </row>
    <row r="301" spans="1:22" ht="30" x14ac:dyDescent="0.25">
      <c r="A301" t="s">
        <v>1871</v>
      </c>
      <c r="B301" s="1" t="s">
        <v>1340</v>
      </c>
      <c r="C301" s="1" t="s">
        <v>1530</v>
      </c>
      <c r="D301" s="1" t="s">
        <v>1288</v>
      </c>
      <c r="E301" s="1" t="s">
        <v>1649</v>
      </c>
      <c r="F301" t="s">
        <v>3144</v>
      </c>
      <c r="G301" t="s">
        <v>1341</v>
      </c>
      <c r="H301" t="s">
        <v>381</v>
      </c>
      <c r="I301" t="s">
        <v>1285</v>
      </c>
      <c r="J301" t="s">
        <v>1170</v>
      </c>
      <c r="K301" t="s">
        <v>1178</v>
      </c>
      <c r="L301" t="s">
        <v>1342</v>
      </c>
      <c r="M301" t="s">
        <v>1325</v>
      </c>
      <c r="N301" t="s">
        <v>1289</v>
      </c>
      <c r="O301" s="1" t="s">
        <v>1305</v>
      </c>
      <c r="P301" t="s">
        <v>1291</v>
      </c>
      <c r="Q301" t="s">
        <v>1294</v>
      </c>
      <c r="S301" t="s">
        <v>1294</v>
      </c>
      <c r="T301" t="s">
        <v>3145</v>
      </c>
      <c r="U301">
        <v>0</v>
      </c>
      <c r="V301" t="s">
        <v>1340</v>
      </c>
    </row>
    <row r="302" spans="1:22" ht="30" x14ac:dyDescent="0.25">
      <c r="A302" t="s">
        <v>1871</v>
      </c>
      <c r="B302" s="1" t="s">
        <v>1340</v>
      </c>
      <c r="C302" s="1" t="s">
        <v>1530</v>
      </c>
      <c r="D302" s="1" t="s">
        <v>1288</v>
      </c>
      <c r="E302" s="1" t="s">
        <v>1350</v>
      </c>
      <c r="F302" t="s">
        <v>3205</v>
      </c>
      <c r="G302" t="s">
        <v>1341</v>
      </c>
      <c r="H302" t="s">
        <v>381</v>
      </c>
      <c r="I302" t="s">
        <v>1285</v>
      </c>
      <c r="J302" t="s">
        <v>1170</v>
      </c>
      <c r="K302" t="s">
        <v>1178</v>
      </c>
      <c r="L302" t="s">
        <v>1342</v>
      </c>
      <c r="M302" t="s">
        <v>1325</v>
      </c>
      <c r="N302" t="s">
        <v>1289</v>
      </c>
      <c r="O302" s="1" t="s">
        <v>1305</v>
      </c>
      <c r="P302" t="s">
        <v>1291</v>
      </c>
      <c r="Q302" t="s">
        <v>1294</v>
      </c>
      <c r="S302" t="s">
        <v>1294</v>
      </c>
      <c r="T302" t="s">
        <v>3206</v>
      </c>
      <c r="U302">
        <v>0</v>
      </c>
      <c r="V302" t="s">
        <v>1340</v>
      </c>
    </row>
    <row r="303" spans="1:22" ht="30" x14ac:dyDescent="0.25">
      <c r="A303" t="s">
        <v>1871</v>
      </c>
      <c r="B303" s="1" t="s">
        <v>1340</v>
      </c>
      <c r="C303" s="1" t="s">
        <v>1530</v>
      </c>
      <c r="D303" s="1" t="s">
        <v>1288</v>
      </c>
      <c r="E303" s="1" t="s">
        <v>1350</v>
      </c>
      <c r="F303" t="s">
        <v>3233</v>
      </c>
      <c r="G303" t="s">
        <v>1341</v>
      </c>
      <c r="H303" t="s">
        <v>381</v>
      </c>
      <c r="I303" t="s">
        <v>1285</v>
      </c>
      <c r="J303" t="s">
        <v>1170</v>
      </c>
      <c r="K303" t="s">
        <v>1178</v>
      </c>
      <c r="L303" t="s">
        <v>1342</v>
      </c>
      <c r="M303" t="s">
        <v>1325</v>
      </c>
      <c r="N303" t="s">
        <v>1289</v>
      </c>
      <c r="O303" s="1" t="s">
        <v>1305</v>
      </c>
      <c r="P303" t="s">
        <v>1291</v>
      </c>
      <c r="Q303" t="s">
        <v>1294</v>
      </c>
      <c r="S303" t="s">
        <v>1294</v>
      </c>
      <c r="T303" t="s">
        <v>3234</v>
      </c>
      <c r="U303">
        <v>0</v>
      </c>
      <c r="V303" t="s">
        <v>1340</v>
      </c>
    </row>
    <row r="304" spans="1:22" ht="30" x14ac:dyDescent="0.25">
      <c r="A304" t="s">
        <v>1871</v>
      </c>
      <c r="B304" s="1" t="s">
        <v>1340</v>
      </c>
      <c r="C304" s="1" t="s">
        <v>1530</v>
      </c>
      <c r="D304" s="1" t="s">
        <v>1288</v>
      </c>
      <c r="E304" s="1" t="s">
        <v>1350</v>
      </c>
      <c r="F304" t="s">
        <v>3259</v>
      </c>
      <c r="G304" t="s">
        <v>1341</v>
      </c>
      <c r="H304" t="s">
        <v>381</v>
      </c>
      <c r="I304" t="s">
        <v>1285</v>
      </c>
      <c r="J304" t="s">
        <v>1170</v>
      </c>
      <c r="K304" t="s">
        <v>1178</v>
      </c>
      <c r="L304" t="s">
        <v>1342</v>
      </c>
      <c r="M304" t="s">
        <v>1325</v>
      </c>
      <c r="N304" t="s">
        <v>1289</v>
      </c>
      <c r="O304" s="1" t="s">
        <v>1305</v>
      </c>
      <c r="P304" t="s">
        <v>1291</v>
      </c>
      <c r="Q304" t="s">
        <v>1294</v>
      </c>
      <c r="S304" t="s">
        <v>1294</v>
      </c>
      <c r="T304" t="s">
        <v>3260</v>
      </c>
      <c r="U304">
        <v>0</v>
      </c>
      <c r="V304" t="s">
        <v>1340</v>
      </c>
    </row>
    <row r="305" spans="1:22" ht="30" x14ac:dyDescent="0.25">
      <c r="A305" t="s">
        <v>1871</v>
      </c>
      <c r="B305" s="1" t="s">
        <v>1340</v>
      </c>
      <c r="C305" s="1" t="s">
        <v>1530</v>
      </c>
      <c r="D305" s="1" t="s">
        <v>1288</v>
      </c>
      <c r="E305" s="1" t="s">
        <v>1350</v>
      </c>
      <c r="F305" t="s">
        <v>3303</v>
      </c>
      <c r="G305" t="s">
        <v>1341</v>
      </c>
      <c r="H305" t="s">
        <v>381</v>
      </c>
      <c r="I305" t="s">
        <v>1285</v>
      </c>
      <c r="J305" t="s">
        <v>1170</v>
      </c>
      <c r="K305" t="s">
        <v>1178</v>
      </c>
      <c r="L305" t="s">
        <v>1342</v>
      </c>
      <c r="M305" t="s">
        <v>1325</v>
      </c>
      <c r="N305" t="s">
        <v>1289</v>
      </c>
      <c r="O305" s="1" t="s">
        <v>1305</v>
      </c>
      <c r="P305" t="s">
        <v>1291</v>
      </c>
      <c r="Q305" t="s">
        <v>1294</v>
      </c>
      <c r="S305" t="s">
        <v>1294</v>
      </c>
      <c r="T305" t="s">
        <v>3304</v>
      </c>
      <c r="U305">
        <v>0</v>
      </c>
      <c r="V305" t="s">
        <v>1340</v>
      </c>
    </row>
    <row r="306" spans="1:22" ht="30" x14ac:dyDescent="0.25">
      <c r="A306" t="s">
        <v>1460</v>
      </c>
      <c r="B306" s="1" t="s">
        <v>245</v>
      </c>
      <c r="C306" s="1" t="s">
        <v>1345</v>
      </c>
      <c r="D306" s="1" t="s">
        <v>1288</v>
      </c>
      <c r="E306" s="1" t="s">
        <v>1636</v>
      </c>
      <c r="F306" t="s">
        <v>1714</v>
      </c>
      <c r="G306" t="s">
        <v>1714</v>
      </c>
      <c r="H306" t="s">
        <v>1715</v>
      </c>
      <c r="I306" t="s">
        <v>1285</v>
      </c>
      <c r="J306" t="s">
        <v>1170</v>
      </c>
      <c r="K306" t="s">
        <v>1170</v>
      </c>
      <c r="L306" t="s">
        <v>1716</v>
      </c>
      <c r="M306" t="s">
        <v>1717</v>
      </c>
      <c r="N306">
        <v>23000</v>
      </c>
      <c r="O306" s="1" t="s">
        <v>795</v>
      </c>
      <c r="P306" t="s">
        <v>1718</v>
      </c>
      <c r="Q306" t="s">
        <v>1292</v>
      </c>
      <c r="S306" t="s">
        <v>1375</v>
      </c>
      <c r="T306" t="s">
        <v>1296</v>
      </c>
      <c r="U306">
        <v>0</v>
      </c>
      <c r="V306" t="s">
        <v>245</v>
      </c>
    </row>
    <row r="307" spans="1:22" ht="30" x14ac:dyDescent="0.25">
      <c r="A307" t="s">
        <v>1871</v>
      </c>
      <c r="B307" s="1" t="s">
        <v>245</v>
      </c>
      <c r="C307" s="1" t="s">
        <v>1530</v>
      </c>
      <c r="D307" s="1" t="s">
        <v>1288</v>
      </c>
      <c r="E307" s="1" t="s">
        <v>1326</v>
      </c>
      <c r="F307" t="s">
        <v>2119</v>
      </c>
      <c r="G307" t="s">
        <v>1714</v>
      </c>
      <c r="H307" t="s">
        <v>1715</v>
      </c>
      <c r="I307" t="s">
        <v>1285</v>
      </c>
      <c r="J307" t="s">
        <v>1170</v>
      </c>
      <c r="K307" t="s">
        <v>1170</v>
      </c>
      <c r="L307" t="s">
        <v>1716</v>
      </c>
      <c r="M307" t="s">
        <v>1717</v>
      </c>
      <c r="N307">
        <v>23000</v>
      </c>
      <c r="O307" s="1" t="s">
        <v>795</v>
      </c>
      <c r="P307" t="s">
        <v>1718</v>
      </c>
      <c r="Q307" t="s">
        <v>1292</v>
      </c>
      <c r="S307" t="s">
        <v>1375</v>
      </c>
      <c r="T307" t="s">
        <v>1296</v>
      </c>
      <c r="U307">
        <v>0</v>
      </c>
      <c r="V307" t="s">
        <v>245</v>
      </c>
    </row>
    <row r="308" spans="1:22" ht="30" x14ac:dyDescent="0.25">
      <c r="A308" t="s">
        <v>1871</v>
      </c>
      <c r="B308" s="1" t="s">
        <v>245</v>
      </c>
      <c r="C308" s="1" t="s">
        <v>1530</v>
      </c>
      <c r="D308" s="1" t="s">
        <v>1288</v>
      </c>
      <c r="E308" s="1" t="s">
        <v>1326</v>
      </c>
      <c r="F308" t="s">
        <v>2120</v>
      </c>
      <c r="G308" t="s">
        <v>1714</v>
      </c>
      <c r="H308" t="s">
        <v>1715</v>
      </c>
      <c r="I308" t="s">
        <v>1285</v>
      </c>
      <c r="J308" t="s">
        <v>1170</v>
      </c>
      <c r="K308" t="s">
        <v>1170</v>
      </c>
      <c r="L308" t="s">
        <v>1716</v>
      </c>
      <c r="M308" t="s">
        <v>1717</v>
      </c>
      <c r="N308">
        <v>23000</v>
      </c>
      <c r="O308" s="1" t="s">
        <v>795</v>
      </c>
      <c r="P308" t="s">
        <v>1718</v>
      </c>
      <c r="Q308" t="s">
        <v>1292</v>
      </c>
      <c r="S308" t="s">
        <v>1375</v>
      </c>
      <c r="T308" t="s">
        <v>1296</v>
      </c>
      <c r="U308">
        <v>0</v>
      </c>
      <c r="V308" t="s">
        <v>245</v>
      </c>
    </row>
    <row r="309" spans="1:22" ht="30" x14ac:dyDescent="0.25">
      <c r="A309" t="s">
        <v>1871</v>
      </c>
      <c r="B309" s="1" t="s">
        <v>245</v>
      </c>
      <c r="C309" s="1" t="s">
        <v>1530</v>
      </c>
      <c r="D309" s="1" t="s">
        <v>1288</v>
      </c>
      <c r="E309" s="1" t="s">
        <v>1326</v>
      </c>
      <c r="F309" t="s">
        <v>2121</v>
      </c>
      <c r="G309" t="s">
        <v>1714</v>
      </c>
      <c r="H309" t="s">
        <v>1715</v>
      </c>
      <c r="I309" t="s">
        <v>1285</v>
      </c>
      <c r="J309" t="s">
        <v>1170</v>
      </c>
      <c r="K309" t="s">
        <v>1170</v>
      </c>
      <c r="L309" t="s">
        <v>1716</v>
      </c>
      <c r="M309" t="s">
        <v>1717</v>
      </c>
      <c r="N309">
        <v>23000</v>
      </c>
      <c r="O309" s="1" t="s">
        <v>795</v>
      </c>
      <c r="P309" t="s">
        <v>1718</v>
      </c>
      <c r="Q309" t="s">
        <v>1292</v>
      </c>
      <c r="S309" t="s">
        <v>1375</v>
      </c>
      <c r="T309" t="s">
        <v>1296</v>
      </c>
      <c r="U309">
        <v>0</v>
      </c>
      <c r="V309" t="s">
        <v>245</v>
      </c>
    </row>
    <row r="310" spans="1:22" ht="30" x14ac:dyDescent="0.25">
      <c r="A310" t="s">
        <v>1871</v>
      </c>
      <c r="B310" s="1" t="s">
        <v>245</v>
      </c>
      <c r="C310" s="1" t="s">
        <v>1530</v>
      </c>
      <c r="D310" s="1" t="s">
        <v>1288</v>
      </c>
      <c r="E310" s="1" t="s">
        <v>1326</v>
      </c>
      <c r="F310" t="s">
        <v>2122</v>
      </c>
      <c r="G310" t="s">
        <v>1714</v>
      </c>
      <c r="H310" t="s">
        <v>1715</v>
      </c>
      <c r="I310" t="s">
        <v>1285</v>
      </c>
      <c r="J310" t="s">
        <v>1170</v>
      </c>
      <c r="K310" t="s">
        <v>1170</v>
      </c>
      <c r="L310" t="s">
        <v>1716</v>
      </c>
      <c r="M310" t="s">
        <v>1717</v>
      </c>
      <c r="N310">
        <v>23000</v>
      </c>
      <c r="O310" s="1" t="s">
        <v>795</v>
      </c>
      <c r="P310" t="s">
        <v>1718</v>
      </c>
      <c r="Q310" t="s">
        <v>1292</v>
      </c>
      <c r="S310" t="s">
        <v>1375</v>
      </c>
      <c r="T310" t="s">
        <v>1296</v>
      </c>
      <c r="U310">
        <v>0</v>
      </c>
      <c r="V310" t="s">
        <v>245</v>
      </c>
    </row>
    <row r="311" spans="1:22" ht="30" x14ac:dyDescent="0.25">
      <c r="A311" t="s">
        <v>1871</v>
      </c>
      <c r="B311" s="1" t="s">
        <v>245</v>
      </c>
      <c r="C311" s="1" t="s">
        <v>1530</v>
      </c>
      <c r="D311" s="1" t="s">
        <v>1288</v>
      </c>
      <c r="E311" s="1" t="s">
        <v>1326</v>
      </c>
      <c r="F311" t="s">
        <v>2123</v>
      </c>
      <c r="G311" t="s">
        <v>1714</v>
      </c>
      <c r="H311" t="s">
        <v>1715</v>
      </c>
      <c r="I311" t="s">
        <v>1285</v>
      </c>
      <c r="J311" t="s">
        <v>1170</v>
      </c>
      <c r="K311" t="s">
        <v>1170</v>
      </c>
      <c r="L311" t="s">
        <v>1716</v>
      </c>
      <c r="M311" t="s">
        <v>1717</v>
      </c>
      <c r="N311">
        <v>23000</v>
      </c>
      <c r="O311" s="1" t="s">
        <v>795</v>
      </c>
      <c r="P311" t="s">
        <v>1718</v>
      </c>
      <c r="Q311" t="s">
        <v>1292</v>
      </c>
      <c r="S311" t="s">
        <v>1375</v>
      </c>
      <c r="T311" t="s">
        <v>1296</v>
      </c>
      <c r="U311">
        <v>0</v>
      </c>
      <c r="V311" t="s">
        <v>245</v>
      </c>
    </row>
    <row r="312" spans="1:22" ht="30" x14ac:dyDescent="0.25">
      <c r="A312" t="s">
        <v>1871</v>
      </c>
      <c r="B312" s="1" t="s">
        <v>245</v>
      </c>
      <c r="C312" s="1" t="s">
        <v>1530</v>
      </c>
      <c r="D312" s="1" t="s">
        <v>1288</v>
      </c>
      <c r="E312" s="1" t="s">
        <v>1326</v>
      </c>
      <c r="F312" t="s">
        <v>2124</v>
      </c>
      <c r="G312" t="s">
        <v>1714</v>
      </c>
      <c r="H312" t="s">
        <v>1715</v>
      </c>
      <c r="I312" t="s">
        <v>1285</v>
      </c>
      <c r="J312" t="s">
        <v>1170</v>
      </c>
      <c r="K312" t="s">
        <v>1170</v>
      </c>
      <c r="L312" t="s">
        <v>1716</v>
      </c>
      <c r="M312" t="s">
        <v>1717</v>
      </c>
      <c r="N312">
        <v>23000</v>
      </c>
      <c r="O312" s="1" t="s">
        <v>795</v>
      </c>
      <c r="P312" t="s">
        <v>1718</v>
      </c>
      <c r="Q312" t="s">
        <v>1292</v>
      </c>
      <c r="S312" t="s">
        <v>1375</v>
      </c>
      <c r="T312" t="s">
        <v>1296</v>
      </c>
      <c r="U312">
        <v>0</v>
      </c>
      <c r="V312" t="s">
        <v>245</v>
      </c>
    </row>
    <row r="313" spans="1:22" ht="30" x14ac:dyDescent="0.25">
      <c r="A313" t="s">
        <v>1871</v>
      </c>
      <c r="B313" s="1" t="s">
        <v>245</v>
      </c>
      <c r="C313" s="1" t="s">
        <v>1530</v>
      </c>
      <c r="D313" s="1" t="s">
        <v>1288</v>
      </c>
      <c r="E313" s="1" t="s">
        <v>1326</v>
      </c>
      <c r="F313" t="s">
        <v>2125</v>
      </c>
      <c r="G313" t="s">
        <v>1714</v>
      </c>
      <c r="H313" t="s">
        <v>1715</v>
      </c>
      <c r="I313" t="s">
        <v>1285</v>
      </c>
      <c r="J313" t="s">
        <v>1170</v>
      </c>
      <c r="K313" t="s">
        <v>1170</v>
      </c>
      <c r="L313" t="s">
        <v>1716</v>
      </c>
      <c r="M313" t="s">
        <v>1717</v>
      </c>
      <c r="N313">
        <v>23000</v>
      </c>
      <c r="O313" s="1" t="s">
        <v>795</v>
      </c>
      <c r="P313" t="s">
        <v>1718</v>
      </c>
      <c r="Q313" t="s">
        <v>1292</v>
      </c>
      <c r="S313" t="s">
        <v>1375</v>
      </c>
      <c r="T313" t="s">
        <v>1296</v>
      </c>
      <c r="U313">
        <v>0</v>
      </c>
      <c r="V313" t="s">
        <v>245</v>
      </c>
    </row>
    <row r="314" spans="1:22" ht="30" x14ac:dyDescent="0.25">
      <c r="A314" t="s">
        <v>1871</v>
      </c>
      <c r="B314" s="1" t="s">
        <v>245</v>
      </c>
      <c r="C314" s="1" t="s">
        <v>1530</v>
      </c>
      <c r="D314" s="1" t="s">
        <v>1288</v>
      </c>
      <c r="E314" s="1" t="s">
        <v>1326</v>
      </c>
      <c r="F314" t="s">
        <v>2126</v>
      </c>
      <c r="G314" t="s">
        <v>1714</v>
      </c>
      <c r="H314" t="s">
        <v>1715</v>
      </c>
      <c r="I314" t="s">
        <v>1285</v>
      </c>
      <c r="J314" t="s">
        <v>1170</v>
      </c>
      <c r="K314" t="s">
        <v>1170</v>
      </c>
      <c r="L314" t="s">
        <v>1716</v>
      </c>
      <c r="M314" t="s">
        <v>1717</v>
      </c>
      <c r="N314">
        <v>23000</v>
      </c>
      <c r="O314" s="1" t="s">
        <v>795</v>
      </c>
      <c r="P314" t="s">
        <v>1718</v>
      </c>
      <c r="Q314" t="s">
        <v>1292</v>
      </c>
      <c r="S314" t="s">
        <v>1375</v>
      </c>
      <c r="T314" t="s">
        <v>1296</v>
      </c>
      <c r="U314">
        <v>0</v>
      </c>
      <c r="V314" t="s">
        <v>245</v>
      </c>
    </row>
    <row r="315" spans="1:22" ht="30" x14ac:dyDescent="0.25">
      <c r="A315" t="s">
        <v>1460</v>
      </c>
      <c r="B315" s="1" t="s">
        <v>1632</v>
      </c>
      <c r="C315" s="1" t="s">
        <v>1327</v>
      </c>
      <c r="D315" s="1" t="s">
        <v>1288</v>
      </c>
      <c r="E315" s="1" t="s">
        <v>1636</v>
      </c>
      <c r="F315" t="s">
        <v>1631</v>
      </c>
      <c r="G315" t="s">
        <v>1633</v>
      </c>
      <c r="H315" t="s">
        <v>1284</v>
      </c>
      <c r="I315" t="s">
        <v>1285</v>
      </c>
      <c r="J315" t="s">
        <v>1312</v>
      </c>
      <c r="K315" t="s">
        <v>848</v>
      </c>
      <c r="L315" t="s">
        <v>1634</v>
      </c>
      <c r="M315" t="s">
        <v>1635</v>
      </c>
      <c r="N315">
        <v>50000</v>
      </c>
      <c r="O315" s="1" t="s">
        <v>795</v>
      </c>
      <c r="P315" t="s">
        <v>1484</v>
      </c>
      <c r="Q315" t="s">
        <v>1292</v>
      </c>
      <c r="S315" t="s">
        <v>1375</v>
      </c>
      <c r="T315" t="s">
        <v>1637</v>
      </c>
      <c r="U315">
        <v>300000</v>
      </c>
      <c r="V315" t="s">
        <v>1638</v>
      </c>
    </row>
    <row r="316" spans="1:22" ht="30" x14ac:dyDescent="0.25">
      <c r="A316" t="s">
        <v>1460</v>
      </c>
      <c r="B316" s="1" t="s">
        <v>1632</v>
      </c>
      <c r="C316" s="1" t="s">
        <v>1327</v>
      </c>
      <c r="D316" s="1" t="s">
        <v>1288</v>
      </c>
      <c r="E316" s="1" t="s">
        <v>1636</v>
      </c>
      <c r="F316" t="s">
        <v>1640</v>
      </c>
      <c r="G316" t="s">
        <v>1633</v>
      </c>
      <c r="H316" t="s">
        <v>1284</v>
      </c>
      <c r="I316" t="s">
        <v>1285</v>
      </c>
      <c r="J316" t="s">
        <v>1312</v>
      </c>
      <c r="K316" t="s">
        <v>848</v>
      </c>
      <c r="L316" t="s">
        <v>1634</v>
      </c>
      <c r="M316" t="s">
        <v>1635</v>
      </c>
      <c r="N316">
        <v>50000</v>
      </c>
      <c r="O316" s="1" t="s">
        <v>795</v>
      </c>
      <c r="P316" t="s">
        <v>1484</v>
      </c>
      <c r="Q316" t="s">
        <v>1292</v>
      </c>
      <c r="S316" t="s">
        <v>1375</v>
      </c>
      <c r="T316" t="s">
        <v>1641</v>
      </c>
      <c r="U316">
        <v>10000</v>
      </c>
      <c r="V316" t="s">
        <v>1638</v>
      </c>
    </row>
    <row r="317" spans="1:22" ht="30" x14ac:dyDescent="0.25">
      <c r="A317" t="s">
        <v>1460</v>
      </c>
      <c r="B317" s="1" t="s">
        <v>1632</v>
      </c>
      <c r="C317" s="1" t="s">
        <v>1295</v>
      </c>
      <c r="D317" s="1" t="s">
        <v>1288</v>
      </c>
      <c r="E317" s="1" t="s">
        <v>1636</v>
      </c>
      <c r="F317" t="s">
        <v>1709</v>
      </c>
      <c r="G317" t="s">
        <v>1633</v>
      </c>
      <c r="H317" t="s">
        <v>1284</v>
      </c>
      <c r="I317" t="s">
        <v>1285</v>
      </c>
      <c r="J317" t="s">
        <v>1312</v>
      </c>
      <c r="K317" t="s">
        <v>848</v>
      </c>
      <c r="L317" t="s">
        <v>1634</v>
      </c>
      <c r="M317" t="s">
        <v>1635</v>
      </c>
      <c r="N317">
        <v>50000</v>
      </c>
      <c r="O317" s="1" t="s">
        <v>795</v>
      </c>
      <c r="P317" t="s">
        <v>1484</v>
      </c>
      <c r="Q317" t="s">
        <v>1292</v>
      </c>
      <c r="S317" t="s">
        <v>1375</v>
      </c>
      <c r="T317" t="s">
        <v>1710</v>
      </c>
      <c r="U317">
        <v>450000</v>
      </c>
      <c r="V317" t="s">
        <v>1711</v>
      </c>
    </row>
    <row r="318" spans="1:22" ht="30" x14ac:dyDescent="0.25">
      <c r="A318" t="s">
        <v>1460</v>
      </c>
      <c r="B318" s="1" t="s">
        <v>1632</v>
      </c>
      <c r="C318" s="1" t="s">
        <v>1295</v>
      </c>
      <c r="D318" s="1" t="s">
        <v>1288</v>
      </c>
      <c r="E318" s="1" t="s">
        <v>1636</v>
      </c>
      <c r="F318" t="s">
        <v>1712</v>
      </c>
      <c r="G318" t="s">
        <v>1633</v>
      </c>
      <c r="H318" t="s">
        <v>1284</v>
      </c>
      <c r="I318" t="s">
        <v>1285</v>
      </c>
      <c r="J318" t="s">
        <v>1312</v>
      </c>
      <c r="K318" t="s">
        <v>848</v>
      </c>
      <c r="L318" t="s">
        <v>1634</v>
      </c>
      <c r="M318" t="s">
        <v>1635</v>
      </c>
      <c r="N318">
        <v>50000</v>
      </c>
      <c r="O318" s="1" t="s">
        <v>795</v>
      </c>
      <c r="P318" t="s">
        <v>1484</v>
      </c>
      <c r="Q318" t="s">
        <v>1292</v>
      </c>
      <c r="S318" t="s">
        <v>1375</v>
      </c>
      <c r="T318" t="s">
        <v>1713</v>
      </c>
      <c r="U318">
        <v>798000</v>
      </c>
      <c r="V318" t="s">
        <v>1638</v>
      </c>
    </row>
    <row r="319" spans="1:22" ht="30" x14ac:dyDescent="0.25">
      <c r="A319" t="s">
        <v>1460</v>
      </c>
      <c r="B319" s="1" t="s">
        <v>1632</v>
      </c>
      <c r="C319" s="1" t="s">
        <v>1345</v>
      </c>
      <c r="D319" s="1" t="s">
        <v>1288</v>
      </c>
      <c r="E319" s="1" t="s">
        <v>1326</v>
      </c>
      <c r="F319" t="s">
        <v>1719</v>
      </c>
      <c r="G319" t="s">
        <v>1633</v>
      </c>
      <c r="H319" t="s">
        <v>1284</v>
      </c>
      <c r="I319" t="s">
        <v>1285</v>
      </c>
      <c r="J319" t="s">
        <v>1312</v>
      </c>
      <c r="K319" t="s">
        <v>848</v>
      </c>
      <c r="L319" t="s">
        <v>1634</v>
      </c>
      <c r="M319" t="s">
        <v>1635</v>
      </c>
      <c r="N319">
        <v>50000</v>
      </c>
      <c r="O319" s="1" t="s">
        <v>795</v>
      </c>
      <c r="P319" t="s">
        <v>1484</v>
      </c>
      <c r="Q319" t="s">
        <v>1292</v>
      </c>
      <c r="S319" t="s">
        <v>1375</v>
      </c>
      <c r="T319" t="s">
        <v>1720</v>
      </c>
      <c r="U319">
        <v>3710</v>
      </c>
      <c r="V319" t="s">
        <v>1638</v>
      </c>
    </row>
    <row r="320" spans="1:22" ht="30" x14ac:dyDescent="0.25">
      <c r="A320" t="s">
        <v>1460</v>
      </c>
      <c r="B320" s="1" t="s">
        <v>1632</v>
      </c>
      <c r="C320" s="1" t="s">
        <v>1345</v>
      </c>
      <c r="D320" s="1" t="s">
        <v>1288</v>
      </c>
      <c r="E320" s="1" t="s">
        <v>1326</v>
      </c>
      <c r="F320" t="s">
        <v>1721</v>
      </c>
      <c r="G320" t="s">
        <v>1633</v>
      </c>
      <c r="H320" t="s">
        <v>1284</v>
      </c>
      <c r="I320" t="s">
        <v>1285</v>
      </c>
      <c r="J320" t="s">
        <v>1312</v>
      </c>
      <c r="K320" t="s">
        <v>848</v>
      </c>
      <c r="L320" t="s">
        <v>1634</v>
      </c>
      <c r="M320" t="s">
        <v>1635</v>
      </c>
      <c r="N320">
        <v>50000</v>
      </c>
      <c r="O320" s="1" t="s">
        <v>795</v>
      </c>
      <c r="P320" t="s">
        <v>1484</v>
      </c>
      <c r="Q320" t="s">
        <v>1292</v>
      </c>
      <c r="S320" t="s">
        <v>1375</v>
      </c>
      <c r="T320" t="s">
        <v>1722</v>
      </c>
      <c r="U320">
        <v>2434</v>
      </c>
      <c r="V320" t="s">
        <v>1638</v>
      </c>
    </row>
    <row r="321" spans="1:22" ht="30" x14ac:dyDescent="0.25">
      <c r="A321" t="s">
        <v>1460</v>
      </c>
      <c r="B321" s="1" t="s">
        <v>1632</v>
      </c>
      <c r="C321" s="1" t="s">
        <v>1345</v>
      </c>
      <c r="D321" s="1" t="s">
        <v>1288</v>
      </c>
      <c r="E321" s="1" t="s">
        <v>1326</v>
      </c>
      <c r="F321" t="s">
        <v>1723</v>
      </c>
      <c r="G321" t="s">
        <v>1633</v>
      </c>
      <c r="H321" t="s">
        <v>1284</v>
      </c>
      <c r="I321" t="s">
        <v>1285</v>
      </c>
      <c r="J321" t="s">
        <v>1312</v>
      </c>
      <c r="K321" t="s">
        <v>848</v>
      </c>
      <c r="L321" t="s">
        <v>1634</v>
      </c>
      <c r="M321" t="s">
        <v>1635</v>
      </c>
      <c r="N321">
        <v>50000</v>
      </c>
      <c r="O321" s="1" t="s">
        <v>795</v>
      </c>
      <c r="P321" t="s">
        <v>1484</v>
      </c>
      <c r="Q321" t="s">
        <v>1292</v>
      </c>
      <c r="S321" t="s">
        <v>1375</v>
      </c>
      <c r="T321" t="s">
        <v>1724</v>
      </c>
      <c r="U321">
        <v>2500</v>
      </c>
      <c r="V321" t="s">
        <v>1638</v>
      </c>
    </row>
    <row r="322" spans="1:22" ht="30" x14ac:dyDescent="0.25">
      <c r="A322" t="s">
        <v>1460</v>
      </c>
      <c r="B322" s="1" t="s">
        <v>1632</v>
      </c>
      <c r="C322" s="1" t="s">
        <v>1345</v>
      </c>
      <c r="D322" s="1" t="s">
        <v>1288</v>
      </c>
      <c r="E322" s="1" t="s">
        <v>1326</v>
      </c>
      <c r="F322" t="s">
        <v>1725</v>
      </c>
      <c r="G322" t="s">
        <v>1633</v>
      </c>
      <c r="H322" t="s">
        <v>1284</v>
      </c>
      <c r="I322" t="s">
        <v>1285</v>
      </c>
      <c r="J322" t="s">
        <v>1312</v>
      </c>
      <c r="K322" t="s">
        <v>848</v>
      </c>
      <c r="L322" t="s">
        <v>1634</v>
      </c>
      <c r="M322" t="s">
        <v>1635</v>
      </c>
      <c r="N322">
        <v>50000</v>
      </c>
      <c r="O322" s="1" t="s">
        <v>795</v>
      </c>
      <c r="P322" t="s">
        <v>1484</v>
      </c>
      <c r="Q322" t="s">
        <v>1292</v>
      </c>
      <c r="S322" t="s">
        <v>1375</v>
      </c>
      <c r="T322" t="s">
        <v>1726</v>
      </c>
      <c r="U322">
        <v>3379</v>
      </c>
      <c r="V322" t="s">
        <v>1638</v>
      </c>
    </row>
    <row r="323" spans="1:22" ht="30" x14ac:dyDescent="0.25">
      <c r="A323" t="s">
        <v>1460</v>
      </c>
      <c r="B323" s="1" t="s">
        <v>1632</v>
      </c>
      <c r="C323" s="1" t="s">
        <v>1345</v>
      </c>
      <c r="D323" s="1" t="s">
        <v>1288</v>
      </c>
      <c r="E323" s="1" t="s">
        <v>1326</v>
      </c>
      <c r="F323" t="s">
        <v>1727</v>
      </c>
      <c r="G323" t="s">
        <v>1633</v>
      </c>
      <c r="H323" t="s">
        <v>1284</v>
      </c>
      <c r="I323" t="s">
        <v>1285</v>
      </c>
      <c r="J323" t="s">
        <v>1312</v>
      </c>
      <c r="K323" t="s">
        <v>848</v>
      </c>
      <c r="L323" t="s">
        <v>1634</v>
      </c>
      <c r="M323" t="s">
        <v>1635</v>
      </c>
      <c r="N323">
        <v>50000</v>
      </c>
      <c r="O323" s="1" t="s">
        <v>795</v>
      </c>
      <c r="P323" t="s">
        <v>1484</v>
      </c>
      <c r="Q323" t="s">
        <v>1292</v>
      </c>
      <c r="S323" t="s">
        <v>1375</v>
      </c>
      <c r="T323" t="s">
        <v>1728</v>
      </c>
      <c r="U323">
        <v>3805</v>
      </c>
      <c r="V323" t="s">
        <v>1638</v>
      </c>
    </row>
    <row r="324" spans="1:22" ht="30" x14ac:dyDescent="0.25">
      <c r="A324" t="s">
        <v>1460</v>
      </c>
      <c r="B324" s="1" t="s">
        <v>1632</v>
      </c>
      <c r="C324" s="1" t="s">
        <v>1345</v>
      </c>
      <c r="D324" s="1" t="s">
        <v>1288</v>
      </c>
      <c r="E324" s="1" t="s">
        <v>1326</v>
      </c>
      <c r="F324" t="s">
        <v>1729</v>
      </c>
      <c r="G324" t="s">
        <v>1633</v>
      </c>
      <c r="H324" t="s">
        <v>1284</v>
      </c>
      <c r="I324" t="s">
        <v>1285</v>
      </c>
      <c r="J324" t="s">
        <v>1312</v>
      </c>
      <c r="K324" t="s">
        <v>848</v>
      </c>
      <c r="L324" t="s">
        <v>1634</v>
      </c>
      <c r="M324" t="s">
        <v>1635</v>
      </c>
      <c r="N324">
        <v>50000</v>
      </c>
      <c r="O324" s="1" t="s">
        <v>795</v>
      </c>
      <c r="P324" t="s">
        <v>1484</v>
      </c>
      <c r="Q324" t="s">
        <v>1292</v>
      </c>
      <c r="S324" t="s">
        <v>1375</v>
      </c>
      <c r="T324" t="s">
        <v>1730</v>
      </c>
      <c r="U324">
        <v>2248</v>
      </c>
      <c r="V324" t="s">
        <v>1711</v>
      </c>
    </row>
    <row r="325" spans="1:22" ht="30" x14ac:dyDescent="0.25">
      <c r="A325" t="s">
        <v>1460</v>
      </c>
      <c r="B325" s="1" t="s">
        <v>1632</v>
      </c>
      <c r="C325" s="1" t="s">
        <v>1345</v>
      </c>
      <c r="D325" s="1" t="s">
        <v>1288</v>
      </c>
      <c r="E325" s="1" t="s">
        <v>1326</v>
      </c>
      <c r="F325" t="s">
        <v>1731</v>
      </c>
      <c r="G325" t="s">
        <v>1633</v>
      </c>
      <c r="H325" t="s">
        <v>1284</v>
      </c>
      <c r="I325" t="s">
        <v>1285</v>
      </c>
      <c r="J325" t="s">
        <v>1312</v>
      </c>
      <c r="K325" t="s">
        <v>848</v>
      </c>
      <c r="L325" t="s">
        <v>1634</v>
      </c>
      <c r="M325" t="s">
        <v>1635</v>
      </c>
      <c r="N325">
        <v>50000</v>
      </c>
      <c r="O325" s="1" t="s">
        <v>795</v>
      </c>
      <c r="P325" t="s">
        <v>1484</v>
      </c>
      <c r="Q325" t="s">
        <v>1292</v>
      </c>
      <c r="S325" t="s">
        <v>1375</v>
      </c>
      <c r="T325" t="s">
        <v>1732</v>
      </c>
      <c r="U325">
        <v>3378</v>
      </c>
      <c r="V325" t="s">
        <v>1711</v>
      </c>
    </row>
    <row r="326" spans="1:22" ht="30" x14ac:dyDescent="0.25">
      <c r="A326" t="s">
        <v>1460</v>
      </c>
      <c r="B326" s="1" t="s">
        <v>1632</v>
      </c>
      <c r="C326" s="1" t="s">
        <v>1345</v>
      </c>
      <c r="D326" s="1" t="s">
        <v>1288</v>
      </c>
      <c r="E326" s="1" t="s">
        <v>1326</v>
      </c>
      <c r="F326" t="s">
        <v>1733</v>
      </c>
      <c r="G326" t="s">
        <v>1633</v>
      </c>
      <c r="H326" t="s">
        <v>1284</v>
      </c>
      <c r="I326" t="s">
        <v>1285</v>
      </c>
      <c r="J326" t="s">
        <v>1312</v>
      </c>
      <c r="K326" t="s">
        <v>848</v>
      </c>
      <c r="L326" t="s">
        <v>1634</v>
      </c>
      <c r="M326" t="s">
        <v>1635</v>
      </c>
      <c r="N326">
        <v>50000</v>
      </c>
      <c r="O326" s="1" t="s">
        <v>795</v>
      </c>
      <c r="P326" t="s">
        <v>1484</v>
      </c>
      <c r="Q326" t="s">
        <v>1292</v>
      </c>
      <c r="S326" t="s">
        <v>1375</v>
      </c>
      <c r="T326" t="s">
        <v>1734</v>
      </c>
      <c r="U326">
        <v>3151</v>
      </c>
      <c r="V326" t="s">
        <v>1638</v>
      </c>
    </row>
    <row r="327" spans="1:22" ht="30" x14ac:dyDescent="0.25">
      <c r="A327" t="s">
        <v>1460</v>
      </c>
      <c r="B327" s="1" t="s">
        <v>1632</v>
      </c>
      <c r="C327" s="1" t="s">
        <v>1345</v>
      </c>
      <c r="D327" s="1" t="s">
        <v>1288</v>
      </c>
      <c r="E327" s="1" t="s">
        <v>1326</v>
      </c>
      <c r="F327" t="s">
        <v>1735</v>
      </c>
      <c r="G327" t="s">
        <v>1633</v>
      </c>
      <c r="H327" t="s">
        <v>1284</v>
      </c>
      <c r="I327" t="s">
        <v>1285</v>
      </c>
      <c r="J327" t="s">
        <v>1312</v>
      </c>
      <c r="K327" t="s">
        <v>848</v>
      </c>
      <c r="L327" t="s">
        <v>1634</v>
      </c>
      <c r="M327" t="s">
        <v>1635</v>
      </c>
      <c r="N327">
        <v>50000</v>
      </c>
      <c r="O327" s="1" t="s">
        <v>795</v>
      </c>
      <c r="P327" t="s">
        <v>1484</v>
      </c>
      <c r="Q327" t="s">
        <v>1292</v>
      </c>
      <c r="S327" t="s">
        <v>1375</v>
      </c>
      <c r="T327" t="s">
        <v>1736</v>
      </c>
      <c r="U327">
        <v>2448</v>
      </c>
      <c r="V327" t="s">
        <v>1638</v>
      </c>
    </row>
    <row r="328" spans="1:22" ht="30" x14ac:dyDescent="0.25">
      <c r="A328" t="s">
        <v>1460</v>
      </c>
      <c r="B328" s="1" t="s">
        <v>1632</v>
      </c>
      <c r="C328" s="1" t="s">
        <v>1345</v>
      </c>
      <c r="D328" s="1" t="s">
        <v>1288</v>
      </c>
      <c r="E328" s="1" t="s">
        <v>1326</v>
      </c>
      <c r="F328" t="s">
        <v>1737</v>
      </c>
      <c r="G328" t="s">
        <v>1633</v>
      </c>
      <c r="H328" t="s">
        <v>1284</v>
      </c>
      <c r="I328" t="s">
        <v>1285</v>
      </c>
      <c r="J328" t="s">
        <v>1312</v>
      </c>
      <c r="K328" t="s">
        <v>848</v>
      </c>
      <c r="L328" t="s">
        <v>1634</v>
      </c>
      <c r="M328" t="s">
        <v>1635</v>
      </c>
      <c r="N328">
        <v>50000</v>
      </c>
      <c r="O328" s="1" t="s">
        <v>795</v>
      </c>
      <c r="P328" t="s">
        <v>1484</v>
      </c>
      <c r="Q328" t="s">
        <v>1292</v>
      </c>
      <c r="S328" t="s">
        <v>1375</v>
      </c>
      <c r="T328" t="s">
        <v>1738</v>
      </c>
      <c r="U328">
        <v>2366</v>
      </c>
      <c r="V328" t="s">
        <v>1638</v>
      </c>
    </row>
    <row r="329" spans="1:22" ht="30" x14ac:dyDescent="0.25">
      <c r="A329" t="s">
        <v>1460</v>
      </c>
      <c r="B329" s="1" t="s">
        <v>1632</v>
      </c>
      <c r="C329" s="1" t="s">
        <v>1345</v>
      </c>
      <c r="D329" s="1" t="s">
        <v>1288</v>
      </c>
      <c r="E329" s="1" t="s">
        <v>1326</v>
      </c>
      <c r="F329" t="s">
        <v>1739</v>
      </c>
      <c r="G329" t="s">
        <v>1633</v>
      </c>
      <c r="H329" t="s">
        <v>1284</v>
      </c>
      <c r="I329" t="s">
        <v>1285</v>
      </c>
      <c r="J329" t="s">
        <v>1312</v>
      </c>
      <c r="K329" t="s">
        <v>848</v>
      </c>
      <c r="L329" t="s">
        <v>1634</v>
      </c>
      <c r="M329" t="s">
        <v>1635</v>
      </c>
      <c r="N329">
        <v>50000</v>
      </c>
      <c r="O329" s="1" t="s">
        <v>795</v>
      </c>
      <c r="P329" t="s">
        <v>1484</v>
      </c>
      <c r="Q329" t="s">
        <v>1292</v>
      </c>
      <c r="S329" t="s">
        <v>1375</v>
      </c>
      <c r="T329" t="s">
        <v>1740</v>
      </c>
      <c r="U329">
        <v>3175</v>
      </c>
      <c r="V329" t="s">
        <v>1638</v>
      </c>
    </row>
    <row r="330" spans="1:22" ht="30" x14ac:dyDescent="0.25">
      <c r="A330" t="s">
        <v>1460</v>
      </c>
      <c r="B330" s="1" t="s">
        <v>1632</v>
      </c>
      <c r="C330" s="1" t="s">
        <v>1345</v>
      </c>
      <c r="D330" s="1" t="s">
        <v>1288</v>
      </c>
      <c r="E330" s="1" t="s">
        <v>1326</v>
      </c>
      <c r="F330" t="s">
        <v>1741</v>
      </c>
      <c r="G330" t="s">
        <v>1633</v>
      </c>
      <c r="H330" t="s">
        <v>1284</v>
      </c>
      <c r="I330" t="s">
        <v>1285</v>
      </c>
      <c r="J330" t="s">
        <v>1312</v>
      </c>
      <c r="K330" t="s">
        <v>848</v>
      </c>
      <c r="L330" t="s">
        <v>1634</v>
      </c>
      <c r="M330" t="s">
        <v>1635</v>
      </c>
      <c r="N330">
        <v>50000</v>
      </c>
      <c r="O330" s="1" t="s">
        <v>795</v>
      </c>
      <c r="P330" t="s">
        <v>1484</v>
      </c>
      <c r="Q330" t="s">
        <v>1292</v>
      </c>
      <c r="S330" t="s">
        <v>1375</v>
      </c>
      <c r="T330" t="s">
        <v>1742</v>
      </c>
      <c r="U330">
        <v>2612</v>
      </c>
      <c r="V330" t="s">
        <v>1638</v>
      </c>
    </row>
    <row r="331" spans="1:22" ht="30" x14ac:dyDescent="0.25">
      <c r="A331" t="s">
        <v>1460</v>
      </c>
      <c r="B331" s="1" t="s">
        <v>1632</v>
      </c>
      <c r="C331" s="1" t="s">
        <v>1345</v>
      </c>
      <c r="D331" s="1" t="s">
        <v>1288</v>
      </c>
      <c r="E331" s="1" t="s">
        <v>1636</v>
      </c>
      <c r="F331" t="s">
        <v>1845</v>
      </c>
      <c r="G331" t="s">
        <v>1633</v>
      </c>
      <c r="H331" t="s">
        <v>1284</v>
      </c>
      <c r="I331" t="s">
        <v>1285</v>
      </c>
      <c r="J331" t="s">
        <v>1312</v>
      </c>
      <c r="K331" t="s">
        <v>848</v>
      </c>
      <c r="L331" t="s">
        <v>1634</v>
      </c>
      <c r="M331" t="s">
        <v>1635</v>
      </c>
      <c r="N331">
        <v>50000</v>
      </c>
      <c r="O331" s="1" t="s">
        <v>795</v>
      </c>
      <c r="P331" t="s">
        <v>1484</v>
      </c>
      <c r="Q331" t="s">
        <v>1292</v>
      </c>
      <c r="S331" t="s">
        <v>1375</v>
      </c>
      <c r="T331" t="s">
        <v>1846</v>
      </c>
      <c r="U331">
        <v>4870</v>
      </c>
      <c r="V331" t="s">
        <v>1638</v>
      </c>
    </row>
    <row r="332" spans="1:22" ht="30" x14ac:dyDescent="0.25">
      <c r="A332" t="s">
        <v>1460</v>
      </c>
      <c r="B332" s="1" t="s">
        <v>1632</v>
      </c>
      <c r="C332" s="1" t="s">
        <v>1345</v>
      </c>
      <c r="D332" s="1" t="s">
        <v>1288</v>
      </c>
      <c r="E332" s="1" t="s">
        <v>1636</v>
      </c>
      <c r="F332" t="s">
        <v>1847</v>
      </c>
      <c r="G332" t="s">
        <v>1633</v>
      </c>
      <c r="H332" t="s">
        <v>1284</v>
      </c>
      <c r="I332" t="s">
        <v>1285</v>
      </c>
      <c r="J332" t="s">
        <v>1312</v>
      </c>
      <c r="K332" t="s">
        <v>848</v>
      </c>
      <c r="L332" t="s">
        <v>1634</v>
      </c>
      <c r="M332" t="s">
        <v>1635</v>
      </c>
      <c r="N332">
        <v>50000</v>
      </c>
      <c r="O332" s="1" t="s">
        <v>795</v>
      </c>
      <c r="P332" t="s">
        <v>1484</v>
      </c>
      <c r="Q332" t="s">
        <v>1292</v>
      </c>
      <c r="S332" t="s">
        <v>1375</v>
      </c>
      <c r="T332" t="s">
        <v>1848</v>
      </c>
      <c r="U332">
        <v>22595</v>
      </c>
      <c r="V332" t="s">
        <v>1638</v>
      </c>
    </row>
    <row r="333" spans="1:22" ht="30" x14ac:dyDescent="0.25">
      <c r="A333" t="s">
        <v>1460</v>
      </c>
      <c r="B333" s="1" t="s">
        <v>1632</v>
      </c>
      <c r="C333" s="1" t="s">
        <v>1345</v>
      </c>
      <c r="D333" s="1" t="s">
        <v>1288</v>
      </c>
      <c r="E333" s="1" t="s">
        <v>1636</v>
      </c>
      <c r="F333" t="s">
        <v>1849</v>
      </c>
      <c r="G333" t="s">
        <v>1633</v>
      </c>
      <c r="H333" t="s">
        <v>1284</v>
      </c>
      <c r="I333" t="s">
        <v>1285</v>
      </c>
      <c r="J333" t="s">
        <v>1312</v>
      </c>
      <c r="K333" t="s">
        <v>848</v>
      </c>
      <c r="L333" t="s">
        <v>1634</v>
      </c>
      <c r="M333" t="s">
        <v>1635</v>
      </c>
      <c r="N333">
        <v>50000</v>
      </c>
      <c r="O333" s="1" t="s">
        <v>795</v>
      </c>
      <c r="P333" t="s">
        <v>1484</v>
      </c>
      <c r="Q333" t="s">
        <v>1292</v>
      </c>
      <c r="S333" t="s">
        <v>1375</v>
      </c>
      <c r="T333" t="s">
        <v>1850</v>
      </c>
      <c r="U333">
        <v>10309</v>
      </c>
      <c r="V333" t="s">
        <v>1638</v>
      </c>
    </row>
    <row r="334" spans="1:22" ht="30" x14ac:dyDescent="0.25">
      <c r="A334" t="s">
        <v>1460</v>
      </c>
      <c r="B334" s="1" t="s">
        <v>1632</v>
      </c>
      <c r="C334" s="1" t="s">
        <v>1345</v>
      </c>
      <c r="D334" s="1" t="s">
        <v>1288</v>
      </c>
      <c r="E334" s="1" t="s">
        <v>1636</v>
      </c>
      <c r="F334" t="s">
        <v>1851</v>
      </c>
      <c r="G334" t="s">
        <v>1633</v>
      </c>
      <c r="H334" t="s">
        <v>1284</v>
      </c>
      <c r="I334" t="s">
        <v>1285</v>
      </c>
      <c r="J334" t="s">
        <v>1312</v>
      </c>
      <c r="K334" t="s">
        <v>848</v>
      </c>
      <c r="L334" t="s">
        <v>1634</v>
      </c>
      <c r="M334" t="s">
        <v>1635</v>
      </c>
      <c r="N334">
        <v>50000</v>
      </c>
      <c r="O334" s="1" t="s">
        <v>795</v>
      </c>
      <c r="P334" t="s">
        <v>1484</v>
      </c>
      <c r="Q334" t="s">
        <v>1292</v>
      </c>
      <c r="S334" t="s">
        <v>1375</v>
      </c>
      <c r="T334" t="s">
        <v>1852</v>
      </c>
      <c r="U334">
        <v>2830</v>
      </c>
      <c r="V334" t="s">
        <v>1638</v>
      </c>
    </row>
    <row r="335" spans="1:22" ht="30" x14ac:dyDescent="0.25">
      <c r="A335" t="s">
        <v>1460</v>
      </c>
      <c r="B335" s="1" t="s">
        <v>1632</v>
      </c>
      <c r="C335" s="1" t="s">
        <v>1345</v>
      </c>
      <c r="D335" s="1" t="s">
        <v>1288</v>
      </c>
      <c r="E335" s="1" t="s">
        <v>1636</v>
      </c>
      <c r="F335" t="s">
        <v>1853</v>
      </c>
      <c r="G335" t="s">
        <v>1633</v>
      </c>
      <c r="H335" t="s">
        <v>1284</v>
      </c>
      <c r="I335" t="s">
        <v>1285</v>
      </c>
      <c r="J335" t="s">
        <v>1312</v>
      </c>
      <c r="K335" t="s">
        <v>848</v>
      </c>
      <c r="L335" t="s">
        <v>1634</v>
      </c>
      <c r="M335" t="s">
        <v>1635</v>
      </c>
      <c r="N335">
        <v>50000</v>
      </c>
      <c r="O335" s="1" t="s">
        <v>795</v>
      </c>
      <c r="P335" t="s">
        <v>1484</v>
      </c>
      <c r="Q335" t="s">
        <v>1292</v>
      </c>
      <c r="S335" t="s">
        <v>1375</v>
      </c>
      <c r="T335" t="s">
        <v>1854</v>
      </c>
      <c r="U335">
        <v>6012</v>
      </c>
      <c r="V335" t="s">
        <v>1638</v>
      </c>
    </row>
    <row r="336" spans="1:22" ht="30" x14ac:dyDescent="0.25">
      <c r="A336" t="s">
        <v>1460</v>
      </c>
      <c r="B336" s="1" t="s">
        <v>1632</v>
      </c>
      <c r="C336" s="1" t="s">
        <v>1345</v>
      </c>
      <c r="D336" s="1" t="s">
        <v>1288</v>
      </c>
      <c r="E336" s="1" t="s">
        <v>1636</v>
      </c>
      <c r="F336" t="s">
        <v>1855</v>
      </c>
      <c r="G336" t="s">
        <v>1633</v>
      </c>
      <c r="H336" t="s">
        <v>1284</v>
      </c>
      <c r="I336" t="s">
        <v>1285</v>
      </c>
      <c r="J336" t="s">
        <v>1312</v>
      </c>
      <c r="K336" t="s">
        <v>848</v>
      </c>
      <c r="L336" t="s">
        <v>1634</v>
      </c>
      <c r="M336" t="s">
        <v>1635</v>
      </c>
      <c r="N336">
        <v>50000</v>
      </c>
      <c r="O336" s="1" t="s">
        <v>795</v>
      </c>
      <c r="P336" t="s">
        <v>1484</v>
      </c>
      <c r="Q336" t="s">
        <v>1292</v>
      </c>
      <c r="S336" t="s">
        <v>1375</v>
      </c>
      <c r="T336" t="s">
        <v>1856</v>
      </c>
      <c r="U336">
        <v>13351</v>
      </c>
      <c r="V336" t="s">
        <v>1638</v>
      </c>
    </row>
    <row r="337" spans="1:22" ht="30" x14ac:dyDescent="0.25">
      <c r="A337" t="s">
        <v>1871</v>
      </c>
      <c r="B337" s="1" t="s">
        <v>1632</v>
      </c>
      <c r="C337" s="1" t="s">
        <v>1530</v>
      </c>
      <c r="D337" s="1" t="s">
        <v>1288</v>
      </c>
      <c r="E337" s="1" t="s">
        <v>1374</v>
      </c>
      <c r="F337" t="s">
        <v>2325</v>
      </c>
      <c r="G337" t="s">
        <v>1633</v>
      </c>
      <c r="H337" t="s">
        <v>1284</v>
      </c>
      <c r="I337" t="s">
        <v>1285</v>
      </c>
      <c r="J337" t="s">
        <v>1312</v>
      </c>
      <c r="K337" t="s">
        <v>848</v>
      </c>
      <c r="L337" t="s">
        <v>1634</v>
      </c>
      <c r="M337" t="s">
        <v>1635</v>
      </c>
      <c r="N337">
        <v>50000</v>
      </c>
      <c r="O337" s="1" t="s">
        <v>795</v>
      </c>
      <c r="P337" t="s">
        <v>1484</v>
      </c>
      <c r="Q337" t="s">
        <v>1292</v>
      </c>
      <c r="S337" t="s">
        <v>1375</v>
      </c>
      <c r="T337" t="s">
        <v>1296</v>
      </c>
      <c r="U337">
        <v>0</v>
      </c>
      <c r="V337" t="s">
        <v>1638</v>
      </c>
    </row>
    <row r="338" spans="1:22" ht="30" x14ac:dyDescent="0.25">
      <c r="A338" t="s">
        <v>1871</v>
      </c>
      <c r="B338" s="1" t="s">
        <v>1632</v>
      </c>
      <c r="C338" s="1" t="s">
        <v>1530</v>
      </c>
      <c r="D338" s="1" t="s">
        <v>1288</v>
      </c>
      <c r="E338" s="1" t="s">
        <v>1636</v>
      </c>
      <c r="F338" t="s">
        <v>3092</v>
      </c>
      <c r="G338" t="s">
        <v>1633</v>
      </c>
      <c r="H338" t="s">
        <v>1284</v>
      </c>
      <c r="I338" t="s">
        <v>1285</v>
      </c>
      <c r="J338" t="s">
        <v>1312</v>
      </c>
      <c r="K338" t="s">
        <v>848</v>
      </c>
      <c r="L338" t="s">
        <v>1634</v>
      </c>
      <c r="M338" t="s">
        <v>1635</v>
      </c>
      <c r="N338">
        <v>50000</v>
      </c>
      <c r="O338" s="1" t="s">
        <v>795</v>
      </c>
      <c r="P338" t="s">
        <v>1484</v>
      </c>
      <c r="Q338" t="s">
        <v>1292</v>
      </c>
      <c r="S338" t="s">
        <v>1375</v>
      </c>
      <c r="T338" t="s">
        <v>3093</v>
      </c>
      <c r="U338">
        <v>564</v>
      </c>
      <c r="V338" t="s">
        <v>1638</v>
      </c>
    </row>
    <row r="339" spans="1:22" ht="30" x14ac:dyDescent="0.25">
      <c r="A339" t="s">
        <v>1871</v>
      </c>
      <c r="B339" s="1" t="s">
        <v>1632</v>
      </c>
      <c r="C339" s="1" t="s">
        <v>1530</v>
      </c>
      <c r="D339" s="1" t="s">
        <v>1288</v>
      </c>
      <c r="E339" s="1" t="s">
        <v>1636</v>
      </c>
      <c r="F339" t="s">
        <v>3094</v>
      </c>
      <c r="G339" t="s">
        <v>1633</v>
      </c>
      <c r="H339" t="s">
        <v>1284</v>
      </c>
      <c r="I339" t="s">
        <v>1285</v>
      </c>
      <c r="J339" t="s">
        <v>1312</v>
      </c>
      <c r="K339" t="s">
        <v>848</v>
      </c>
      <c r="L339" t="s">
        <v>1634</v>
      </c>
      <c r="M339" t="s">
        <v>1635</v>
      </c>
      <c r="N339">
        <v>50000</v>
      </c>
      <c r="O339" s="1" t="s">
        <v>795</v>
      </c>
      <c r="P339" t="s">
        <v>1484</v>
      </c>
      <c r="Q339" t="s">
        <v>1292</v>
      </c>
      <c r="S339" t="s">
        <v>1375</v>
      </c>
      <c r="T339" t="s">
        <v>3095</v>
      </c>
      <c r="U339">
        <v>0</v>
      </c>
      <c r="V339" t="s">
        <v>1711</v>
      </c>
    </row>
    <row r="340" spans="1:22" ht="30" x14ac:dyDescent="0.25">
      <c r="A340" t="s">
        <v>1871</v>
      </c>
      <c r="B340" s="1" t="s">
        <v>1632</v>
      </c>
      <c r="C340" s="1" t="s">
        <v>1530</v>
      </c>
      <c r="D340" s="1" t="s">
        <v>1288</v>
      </c>
      <c r="E340" s="1" t="s">
        <v>1636</v>
      </c>
      <c r="F340" t="s">
        <v>3100</v>
      </c>
      <c r="G340" t="s">
        <v>1633</v>
      </c>
      <c r="H340" t="s">
        <v>1284</v>
      </c>
      <c r="I340" t="s">
        <v>1285</v>
      </c>
      <c r="J340" t="s">
        <v>1312</v>
      </c>
      <c r="K340" t="s">
        <v>848</v>
      </c>
      <c r="L340" t="s">
        <v>1634</v>
      </c>
      <c r="M340" t="s">
        <v>1635</v>
      </c>
      <c r="N340">
        <v>50000</v>
      </c>
      <c r="O340" s="1" t="s">
        <v>795</v>
      </c>
      <c r="P340" t="s">
        <v>1484</v>
      </c>
      <c r="Q340" t="s">
        <v>1292</v>
      </c>
      <c r="S340" t="s">
        <v>1375</v>
      </c>
      <c r="T340" t="s">
        <v>3101</v>
      </c>
      <c r="U340">
        <v>0</v>
      </c>
      <c r="V340" t="s">
        <v>1711</v>
      </c>
    </row>
    <row r="341" spans="1:22" ht="30" x14ac:dyDescent="0.25">
      <c r="A341" t="s">
        <v>1871</v>
      </c>
      <c r="B341" s="1" t="s">
        <v>1632</v>
      </c>
      <c r="C341" s="1" t="s">
        <v>1530</v>
      </c>
      <c r="D341" s="1" t="s">
        <v>1288</v>
      </c>
      <c r="E341" s="1" t="s">
        <v>1636</v>
      </c>
      <c r="F341" t="s">
        <v>3102</v>
      </c>
      <c r="G341" t="s">
        <v>1633</v>
      </c>
      <c r="H341" t="s">
        <v>1284</v>
      </c>
      <c r="I341" t="s">
        <v>1285</v>
      </c>
      <c r="J341" t="s">
        <v>1312</v>
      </c>
      <c r="K341" t="s">
        <v>848</v>
      </c>
      <c r="L341" t="s">
        <v>1634</v>
      </c>
      <c r="M341" t="s">
        <v>1635</v>
      </c>
      <c r="N341">
        <v>50000</v>
      </c>
      <c r="O341" s="1" t="s">
        <v>795</v>
      </c>
      <c r="P341" t="s">
        <v>1484</v>
      </c>
      <c r="Q341" t="s">
        <v>1292</v>
      </c>
      <c r="S341" t="s">
        <v>1375</v>
      </c>
      <c r="T341" t="s">
        <v>3103</v>
      </c>
      <c r="U341">
        <v>0</v>
      </c>
      <c r="V341" t="s">
        <v>1711</v>
      </c>
    </row>
    <row r="342" spans="1:22" ht="30" x14ac:dyDescent="0.25">
      <c r="A342" t="s">
        <v>1871</v>
      </c>
      <c r="B342" s="1" t="s">
        <v>1632</v>
      </c>
      <c r="C342" s="1" t="s">
        <v>1530</v>
      </c>
      <c r="D342" s="1" t="s">
        <v>1288</v>
      </c>
      <c r="E342" s="1" t="s">
        <v>1636</v>
      </c>
      <c r="F342" t="s">
        <v>3104</v>
      </c>
      <c r="G342" t="s">
        <v>1633</v>
      </c>
      <c r="H342" t="s">
        <v>1284</v>
      </c>
      <c r="I342" t="s">
        <v>1285</v>
      </c>
      <c r="J342" t="s">
        <v>1312</v>
      </c>
      <c r="K342" t="s">
        <v>848</v>
      </c>
      <c r="L342" t="s">
        <v>1634</v>
      </c>
      <c r="M342" t="s">
        <v>1635</v>
      </c>
      <c r="N342">
        <v>50000</v>
      </c>
      <c r="O342" s="1" t="s">
        <v>795</v>
      </c>
      <c r="P342" t="s">
        <v>1484</v>
      </c>
      <c r="Q342" t="s">
        <v>1292</v>
      </c>
      <c r="S342" t="s">
        <v>1375</v>
      </c>
      <c r="T342" t="s">
        <v>3105</v>
      </c>
      <c r="U342">
        <v>742</v>
      </c>
      <c r="V342" t="s">
        <v>1638</v>
      </c>
    </row>
    <row r="343" spans="1:22" ht="30" x14ac:dyDescent="0.25">
      <c r="A343" t="s">
        <v>1871</v>
      </c>
      <c r="B343" s="1" t="s">
        <v>1632</v>
      </c>
      <c r="C343" s="1" t="s">
        <v>1530</v>
      </c>
      <c r="D343" s="1" t="s">
        <v>1288</v>
      </c>
      <c r="E343" s="1" t="s">
        <v>1326</v>
      </c>
      <c r="F343" t="s">
        <v>3110</v>
      </c>
      <c r="G343" t="s">
        <v>1633</v>
      </c>
      <c r="H343" t="s">
        <v>1284</v>
      </c>
      <c r="I343" t="s">
        <v>1285</v>
      </c>
      <c r="J343" t="s">
        <v>1312</v>
      </c>
      <c r="K343" t="s">
        <v>848</v>
      </c>
      <c r="L343" t="s">
        <v>1634</v>
      </c>
      <c r="M343" t="s">
        <v>1635</v>
      </c>
      <c r="N343">
        <v>50000</v>
      </c>
      <c r="O343" s="1" t="s">
        <v>795</v>
      </c>
      <c r="P343" t="s">
        <v>1484</v>
      </c>
      <c r="Q343" t="s">
        <v>1292</v>
      </c>
      <c r="S343" t="s">
        <v>1375</v>
      </c>
      <c r="T343" t="s">
        <v>1296</v>
      </c>
      <c r="U343">
        <v>0</v>
      </c>
      <c r="V343" t="s">
        <v>1711</v>
      </c>
    </row>
    <row r="344" spans="1:22" ht="30" x14ac:dyDescent="0.25">
      <c r="A344" t="s">
        <v>1871</v>
      </c>
      <c r="B344" s="1" t="s">
        <v>1632</v>
      </c>
      <c r="C344" s="1" t="s">
        <v>1530</v>
      </c>
      <c r="D344" s="1" t="s">
        <v>1288</v>
      </c>
      <c r="E344" s="1" t="s">
        <v>1326</v>
      </c>
      <c r="F344" t="s">
        <v>3111</v>
      </c>
      <c r="G344" t="s">
        <v>1633</v>
      </c>
      <c r="H344" t="s">
        <v>1284</v>
      </c>
      <c r="I344" t="s">
        <v>1285</v>
      </c>
      <c r="J344" t="s">
        <v>1312</v>
      </c>
      <c r="K344" t="s">
        <v>848</v>
      </c>
      <c r="L344" t="s">
        <v>1634</v>
      </c>
      <c r="M344" t="s">
        <v>1635</v>
      </c>
      <c r="N344">
        <v>50000</v>
      </c>
      <c r="O344" s="1" t="s">
        <v>795</v>
      </c>
      <c r="P344" t="s">
        <v>1484</v>
      </c>
      <c r="Q344" t="s">
        <v>1292</v>
      </c>
      <c r="S344" t="s">
        <v>1375</v>
      </c>
      <c r="T344" t="s">
        <v>1296</v>
      </c>
      <c r="U344">
        <v>0</v>
      </c>
      <c r="V344" t="s">
        <v>1638</v>
      </c>
    </row>
    <row r="345" spans="1:22" ht="30" x14ac:dyDescent="0.25">
      <c r="A345" t="s">
        <v>1871</v>
      </c>
      <c r="B345" s="1" t="s">
        <v>1632</v>
      </c>
      <c r="C345" s="1" t="s">
        <v>1530</v>
      </c>
      <c r="D345" s="1" t="s">
        <v>1288</v>
      </c>
      <c r="E345" s="1" t="s">
        <v>1326</v>
      </c>
      <c r="F345" t="s">
        <v>3112</v>
      </c>
      <c r="G345" t="s">
        <v>1633</v>
      </c>
      <c r="H345" t="s">
        <v>1284</v>
      </c>
      <c r="I345" t="s">
        <v>1285</v>
      </c>
      <c r="J345" t="s">
        <v>1312</v>
      </c>
      <c r="K345" t="s">
        <v>848</v>
      </c>
      <c r="L345" t="s">
        <v>1634</v>
      </c>
      <c r="M345" t="s">
        <v>1635</v>
      </c>
      <c r="N345">
        <v>50000</v>
      </c>
      <c r="O345" s="1" t="s">
        <v>795</v>
      </c>
      <c r="P345" t="s">
        <v>1484</v>
      </c>
      <c r="Q345" t="s">
        <v>1292</v>
      </c>
      <c r="S345" t="s">
        <v>1375</v>
      </c>
      <c r="T345" t="s">
        <v>1296</v>
      </c>
      <c r="U345">
        <v>0</v>
      </c>
      <c r="V345" t="s">
        <v>1638</v>
      </c>
    </row>
    <row r="346" spans="1:22" ht="30" x14ac:dyDescent="0.25">
      <c r="A346" t="s">
        <v>1871</v>
      </c>
      <c r="B346" s="1" t="s">
        <v>1632</v>
      </c>
      <c r="C346" s="1" t="s">
        <v>1530</v>
      </c>
      <c r="D346" s="1" t="s">
        <v>1288</v>
      </c>
      <c r="E346" s="1" t="s">
        <v>1326</v>
      </c>
      <c r="F346" t="s">
        <v>3113</v>
      </c>
      <c r="G346" t="s">
        <v>1633</v>
      </c>
      <c r="H346" t="s">
        <v>1284</v>
      </c>
      <c r="I346" t="s">
        <v>1285</v>
      </c>
      <c r="J346" t="s">
        <v>1312</v>
      </c>
      <c r="K346" t="s">
        <v>848</v>
      </c>
      <c r="L346" t="s">
        <v>1634</v>
      </c>
      <c r="M346" t="s">
        <v>1635</v>
      </c>
      <c r="N346">
        <v>50000</v>
      </c>
      <c r="O346" s="1" t="s">
        <v>795</v>
      </c>
      <c r="P346" t="s">
        <v>1484</v>
      </c>
      <c r="Q346" t="s">
        <v>1292</v>
      </c>
      <c r="S346" t="s">
        <v>1375</v>
      </c>
      <c r="T346" t="s">
        <v>1296</v>
      </c>
      <c r="U346">
        <v>0</v>
      </c>
      <c r="V346" t="s">
        <v>1711</v>
      </c>
    </row>
    <row r="347" spans="1:22" ht="30" x14ac:dyDescent="0.25">
      <c r="A347" t="s">
        <v>1460</v>
      </c>
      <c r="B347" s="1" t="s">
        <v>1477</v>
      </c>
      <c r="C347" s="1" t="s">
        <v>1345</v>
      </c>
      <c r="D347" s="1" t="s">
        <v>1288</v>
      </c>
      <c r="E347" s="1" t="s">
        <v>1410</v>
      </c>
      <c r="F347" t="s">
        <v>1476</v>
      </c>
      <c r="G347" t="s">
        <v>1478</v>
      </c>
      <c r="H347" t="s">
        <v>1284</v>
      </c>
      <c r="I347" t="s">
        <v>1479</v>
      </c>
      <c r="J347" t="s">
        <v>1480</v>
      </c>
      <c r="K347" t="s">
        <v>1480</v>
      </c>
      <c r="L347" t="s">
        <v>1481</v>
      </c>
      <c r="M347" t="s">
        <v>1482</v>
      </c>
      <c r="N347">
        <v>45700</v>
      </c>
      <c r="O347" s="1" t="s">
        <v>1483</v>
      </c>
      <c r="P347" t="s">
        <v>1484</v>
      </c>
      <c r="Q347" t="s">
        <v>1292</v>
      </c>
      <c r="S347" t="s">
        <v>1294</v>
      </c>
      <c r="T347" t="s">
        <v>1296</v>
      </c>
      <c r="U347">
        <v>2500</v>
      </c>
      <c r="V347" t="s">
        <v>1477</v>
      </c>
    </row>
    <row r="348" spans="1:22" x14ac:dyDescent="0.25">
      <c r="A348" t="s">
        <v>1460</v>
      </c>
      <c r="B348" s="1" t="s">
        <v>1477</v>
      </c>
      <c r="C348" s="1" t="s">
        <v>1345</v>
      </c>
      <c r="D348" s="1" t="s">
        <v>1288</v>
      </c>
      <c r="E348" s="1" t="s">
        <v>1358</v>
      </c>
      <c r="F348" t="s">
        <v>1642</v>
      </c>
      <c r="G348" t="s">
        <v>1478</v>
      </c>
      <c r="H348" t="s">
        <v>1284</v>
      </c>
      <c r="I348" t="s">
        <v>1479</v>
      </c>
      <c r="J348" t="s">
        <v>1480</v>
      </c>
      <c r="K348" t="s">
        <v>1480</v>
      </c>
      <c r="L348" t="s">
        <v>1481</v>
      </c>
      <c r="M348" t="s">
        <v>1482</v>
      </c>
      <c r="N348">
        <v>45700</v>
      </c>
      <c r="O348" s="1" t="s">
        <v>1483</v>
      </c>
      <c r="P348" t="s">
        <v>1484</v>
      </c>
      <c r="Q348" t="s">
        <v>1292</v>
      </c>
      <c r="S348" t="s">
        <v>1375</v>
      </c>
      <c r="T348" t="s">
        <v>1296</v>
      </c>
      <c r="U348">
        <v>115790</v>
      </c>
      <c r="V348" t="s">
        <v>1477</v>
      </c>
    </row>
    <row r="349" spans="1:22" x14ac:dyDescent="0.25">
      <c r="A349" t="s">
        <v>1460</v>
      </c>
      <c r="B349" s="1" t="s">
        <v>1477</v>
      </c>
      <c r="C349" s="1" t="s">
        <v>1345</v>
      </c>
      <c r="D349" s="1" t="s">
        <v>1288</v>
      </c>
      <c r="E349" s="1" t="s">
        <v>1358</v>
      </c>
      <c r="F349" t="s">
        <v>1659</v>
      </c>
      <c r="G349" t="s">
        <v>1478</v>
      </c>
      <c r="H349" t="s">
        <v>1284</v>
      </c>
      <c r="I349" t="s">
        <v>1479</v>
      </c>
      <c r="J349" t="s">
        <v>1480</v>
      </c>
      <c r="K349" t="s">
        <v>1480</v>
      </c>
      <c r="L349" t="s">
        <v>1481</v>
      </c>
      <c r="M349" t="s">
        <v>1482</v>
      </c>
      <c r="N349">
        <v>45700</v>
      </c>
      <c r="O349" s="1" t="s">
        <v>1483</v>
      </c>
      <c r="P349" t="s">
        <v>1484</v>
      </c>
      <c r="Q349" t="s">
        <v>1292</v>
      </c>
      <c r="S349" t="s">
        <v>1294</v>
      </c>
      <c r="T349" t="s">
        <v>1296</v>
      </c>
      <c r="U349">
        <v>2500</v>
      </c>
      <c r="V349" t="s">
        <v>1477</v>
      </c>
    </row>
    <row r="350" spans="1:22" ht="30" x14ac:dyDescent="0.25">
      <c r="A350" t="s">
        <v>1871</v>
      </c>
      <c r="B350" s="1" t="s">
        <v>1477</v>
      </c>
      <c r="C350" s="1" t="s">
        <v>1530</v>
      </c>
      <c r="D350" s="1" t="s">
        <v>1288</v>
      </c>
      <c r="E350" s="1" t="s">
        <v>1326</v>
      </c>
      <c r="F350" t="s">
        <v>3389</v>
      </c>
      <c r="G350" t="s">
        <v>1478</v>
      </c>
      <c r="H350" t="s">
        <v>1284</v>
      </c>
      <c r="I350" t="s">
        <v>1479</v>
      </c>
      <c r="J350" t="s">
        <v>1480</v>
      </c>
      <c r="K350" t="s">
        <v>1480</v>
      </c>
      <c r="L350" t="s">
        <v>1481</v>
      </c>
      <c r="M350" t="s">
        <v>1482</v>
      </c>
      <c r="N350">
        <v>45700</v>
      </c>
      <c r="O350" s="1" t="s">
        <v>1483</v>
      </c>
      <c r="P350" t="s">
        <v>1484</v>
      </c>
      <c r="Q350" t="s">
        <v>1292</v>
      </c>
      <c r="S350" t="s">
        <v>1375</v>
      </c>
      <c r="T350" t="s">
        <v>1296</v>
      </c>
      <c r="U350">
        <v>1651</v>
      </c>
      <c r="V350" t="s">
        <v>1477</v>
      </c>
    </row>
    <row r="351" spans="1:22" ht="30" x14ac:dyDescent="0.25">
      <c r="A351" t="s">
        <v>1871</v>
      </c>
      <c r="B351" s="1" t="s">
        <v>1477</v>
      </c>
      <c r="C351" s="1" t="s">
        <v>1530</v>
      </c>
      <c r="D351" s="1" t="s">
        <v>1288</v>
      </c>
      <c r="E351" s="1" t="s">
        <v>1326</v>
      </c>
      <c r="F351" t="s">
        <v>3390</v>
      </c>
      <c r="G351" t="s">
        <v>1478</v>
      </c>
      <c r="H351" t="s">
        <v>1284</v>
      </c>
      <c r="I351" t="s">
        <v>1479</v>
      </c>
      <c r="J351" t="s">
        <v>1480</v>
      </c>
      <c r="K351" t="s">
        <v>1480</v>
      </c>
      <c r="L351" t="s">
        <v>1481</v>
      </c>
      <c r="M351" t="s">
        <v>1482</v>
      </c>
      <c r="N351">
        <v>45700</v>
      </c>
      <c r="O351" s="1" t="s">
        <v>1483</v>
      </c>
      <c r="P351" t="s">
        <v>1484</v>
      </c>
      <c r="Q351" t="s">
        <v>1292</v>
      </c>
      <c r="S351" t="s">
        <v>1375</v>
      </c>
      <c r="T351" t="s">
        <v>1296</v>
      </c>
      <c r="U351">
        <v>1714</v>
      </c>
      <c r="V351" t="s">
        <v>1477</v>
      </c>
    </row>
    <row r="352" spans="1:22" ht="30" x14ac:dyDescent="0.25">
      <c r="A352" t="s">
        <v>1871</v>
      </c>
      <c r="B352" s="1" t="s">
        <v>1477</v>
      </c>
      <c r="C352" s="1" t="s">
        <v>1530</v>
      </c>
      <c r="D352" s="1" t="s">
        <v>1288</v>
      </c>
      <c r="E352" s="1" t="s">
        <v>1326</v>
      </c>
      <c r="F352" t="s">
        <v>3391</v>
      </c>
      <c r="G352" t="s">
        <v>1478</v>
      </c>
      <c r="H352" t="s">
        <v>1284</v>
      </c>
      <c r="I352" t="s">
        <v>1479</v>
      </c>
      <c r="J352" t="s">
        <v>1480</v>
      </c>
      <c r="K352" t="s">
        <v>1480</v>
      </c>
      <c r="L352" t="s">
        <v>1481</v>
      </c>
      <c r="M352" t="s">
        <v>1482</v>
      </c>
      <c r="N352">
        <v>45700</v>
      </c>
      <c r="O352" s="1" t="s">
        <v>1483</v>
      </c>
      <c r="P352" t="s">
        <v>1484</v>
      </c>
      <c r="Q352" t="s">
        <v>1292</v>
      </c>
      <c r="S352" t="s">
        <v>1375</v>
      </c>
      <c r="T352" t="s">
        <v>1296</v>
      </c>
      <c r="U352">
        <v>2238</v>
      </c>
      <c r="V352" t="s">
        <v>1477</v>
      </c>
    </row>
    <row r="353" spans="1:22" ht="30" x14ac:dyDescent="0.25">
      <c r="A353" t="s">
        <v>1871</v>
      </c>
      <c r="B353" s="1" t="s">
        <v>1477</v>
      </c>
      <c r="C353" s="1" t="s">
        <v>1530</v>
      </c>
      <c r="D353" s="1" t="s">
        <v>1288</v>
      </c>
      <c r="E353" s="1" t="s">
        <v>1326</v>
      </c>
      <c r="F353" t="s">
        <v>3392</v>
      </c>
      <c r="G353" t="s">
        <v>1478</v>
      </c>
      <c r="H353" t="s">
        <v>1284</v>
      </c>
      <c r="I353" t="s">
        <v>1479</v>
      </c>
      <c r="J353" t="s">
        <v>1480</v>
      </c>
      <c r="K353" t="s">
        <v>1480</v>
      </c>
      <c r="L353" t="s">
        <v>1481</v>
      </c>
      <c r="M353" t="s">
        <v>1482</v>
      </c>
      <c r="N353">
        <v>45700</v>
      </c>
      <c r="O353" s="1" t="s">
        <v>1483</v>
      </c>
      <c r="P353" t="s">
        <v>1484</v>
      </c>
      <c r="Q353" t="s">
        <v>1292</v>
      </c>
      <c r="S353" t="s">
        <v>1375</v>
      </c>
      <c r="T353" t="s">
        <v>1296</v>
      </c>
      <c r="U353">
        <v>722</v>
      </c>
      <c r="V353" t="s">
        <v>1477</v>
      </c>
    </row>
    <row r="354" spans="1:22" ht="30" x14ac:dyDescent="0.25">
      <c r="A354" t="s">
        <v>1871</v>
      </c>
      <c r="B354" s="1" t="s">
        <v>1477</v>
      </c>
      <c r="C354" s="1" t="s">
        <v>1530</v>
      </c>
      <c r="D354" s="1" t="s">
        <v>1288</v>
      </c>
      <c r="E354" s="1" t="s">
        <v>1326</v>
      </c>
      <c r="F354" t="s">
        <v>3393</v>
      </c>
      <c r="G354" t="s">
        <v>1478</v>
      </c>
      <c r="H354" t="s">
        <v>1284</v>
      </c>
      <c r="I354" t="s">
        <v>1479</v>
      </c>
      <c r="J354" t="s">
        <v>1480</v>
      </c>
      <c r="K354" t="s">
        <v>1480</v>
      </c>
      <c r="L354" t="s">
        <v>1481</v>
      </c>
      <c r="M354" t="s">
        <v>1482</v>
      </c>
      <c r="N354">
        <v>45700</v>
      </c>
      <c r="O354" s="1" t="s">
        <v>1483</v>
      </c>
      <c r="P354" t="s">
        <v>1484</v>
      </c>
      <c r="Q354" t="s">
        <v>1292</v>
      </c>
      <c r="S354" t="s">
        <v>1375</v>
      </c>
      <c r="T354" t="s">
        <v>1296</v>
      </c>
      <c r="U354">
        <v>2761</v>
      </c>
      <c r="V354" t="s">
        <v>1477</v>
      </c>
    </row>
    <row r="355" spans="1:22" ht="30" x14ac:dyDescent="0.25">
      <c r="A355" t="s">
        <v>1871</v>
      </c>
      <c r="B355" s="1" t="s">
        <v>1477</v>
      </c>
      <c r="C355" s="1" t="s">
        <v>1530</v>
      </c>
      <c r="D355" s="1" t="s">
        <v>1288</v>
      </c>
      <c r="E355" s="1" t="s">
        <v>1326</v>
      </c>
      <c r="F355" t="s">
        <v>3394</v>
      </c>
      <c r="G355" t="s">
        <v>1478</v>
      </c>
      <c r="H355" t="s">
        <v>1284</v>
      </c>
      <c r="I355" t="s">
        <v>1479</v>
      </c>
      <c r="J355" t="s">
        <v>1480</v>
      </c>
      <c r="K355" t="s">
        <v>1480</v>
      </c>
      <c r="L355" t="s">
        <v>1481</v>
      </c>
      <c r="M355" t="s">
        <v>1482</v>
      </c>
      <c r="N355">
        <v>45700</v>
      </c>
      <c r="O355" s="1" t="s">
        <v>1483</v>
      </c>
      <c r="P355" t="s">
        <v>1484</v>
      </c>
      <c r="Q355" t="s">
        <v>1292</v>
      </c>
      <c r="S355" t="s">
        <v>1375</v>
      </c>
      <c r="T355" t="s">
        <v>1296</v>
      </c>
      <c r="U355">
        <v>1899</v>
      </c>
      <c r="V355" t="s">
        <v>1477</v>
      </c>
    </row>
    <row r="356" spans="1:22" ht="30" x14ac:dyDescent="0.25">
      <c r="A356" t="s">
        <v>1871</v>
      </c>
      <c r="B356" s="1" t="s">
        <v>1477</v>
      </c>
      <c r="C356" s="1" t="s">
        <v>1530</v>
      </c>
      <c r="D356" s="1" t="s">
        <v>1288</v>
      </c>
      <c r="E356" s="1" t="s">
        <v>1326</v>
      </c>
      <c r="F356" t="s">
        <v>3395</v>
      </c>
      <c r="G356" t="s">
        <v>1478</v>
      </c>
      <c r="H356" t="s">
        <v>1284</v>
      </c>
      <c r="I356" t="s">
        <v>1479</v>
      </c>
      <c r="J356" t="s">
        <v>1480</v>
      </c>
      <c r="K356" t="s">
        <v>1480</v>
      </c>
      <c r="L356" t="s">
        <v>1481</v>
      </c>
      <c r="M356" t="s">
        <v>1482</v>
      </c>
      <c r="N356">
        <v>45700</v>
      </c>
      <c r="O356" s="1" t="s">
        <v>1483</v>
      </c>
      <c r="P356" t="s">
        <v>1484</v>
      </c>
      <c r="Q356" t="s">
        <v>1292</v>
      </c>
      <c r="S356" t="s">
        <v>1375</v>
      </c>
      <c r="T356" t="s">
        <v>1296</v>
      </c>
      <c r="U356">
        <v>453</v>
      </c>
      <c r="V356" t="s">
        <v>1477</v>
      </c>
    </row>
    <row r="357" spans="1:22" ht="30" x14ac:dyDescent="0.25">
      <c r="A357" t="s">
        <v>1871</v>
      </c>
      <c r="B357" s="1" t="s">
        <v>1477</v>
      </c>
      <c r="C357" s="1" t="s">
        <v>1530</v>
      </c>
      <c r="D357" s="1" t="s">
        <v>1288</v>
      </c>
      <c r="E357" s="1" t="s">
        <v>1326</v>
      </c>
      <c r="F357" t="s">
        <v>3396</v>
      </c>
      <c r="G357" t="s">
        <v>1478</v>
      </c>
      <c r="H357" t="s">
        <v>1284</v>
      </c>
      <c r="I357" t="s">
        <v>1479</v>
      </c>
      <c r="J357" t="s">
        <v>1480</v>
      </c>
      <c r="K357" t="s">
        <v>1480</v>
      </c>
      <c r="L357" t="s">
        <v>1481</v>
      </c>
      <c r="M357" t="s">
        <v>1482</v>
      </c>
      <c r="N357">
        <v>45700</v>
      </c>
      <c r="O357" s="1" t="s">
        <v>1483</v>
      </c>
      <c r="P357" t="s">
        <v>1484</v>
      </c>
      <c r="Q357" t="s">
        <v>1292</v>
      </c>
      <c r="S357" t="s">
        <v>1375</v>
      </c>
      <c r="T357" t="s">
        <v>1296</v>
      </c>
      <c r="U357">
        <v>1546</v>
      </c>
      <c r="V357" t="s">
        <v>1477</v>
      </c>
    </row>
    <row r="358" spans="1:22" ht="30" x14ac:dyDescent="0.25">
      <c r="A358" t="s">
        <v>1281</v>
      </c>
      <c r="B358" s="1" t="s">
        <v>1370</v>
      </c>
      <c r="C358" s="1" t="s">
        <v>1345</v>
      </c>
      <c r="D358" s="1" t="s">
        <v>1288</v>
      </c>
      <c r="E358" s="1" t="s">
        <v>1374</v>
      </c>
      <c r="F358" t="s">
        <v>1369</v>
      </c>
      <c r="G358" t="s">
        <v>1371</v>
      </c>
      <c r="H358" t="s">
        <v>381</v>
      </c>
      <c r="I358" t="s">
        <v>1285</v>
      </c>
      <c r="J358" t="s">
        <v>1170</v>
      </c>
      <c r="K358" t="s">
        <v>1247</v>
      </c>
      <c r="L358" t="s">
        <v>1372</v>
      </c>
      <c r="M358" t="s">
        <v>1373</v>
      </c>
      <c r="N358" t="s">
        <v>1289</v>
      </c>
      <c r="O358" s="1" t="s">
        <v>795</v>
      </c>
      <c r="P358" t="s">
        <v>1291</v>
      </c>
      <c r="Q358" t="s">
        <v>1292</v>
      </c>
      <c r="S358" t="s">
        <v>1375</v>
      </c>
      <c r="T358" t="s">
        <v>1296</v>
      </c>
      <c r="U358">
        <v>0</v>
      </c>
      <c r="V358" t="s">
        <v>1370</v>
      </c>
    </row>
    <row r="359" spans="1:22" ht="30" x14ac:dyDescent="0.25">
      <c r="A359" t="s">
        <v>1281</v>
      </c>
      <c r="B359" s="1" t="s">
        <v>1370</v>
      </c>
      <c r="C359" s="1" t="s">
        <v>1345</v>
      </c>
      <c r="D359" s="1" t="s">
        <v>1288</v>
      </c>
      <c r="E359" s="1" t="s">
        <v>1358</v>
      </c>
      <c r="F359" t="s">
        <v>1411</v>
      </c>
      <c r="G359" t="s">
        <v>1371</v>
      </c>
      <c r="H359" t="s">
        <v>381</v>
      </c>
      <c r="I359" t="s">
        <v>1285</v>
      </c>
      <c r="J359" t="s">
        <v>1170</v>
      </c>
      <c r="K359" t="s">
        <v>1247</v>
      </c>
      <c r="L359" t="s">
        <v>1372</v>
      </c>
      <c r="M359" t="s">
        <v>1373</v>
      </c>
      <c r="N359" t="s">
        <v>1289</v>
      </c>
      <c r="O359" s="1" t="s">
        <v>795</v>
      </c>
      <c r="P359" t="s">
        <v>1291</v>
      </c>
      <c r="Q359" t="s">
        <v>1292</v>
      </c>
      <c r="S359" t="s">
        <v>1375</v>
      </c>
      <c r="T359" t="s">
        <v>1296</v>
      </c>
      <c r="U359">
        <v>0</v>
      </c>
      <c r="V359" t="s">
        <v>1370</v>
      </c>
    </row>
    <row r="360" spans="1:22" ht="30" x14ac:dyDescent="0.25">
      <c r="A360" t="s">
        <v>1460</v>
      </c>
      <c r="B360" s="1" t="s">
        <v>1370</v>
      </c>
      <c r="C360" s="1" t="s">
        <v>1345</v>
      </c>
      <c r="D360" s="1" t="s">
        <v>1288</v>
      </c>
      <c r="E360" s="1" t="s">
        <v>1649</v>
      </c>
      <c r="F360" t="s">
        <v>1648</v>
      </c>
      <c r="G360" t="s">
        <v>1371</v>
      </c>
      <c r="H360" t="s">
        <v>381</v>
      </c>
      <c r="I360" t="s">
        <v>1285</v>
      </c>
      <c r="J360" t="s">
        <v>1170</v>
      </c>
      <c r="K360" t="s">
        <v>1247</v>
      </c>
      <c r="L360" t="s">
        <v>1372</v>
      </c>
      <c r="M360" t="s">
        <v>1373</v>
      </c>
      <c r="N360" t="s">
        <v>1289</v>
      </c>
      <c r="O360" s="1" t="s">
        <v>795</v>
      </c>
      <c r="P360" t="s">
        <v>1291</v>
      </c>
      <c r="Q360" t="s">
        <v>1292</v>
      </c>
      <c r="S360" t="s">
        <v>1375</v>
      </c>
      <c r="T360" t="s">
        <v>1650</v>
      </c>
      <c r="U360">
        <v>0</v>
      </c>
      <c r="V360" t="s">
        <v>1370</v>
      </c>
    </row>
    <row r="361" spans="1:22" ht="30" x14ac:dyDescent="0.25">
      <c r="A361" t="s">
        <v>1871</v>
      </c>
      <c r="B361" s="1" t="s">
        <v>1370</v>
      </c>
      <c r="C361" s="1" t="s">
        <v>1530</v>
      </c>
      <c r="D361" s="1" t="s">
        <v>1288</v>
      </c>
      <c r="E361" s="1" t="s">
        <v>1378</v>
      </c>
      <c r="F361" t="s">
        <v>1916</v>
      </c>
      <c r="G361" t="s">
        <v>1371</v>
      </c>
      <c r="H361" t="s">
        <v>381</v>
      </c>
      <c r="I361" t="s">
        <v>1285</v>
      </c>
      <c r="J361" t="s">
        <v>1170</v>
      </c>
      <c r="K361" t="s">
        <v>1247</v>
      </c>
      <c r="L361" t="s">
        <v>1372</v>
      </c>
      <c r="M361" t="s">
        <v>1373</v>
      </c>
      <c r="N361" t="s">
        <v>1289</v>
      </c>
      <c r="O361" s="1" t="s">
        <v>795</v>
      </c>
      <c r="P361" t="s">
        <v>1291</v>
      </c>
      <c r="Q361" t="s">
        <v>1292</v>
      </c>
      <c r="S361" t="s">
        <v>1375</v>
      </c>
      <c r="T361" t="s">
        <v>1917</v>
      </c>
      <c r="U361">
        <v>0</v>
      </c>
      <c r="V361" t="s">
        <v>1370</v>
      </c>
    </row>
    <row r="362" spans="1:22" ht="30" x14ac:dyDescent="0.25">
      <c r="A362" t="s">
        <v>1871</v>
      </c>
      <c r="B362" s="1" t="s">
        <v>1370</v>
      </c>
      <c r="C362" s="1" t="s">
        <v>1530</v>
      </c>
      <c r="D362" s="1" t="s">
        <v>1288</v>
      </c>
      <c r="E362" s="1" t="s">
        <v>1393</v>
      </c>
      <c r="F362" t="s">
        <v>1926</v>
      </c>
      <c r="G362" t="s">
        <v>1371</v>
      </c>
      <c r="H362" t="s">
        <v>381</v>
      </c>
      <c r="I362" t="s">
        <v>1285</v>
      </c>
      <c r="J362" t="s">
        <v>1170</v>
      </c>
      <c r="K362" t="s">
        <v>1247</v>
      </c>
      <c r="L362" t="s">
        <v>1372</v>
      </c>
      <c r="M362" t="s">
        <v>1373</v>
      </c>
      <c r="N362" t="s">
        <v>1289</v>
      </c>
      <c r="O362" s="1" t="s">
        <v>795</v>
      </c>
      <c r="P362" t="s">
        <v>1291</v>
      </c>
      <c r="Q362" t="s">
        <v>1292</v>
      </c>
      <c r="S362" t="s">
        <v>1375</v>
      </c>
      <c r="T362" t="s">
        <v>1927</v>
      </c>
      <c r="U362">
        <v>0</v>
      </c>
      <c r="V362" t="s">
        <v>1370</v>
      </c>
    </row>
    <row r="363" spans="1:22" ht="30" x14ac:dyDescent="0.25">
      <c r="A363" t="s">
        <v>1871</v>
      </c>
      <c r="B363" s="1" t="s">
        <v>1370</v>
      </c>
      <c r="C363" s="1" t="s">
        <v>1530</v>
      </c>
      <c r="D363" s="1" t="s">
        <v>1288</v>
      </c>
      <c r="E363" s="1" t="s">
        <v>1293</v>
      </c>
      <c r="F363" t="s">
        <v>1964</v>
      </c>
      <c r="G363" t="s">
        <v>1371</v>
      </c>
      <c r="H363" t="s">
        <v>381</v>
      </c>
      <c r="I363" t="s">
        <v>1285</v>
      </c>
      <c r="J363" t="s">
        <v>1170</v>
      </c>
      <c r="K363" t="s">
        <v>1247</v>
      </c>
      <c r="L363" t="s">
        <v>1372</v>
      </c>
      <c r="M363" t="s">
        <v>1373</v>
      </c>
      <c r="N363" t="s">
        <v>1289</v>
      </c>
      <c r="O363" s="1" t="s">
        <v>795</v>
      </c>
      <c r="P363" t="s">
        <v>1291</v>
      </c>
      <c r="Q363" t="s">
        <v>1292</v>
      </c>
      <c r="S363" t="s">
        <v>1375</v>
      </c>
      <c r="T363" t="s">
        <v>1965</v>
      </c>
      <c r="U363">
        <v>0</v>
      </c>
      <c r="V363" t="s">
        <v>1370</v>
      </c>
    </row>
    <row r="364" spans="1:22" ht="30" x14ac:dyDescent="0.25">
      <c r="A364" t="s">
        <v>1871</v>
      </c>
      <c r="B364" s="1" t="s">
        <v>1370</v>
      </c>
      <c r="C364" s="1" t="s">
        <v>1530</v>
      </c>
      <c r="D364" s="1" t="s">
        <v>1288</v>
      </c>
      <c r="E364" s="1" t="s">
        <v>1368</v>
      </c>
      <c r="F364" t="s">
        <v>2027</v>
      </c>
      <c r="G364" t="s">
        <v>1371</v>
      </c>
      <c r="H364" t="s">
        <v>381</v>
      </c>
      <c r="I364" t="s">
        <v>1285</v>
      </c>
      <c r="J364" t="s">
        <v>1170</v>
      </c>
      <c r="K364" t="s">
        <v>1247</v>
      </c>
      <c r="L364" t="s">
        <v>1372</v>
      </c>
      <c r="M364" t="s">
        <v>1373</v>
      </c>
      <c r="N364" t="s">
        <v>1289</v>
      </c>
      <c r="O364" s="1" t="s">
        <v>795</v>
      </c>
      <c r="P364" t="s">
        <v>1291</v>
      </c>
      <c r="Q364" t="s">
        <v>1292</v>
      </c>
      <c r="S364" t="s">
        <v>1375</v>
      </c>
      <c r="T364" t="s">
        <v>2028</v>
      </c>
      <c r="U364">
        <v>0</v>
      </c>
      <c r="V364" t="s">
        <v>1370</v>
      </c>
    </row>
    <row r="365" spans="1:22" ht="30" x14ac:dyDescent="0.25">
      <c r="A365" t="s">
        <v>1871</v>
      </c>
      <c r="B365" s="1" t="s">
        <v>1370</v>
      </c>
      <c r="C365" s="1" t="s">
        <v>1530</v>
      </c>
      <c r="D365" s="1" t="s">
        <v>1288</v>
      </c>
      <c r="E365" s="1" t="s">
        <v>1319</v>
      </c>
      <c r="F365" t="s">
        <v>2144</v>
      </c>
      <c r="G365" t="s">
        <v>1371</v>
      </c>
      <c r="H365" t="s">
        <v>381</v>
      </c>
      <c r="I365" t="s">
        <v>1285</v>
      </c>
      <c r="J365" t="s">
        <v>1170</v>
      </c>
      <c r="K365" t="s">
        <v>1247</v>
      </c>
      <c r="L365" t="s">
        <v>1372</v>
      </c>
      <c r="M365" t="s">
        <v>1373</v>
      </c>
      <c r="N365" t="s">
        <v>1289</v>
      </c>
      <c r="O365" s="1" t="s">
        <v>795</v>
      </c>
      <c r="P365" t="s">
        <v>1291</v>
      </c>
      <c r="Q365" t="s">
        <v>1292</v>
      </c>
      <c r="S365" t="s">
        <v>1375</v>
      </c>
      <c r="T365" t="s">
        <v>2145</v>
      </c>
      <c r="U365">
        <v>0</v>
      </c>
      <c r="V365" t="s">
        <v>1370</v>
      </c>
    </row>
    <row r="366" spans="1:22" ht="30" x14ac:dyDescent="0.25">
      <c r="A366" t="s">
        <v>1871</v>
      </c>
      <c r="B366" s="1" t="s">
        <v>1370</v>
      </c>
      <c r="C366" s="1" t="s">
        <v>1530</v>
      </c>
      <c r="D366" s="1" t="s">
        <v>1288</v>
      </c>
      <c r="E366" s="1" t="s">
        <v>1326</v>
      </c>
      <c r="F366" t="s">
        <v>2217</v>
      </c>
      <c r="G366" t="s">
        <v>1371</v>
      </c>
      <c r="H366" t="s">
        <v>381</v>
      </c>
      <c r="I366" t="s">
        <v>1285</v>
      </c>
      <c r="J366" t="s">
        <v>1170</v>
      </c>
      <c r="K366" t="s">
        <v>1247</v>
      </c>
      <c r="L366" t="s">
        <v>1372</v>
      </c>
      <c r="M366" t="s">
        <v>1373</v>
      </c>
      <c r="N366" t="s">
        <v>1289</v>
      </c>
      <c r="O366" s="1" t="s">
        <v>795</v>
      </c>
      <c r="P366" t="s">
        <v>1291</v>
      </c>
      <c r="Q366" t="s">
        <v>1292</v>
      </c>
      <c r="S366" t="s">
        <v>1375</v>
      </c>
      <c r="T366" t="s">
        <v>2218</v>
      </c>
      <c r="U366">
        <v>0</v>
      </c>
      <c r="V366" t="s">
        <v>1370</v>
      </c>
    </row>
    <row r="367" spans="1:22" ht="30" x14ac:dyDescent="0.25">
      <c r="A367" t="s">
        <v>1871</v>
      </c>
      <c r="B367" s="1" t="s">
        <v>1370</v>
      </c>
      <c r="C367" s="1" t="s">
        <v>1530</v>
      </c>
      <c r="D367" s="1" t="s">
        <v>1288</v>
      </c>
      <c r="E367" s="1" t="s">
        <v>1326</v>
      </c>
      <c r="F367" t="s">
        <v>2219</v>
      </c>
      <c r="G367" t="s">
        <v>1371</v>
      </c>
      <c r="H367" t="s">
        <v>381</v>
      </c>
      <c r="I367" t="s">
        <v>1285</v>
      </c>
      <c r="J367" t="s">
        <v>1170</v>
      </c>
      <c r="K367" t="s">
        <v>1247</v>
      </c>
      <c r="L367" t="s">
        <v>1372</v>
      </c>
      <c r="M367" t="s">
        <v>1373</v>
      </c>
      <c r="N367" t="s">
        <v>1289</v>
      </c>
      <c r="O367" s="1" t="s">
        <v>795</v>
      </c>
      <c r="P367" t="s">
        <v>1291</v>
      </c>
      <c r="Q367" t="s">
        <v>1292</v>
      </c>
      <c r="S367" t="s">
        <v>1375</v>
      </c>
      <c r="T367" t="s">
        <v>2220</v>
      </c>
      <c r="U367">
        <v>0</v>
      </c>
      <c r="V367" t="s">
        <v>1370</v>
      </c>
    </row>
    <row r="368" spans="1:22" ht="30" x14ac:dyDescent="0.25">
      <c r="A368" t="s">
        <v>1871</v>
      </c>
      <c r="B368" s="1" t="s">
        <v>1370</v>
      </c>
      <c r="C368" s="1" t="s">
        <v>1530</v>
      </c>
      <c r="D368" s="1" t="s">
        <v>1288</v>
      </c>
      <c r="E368" s="1" t="s">
        <v>1326</v>
      </c>
      <c r="F368" t="s">
        <v>2221</v>
      </c>
      <c r="G368" t="s">
        <v>1371</v>
      </c>
      <c r="H368" t="s">
        <v>381</v>
      </c>
      <c r="I368" t="s">
        <v>1285</v>
      </c>
      <c r="J368" t="s">
        <v>1170</v>
      </c>
      <c r="K368" t="s">
        <v>1247</v>
      </c>
      <c r="L368" t="s">
        <v>1372</v>
      </c>
      <c r="M368" t="s">
        <v>1373</v>
      </c>
      <c r="N368" t="s">
        <v>1289</v>
      </c>
      <c r="O368" s="1" t="s">
        <v>795</v>
      </c>
      <c r="P368" t="s">
        <v>1291</v>
      </c>
      <c r="Q368" t="s">
        <v>1292</v>
      </c>
      <c r="S368" t="s">
        <v>1375</v>
      </c>
      <c r="T368" t="s">
        <v>2222</v>
      </c>
      <c r="U368">
        <v>0</v>
      </c>
      <c r="V368" t="s">
        <v>1370</v>
      </c>
    </row>
    <row r="369" spans="1:22" ht="30" x14ac:dyDescent="0.25">
      <c r="A369" t="s">
        <v>1871</v>
      </c>
      <c r="B369" s="1" t="s">
        <v>1370</v>
      </c>
      <c r="C369" s="1" t="s">
        <v>1530</v>
      </c>
      <c r="D369" s="1" t="s">
        <v>1288</v>
      </c>
      <c r="E369" s="1" t="s">
        <v>1326</v>
      </c>
      <c r="F369" t="s">
        <v>2223</v>
      </c>
      <c r="G369" t="s">
        <v>1371</v>
      </c>
      <c r="H369" t="s">
        <v>381</v>
      </c>
      <c r="I369" t="s">
        <v>1285</v>
      </c>
      <c r="J369" t="s">
        <v>1170</v>
      </c>
      <c r="K369" t="s">
        <v>1247</v>
      </c>
      <c r="L369" t="s">
        <v>1372</v>
      </c>
      <c r="M369" t="s">
        <v>1373</v>
      </c>
      <c r="N369" t="s">
        <v>1289</v>
      </c>
      <c r="O369" s="1" t="s">
        <v>795</v>
      </c>
      <c r="P369" t="s">
        <v>1291</v>
      </c>
      <c r="Q369" t="s">
        <v>1292</v>
      </c>
      <c r="S369" t="s">
        <v>1375</v>
      </c>
      <c r="T369" t="s">
        <v>2224</v>
      </c>
      <c r="U369">
        <v>0</v>
      </c>
      <c r="V369" t="s">
        <v>1370</v>
      </c>
    </row>
    <row r="370" spans="1:22" ht="30" x14ac:dyDescent="0.25">
      <c r="A370" t="s">
        <v>1871</v>
      </c>
      <c r="B370" s="1" t="s">
        <v>1370</v>
      </c>
      <c r="C370" s="1" t="s">
        <v>1530</v>
      </c>
      <c r="D370" s="1" t="s">
        <v>1288</v>
      </c>
      <c r="E370" s="1" t="s">
        <v>1326</v>
      </c>
      <c r="F370" t="s">
        <v>2225</v>
      </c>
      <c r="G370" t="s">
        <v>1371</v>
      </c>
      <c r="H370" t="s">
        <v>381</v>
      </c>
      <c r="I370" t="s">
        <v>1285</v>
      </c>
      <c r="J370" t="s">
        <v>1170</v>
      </c>
      <c r="K370" t="s">
        <v>1247</v>
      </c>
      <c r="L370" t="s">
        <v>1372</v>
      </c>
      <c r="M370" t="s">
        <v>1373</v>
      </c>
      <c r="N370" t="s">
        <v>1289</v>
      </c>
      <c r="O370" s="1" t="s">
        <v>795</v>
      </c>
      <c r="P370" t="s">
        <v>1291</v>
      </c>
      <c r="Q370" t="s">
        <v>1292</v>
      </c>
      <c r="S370" t="s">
        <v>1375</v>
      </c>
      <c r="T370" t="s">
        <v>2226</v>
      </c>
      <c r="U370">
        <v>0</v>
      </c>
      <c r="V370" t="s">
        <v>1370</v>
      </c>
    </row>
    <row r="371" spans="1:22" ht="30" x14ac:dyDescent="0.25">
      <c r="A371" t="s">
        <v>1871</v>
      </c>
      <c r="B371" s="1" t="s">
        <v>1370</v>
      </c>
      <c r="C371" s="1" t="s">
        <v>1530</v>
      </c>
      <c r="D371" s="1" t="s">
        <v>1288</v>
      </c>
      <c r="E371" s="1" t="s">
        <v>1293</v>
      </c>
      <c r="F371" t="s">
        <v>2599</v>
      </c>
      <c r="G371" t="s">
        <v>1371</v>
      </c>
      <c r="H371" t="s">
        <v>381</v>
      </c>
      <c r="I371" t="s">
        <v>1285</v>
      </c>
      <c r="J371" t="s">
        <v>1170</v>
      </c>
      <c r="K371" t="s">
        <v>1247</v>
      </c>
      <c r="L371" t="s">
        <v>1372</v>
      </c>
      <c r="M371" t="s">
        <v>1373</v>
      </c>
      <c r="N371" t="s">
        <v>1289</v>
      </c>
      <c r="O371" s="1" t="s">
        <v>795</v>
      </c>
      <c r="P371" t="s">
        <v>1291</v>
      </c>
      <c r="Q371" t="s">
        <v>1292</v>
      </c>
      <c r="S371" t="s">
        <v>1375</v>
      </c>
      <c r="T371" t="s">
        <v>2600</v>
      </c>
      <c r="U371">
        <v>0</v>
      </c>
      <c r="V371" t="s">
        <v>1370</v>
      </c>
    </row>
    <row r="372" spans="1:22" ht="30" x14ac:dyDescent="0.25">
      <c r="A372" t="s">
        <v>1871</v>
      </c>
      <c r="B372" s="1" t="s">
        <v>1370</v>
      </c>
      <c r="C372" s="1" t="s">
        <v>1530</v>
      </c>
      <c r="D372" s="1" t="s">
        <v>1288</v>
      </c>
      <c r="E372" s="1" t="s">
        <v>1358</v>
      </c>
      <c r="F372" t="s">
        <v>2663</v>
      </c>
      <c r="G372" t="s">
        <v>1371</v>
      </c>
      <c r="H372" t="s">
        <v>381</v>
      </c>
      <c r="I372" t="s">
        <v>1285</v>
      </c>
      <c r="J372" t="s">
        <v>1170</v>
      </c>
      <c r="K372" t="s">
        <v>1247</v>
      </c>
      <c r="L372" t="s">
        <v>1372</v>
      </c>
      <c r="M372" t="s">
        <v>1373</v>
      </c>
      <c r="N372" t="s">
        <v>1289</v>
      </c>
      <c r="O372" s="1" t="s">
        <v>795</v>
      </c>
      <c r="P372" t="s">
        <v>1291</v>
      </c>
      <c r="Q372" t="s">
        <v>1292</v>
      </c>
      <c r="S372" t="s">
        <v>1375</v>
      </c>
      <c r="T372" t="s">
        <v>2664</v>
      </c>
      <c r="U372">
        <v>0</v>
      </c>
      <c r="V372" t="s">
        <v>1370</v>
      </c>
    </row>
    <row r="373" spans="1:22" ht="30" x14ac:dyDescent="0.25">
      <c r="A373" t="s">
        <v>1871</v>
      </c>
      <c r="B373" s="1" t="s">
        <v>1370</v>
      </c>
      <c r="C373" s="1" t="s">
        <v>1530</v>
      </c>
      <c r="D373" s="1" t="s">
        <v>1288</v>
      </c>
      <c r="E373" s="1" t="s">
        <v>1293</v>
      </c>
      <c r="F373" t="s">
        <v>2688</v>
      </c>
      <c r="G373" t="s">
        <v>1371</v>
      </c>
      <c r="H373" t="s">
        <v>381</v>
      </c>
      <c r="I373" t="s">
        <v>1285</v>
      </c>
      <c r="J373" t="s">
        <v>1170</v>
      </c>
      <c r="K373" t="s">
        <v>1247</v>
      </c>
      <c r="L373" t="s">
        <v>1372</v>
      </c>
      <c r="M373" t="s">
        <v>1373</v>
      </c>
      <c r="N373" t="s">
        <v>1289</v>
      </c>
      <c r="O373" s="1" t="s">
        <v>795</v>
      </c>
      <c r="P373" t="s">
        <v>1291</v>
      </c>
      <c r="Q373" t="s">
        <v>1292</v>
      </c>
      <c r="S373" t="s">
        <v>1375</v>
      </c>
      <c r="T373" t="s">
        <v>2689</v>
      </c>
      <c r="U373">
        <v>0</v>
      </c>
      <c r="V373" t="s">
        <v>1370</v>
      </c>
    </row>
    <row r="374" spans="1:22" ht="30" x14ac:dyDescent="0.25">
      <c r="A374" t="s">
        <v>1871</v>
      </c>
      <c r="B374" s="1" t="s">
        <v>1370</v>
      </c>
      <c r="C374" s="1" t="s">
        <v>1530</v>
      </c>
      <c r="D374" s="1" t="s">
        <v>1288</v>
      </c>
      <c r="E374" s="1" t="s">
        <v>1374</v>
      </c>
      <c r="F374" t="s">
        <v>2984</v>
      </c>
      <c r="G374" t="s">
        <v>1371</v>
      </c>
      <c r="H374" t="s">
        <v>381</v>
      </c>
      <c r="I374" t="s">
        <v>1285</v>
      </c>
      <c r="J374" t="s">
        <v>1170</v>
      </c>
      <c r="K374" t="s">
        <v>1247</v>
      </c>
      <c r="L374" t="s">
        <v>1372</v>
      </c>
      <c r="M374" t="s">
        <v>1373</v>
      </c>
      <c r="N374" t="s">
        <v>1289</v>
      </c>
      <c r="O374" s="1" t="s">
        <v>795</v>
      </c>
      <c r="P374" t="s">
        <v>1291</v>
      </c>
      <c r="Q374" t="s">
        <v>1292</v>
      </c>
      <c r="S374" t="s">
        <v>1375</v>
      </c>
      <c r="T374" t="s">
        <v>2985</v>
      </c>
      <c r="U374">
        <v>0</v>
      </c>
      <c r="V374" t="s">
        <v>1370</v>
      </c>
    </row>
    <row r="375" spans="1:22" x14ac:dyDescent="0.25">
      <c r="A375" t="s">
        <v>1281</v>
      </c>
      <c r="B375" s="1" t="s">
        <v>1365</v>
      </c>
      <c r="C375" s="1" t="s">
        <v>1320</v>
      </c>
      <c r="D375" s="1" t="s">
        <v>1288</v>
      </c>
      <c r="E375" s="1" t="s">
        <v>1368</v>
      </c>
      <c r="F375" t="s">
        <v>1364</v>
      </c>
      <c r="G375" t="s">
        <v>1366</v>
      </c>
      <c r="H375" t="s">
        <v>381</v>
      </c>
      <c r="I375" t="s">
        <v>1285</v>
      </c>
      <c r="J375" t="s">
        <v>1170</v>
      </c>
      <c r="K375" t="s">
        <v>1184</v>
      </c>
      <c r="L375" t="s">
        <v>1367</v>
      </c>
      <c r="M375" t="s">
        <v>1325</v>
      </c>
      <c r="N375" t="s">
        <v>1289</v>
      </c>
      <c r="O375" s="1" t="s">
        <v>1305</v>
      </c>
      <c r="P375" t="s">
        <v>1291</v>
      </c>
      <c r="Q375" t="s">
        <v>1294</v>
      </c>
      <c r="S375" t="s">
        <v>1294</v>
      </c>
      <c r="T375" t="s">
        <v>1296</v>
      </c>
      <c r="U375">
        <v>0</v>
      </c>
      <c r="V375" t="s">
        <v>1365</v>
      </c>
    </row>
    <row r="376" spans="1:22" x14ac:dyDescent="0.25">
      <c r="A376" t="s">
        <v>1871</v>
      </c>
      <c r="B376" s="1" t="s">
        <v>1365</v>
      </c>
      <c r="C376" s="1" t="s">
        <v>1530</v>
      </c>
      <c r="D376" s="1" t="s">
        <v>1288</v>
      </c>
      <c r="E376" s="1" t="s">
        <v>1378</v>
      </c>
      <c r="F376" t="s">
        <v>1956</v>
      </c>
      <c r="G376" t="s">
        <v>1366</v>
      </c>
      <c r="H376" t="s">
        <v>381</v>
      </c>
      <c r="I376" t="s">
        <v>1285</v>
      </c>
      <c r="J376" t="s">
        <v>1170</v>
      </c>
      <c r="K376" t="s">
        <v>1184</v>
      </c>
      <c r="L376" t="s">
        <v>1367</v>
      </c>
      <c r="M376" t="s">
        <v>1325</v>
      </c>
      <c r="N376" t="s">
        <v>1289</v>
      </c>
      <c r="O376" s="1" t="s">
        <v>1305</v>
      </c>
      <c r="P376" t="s">
        <v>1291</v>
      </c>
      <c r="Q376" t="s">
        <v>1294</v>
      </c>
      <c r="S376" t="s">
        <v>1294</v>
      </c>
      <c r="T376" t="s">
        <v>1957</v>
      </c>
      <c r="U376">
        <v>0</v>
      </c>
      <c r="V376" t="s">
        <v>1365</v>
      </c>
    </row>
    <row r="377" spans="1:22" ht="30" x14ac:dyDescent="0.25">
      <c r="A377" t="s">
        <v>1871</v>
      </c>
      <c r="B377" s="1" t="s">
        <v>1365</v>
      </c>
      <c r="C377" s="1" t="s">
        <v>1530</v>
      </c>
      <c r="D377" s="1" t="s">
        <v>1288</v>
      </c>
      <c r="E377" s="1" t="s">
        <v>1293</v>
      </c>
      <c r="F377" t="s">
        <v>1968</v>
      </c>
      <c r="G377" t="s">
        <v>1366</v>
      </c>
      <c r="H377" t="s">
        <v>381</v>
      </c>
      <c r="I377" t="s">
        <v>1285</v>
      </c>
      <c r="J377" t="s">
        <v>1170</v>
      </c>
      <c r="K377" t="s">
        <v>1184</v>
      </c>
      <c r="L377" t="s">
        <v>1367</v>
      </c>
      <c r="M377" t="s">
        <v>1325</v>
      </c>
      <c r="N377" t="s">
        <v>1289</v>
      </c>
      <c r="O377" s="1" t="s">
        <v>1305</v>
      </c>
      <c r="P377" t="s">
        <v>1291</v>
      </c>
      <c r="Q377" t="s">
        <v>1294</v>
      </c>
      <c r="S377" t="s">
        <v>1294</v>
      </c>
      <c r="T377" t="s">
        <v>1969</v>
      </c>
      <c r="U377">
        <v>0</v>
      </c>
      <c r="V377" t="s">
        <v>1365</v>
      </c>
    </row>
    <row r="378" spans="1:22" x14ac:dyDescent="0.25">
      <c r="A378" t="s">
        <v>1871</v>
      </c>
      <c r="B378" s="1" t="s">
        <v>1365</v>
      </c>
      <c r="C378" s="1" t="s">
        <v>1530</v>
      </c>
      <c r="D378" s="1" t="s">
        <v>1288</v>
      </c>
      <c r="E378" s="1" t="s">
        <v>1350</v>
      </c>
      <c r="F378" t="s">
        <v>1977</v>
      </c>
      <c r="G378" t="s">
        <v>1366</v>
      </c>
      <c r="H378" t="s">
        <v>381</v>
      </c>
      <c r="I378" t="s">
        <v>1285</v>
      </c>
      <c r="J378" t="s">
        <v>1170</v>
      </c>
      <c r="K378" t="s">
        <v>1184</v>
      </c>
      <c r="L378" t="s">
        <v>1367</v>
      </c>
      <c r="M378" t="s">
        <v>1325</v>
      </c>
      <c r="N378" t="s">
        <v>1289</v>
      </c>
      <c r="O378" s="1" t="s">
        <v>1305</v>
      </c>
      <c r="P378" t="s">
        <v>1291</v>
      </c>
      <c r="Q378" t="s">
        <v>1294</v>
      </c>
      <c r="S378" t="s">
        <v>1294</v>
      </c>
      <c r="T378" t="s">
        <v>1978</v>
      </c>
      <c r="U378">
        <v>0</v>
      </c>
      <c r="V378" t="s">
        <v>1365</v>
      </c>
    </row>
    <row r="379" spans="1:22" x14ac:dyDescent="0.25">
      <c r="A379" t="s">
        <v>1871</v>
      </c>
      <c r="B379" s="1" t="s">
        <v>1365</v>
      </c>
      <c r="C379" s="1" t="s">
        <v>1530</v>
      </c>
      <c r="D379" s="1" t="s">
        <v>1288</v>
      </c>
      <c r="E379" s="1" t="s">
        <v>1316</v>
      </c>
      <c r="F379" t="s">
        <v>1979</v>
      </c>
      <c r="G379" t="s">
        <v>1366</v>
      </c>
      <c r="H379" t="s">
        <v>381</v>
      </c>
      <c r="I379" t="s">
        <v>1285</v>
      </c>
      <c r="J379" t="s">
        <v>1170</v>
      </c>
      <c r="K379" t="s">
        <v>1184</v>
      </c>
      <c r="L379" t="s">
        <v>1367</v>
      </c>
      <c r="M379" t="s">
        <v>1325</v>
      </c>
      <c r="N379" t="s">
        <v>1289</v>
      </c>
      <c r="O379" s="1" t="s">
        <v>1305</v>
      </c>
      <c r="P379" t="s">
        <v>1291</v>
      </c>
      <c r="Q379" t="s">
        <v>1294</v>
      </c>
      <c r="S379" t="s">
        <v>1294</v>
      </c>
      <c r="T379" t="s">
        <v>1980</v>
      </c>
      <c r="U379">
        <v>0</v>
      </c>
      <c r="V379" t="s">
        <v>1365</v>
      </c>
    </row>
    <row r="380" spans="1:22" ht="30" x14ac:dyDescent="0.25">
      <c r="A380" t="s">
        <v>1871</v>
      </c>
      <c r="B380" s="1" t="s">
        <v>1365</v>
      </c>
      <c r="C380" s="1" t="s">
        <v>1530</v>
      </c>
      <c r="D380" s="1" t="s">
        <v>1288</v>
      </c>
      <c r="E380" s="1" t="s">
        <v>1293</v>
      </c>
      <c r="F380" t="s">
        <v>1988</v>
      </c>
      <c r="G380" t="s">
        <v>1366</v>
      </c>
      <c r="H380" t="s">
        <v>381</v>
      </c>
      <c r="I380" t="s">
        <v>1285</v>
      </c>
      <c r="J380" t="s">
        <v>1170</v>
      </c>
      <c r="K380" t="s">
        <v>1184</v>
      </c>
      <c r="L380" t="s">
        <v>1367</v>
      </c>
      <c r="M380" t="s">
        <v>1325</v>
      </c>
      <c r="N380" t="s">
        <v>1289</v>
      </c>
      <c r="O380" s="1" t="s">
        <v>1305</v>
      </c>
      <c r="P380" t="s">
        <v>1291</v>
      </c>
      <c r="Q380" t="s">
        <v>1294</v>
      </c>
      <c r="S380" t="s">
        <v>1294</v>
      </c>
      <c r="T380" t="s">
        <v>1989</v>
      </c>
      <c r="U380">
        <v>0</v>
      </c>
      <c r="V380" t="s">
        <v>1365</v>
      </c>
    </row>
    <row r="381" spans="1:22" x14ac:dyDescent="0.25">
      <c r="A381" t="s">
        <v>1871</v>
      </c>
      <c r="B381" s="1" t="s">
        <v>1365</v>
      </c>
      <c r="C381" s="1" t="s">
        <v>1530</v>
      </c>
      <c r="D381" s="1" t="s">
        <v>1288</v>
      </c>
      <c r="E381" s="1" t="s">
        <v>1378</v>
      </c>
      <c r="F381" t="s">
        <v>2049</v>
      </c>
      <c r="G381" t="s">
        <v>1366</v>
      </c>
      <c r="H381" t="s">
        <v>381</v>
      </c>
      <c r="I381" t="s">
        <v>1285</v>
      </c>
      <c r="J381" t="s">
        <v>1170</v>
      </c>
      <c r="K381" t="s">
        <v>1184</v>
      </c>
      <c r="L381" t="s">
        <v>1367</v>
      </c>
      <c r="M381" t="s">
        <v>1325</v>
      </c>
      <c r="N381" t="s">
        <v>1289</v>
      </c>
      <c r="O381" s="1" t="s">
        <v>1305</v>
      </c>
      <c r="P381" t="s">
        <v>1291</v>
      </c>
      <c r="Q381" t="s">
        <v>1294</v>
      </c>
      <c r="S381" t="s">
        <v>1294</v>
      </c>
      <c r="T381" t="s">
        <v>2050</v>
      </c>
      <c r="U381">
        <v>0</v>
      </c>
      <c r="V381" t="s">
        <v>1365</v>
      </c>
    </row>
    <row r="382" spans="1:22" x14ac:dyDescent="0.25">
      <c r="A382" t="s">
        <v>1871</v>
      </c>
      <c r="B382" s="1" t="s">
        <v>1365</v>
      </c>
      <c r="C382" s="1" t="s">
        <v>1530</v>
      </c>
      <c r="D382" s="1" t="s">
        <v>1288</v>
      </c>
      <c r="E382" s="1" t="s">
        <v>1378</v>
      </c>
      <c r="F382" t="s">
        <v>2051</v>
      </c>
      <c r="G382" t="s">
        <v>1366</v>
      </c>
      <c r="H382" t="s">
        <v>381</v>
      </c>
      <c r="I382" t="s">
        <v>1285</v>
      </c>
      <c r="J382" t="s">
        <v>1170</v>
      </c>
      <c r="K382" t="s">
        <v>1184</v>
      </c>
      <c r="L382" t="s">
        <v>1367</v>
      </c>
      <c r="M382" t="s">
        <v>1325</v>
      </c>
      <c r="N382" t="s">
        <v>1289</v>
      </c>
      <c r="O382" s="1" t="s">
        <v>1305</v>
      </c>
      <c r="P382" t="s">
        <v>1291</v>
      </c>
      <c r="Q382" t="s">
        <v>1294</v>
      </c>
      <c r="S382" t="s">
        <v>1294</v>
      </c>
      <c r="T382" t="s">
        <v>2052</v>
      </c>
      <c r="U382">
        <v>0</v>
      </c>
      <c r="V382" t="s">
        <v>1365</v>
      </c>
    </row>
    <row r="383" spans="1:22" ht="30" x14ac:dyDescent="0.25">
      <c r="A383" t="s">
        <v>1871</v>
      </c>
      <c r="B383" s="1" t="s">
        <v>1365</v>
      </c>
      <c r="C383" s="1" t="s">
        <v>1530</v>
      </c>
      <c r="D383" s="1" t="s">
        <v>1288</v>
      </c>
      <c r="E383" s="1" t="s">
        <v>1293</v>
      </c>
      <c r="F383" t="s">
        <v>2072</v>
      </c>
      <c r="G383" t="s">
        <v>1366</v>
      </c>
      <c r="H383" t="s">
        <v>381</v>
      </c>
      <c r="I383" t="s">
        <v>1285</v>
      </c>
      <c r="J383" t="s">
        <v>1170</v>
      </c>
      <c r="K383" t="s">
        <v>1184</v>
      </c>
      <c r="L383" t="s">
        <v>1367</v>
      </c>
      <c r="M383" t="s">
        <v>1325</v>
      </c>
      <c r="N383" t="s">
        <v>1289</v>
      </c>
      <c r="O383" s="1" t="s">
        <v>1305</v>
      </c>
      <c r="P383" t="s">
        <v>1291</v>
      </c>
      <c r="Q383" t="s">
        <v>1294</v>
      </c>
      <c r="S383" t="s">
        <v>1294</v>
      </c>
      <c r="T383" t="s">
        <v>2073</v>
      </c>
      <c r="U383">
        <v>0</v>
      </c>
      <c r="V383" t="s">
        <v>1365</v>
      </c>
    </row>
    <row r="384" spans="1:22" ht="30" x14ac:dyDescent="0.25">
      <c r="A384" t="s">
        <v>1871</v>
      </c>
      <c r="B384" s="1" t="s">
        <v>1365</v>
      </c>
      <c r="C384" s="1" t="s">
        <v>1530</v>
      </c>
      <c r="D384" s="1" t="s">
        <v>1288</v>
      </c>
      <c r="E384" s="1" t="s">
        <v>1293</v>
      </c>
      <c r="F384" t="s">
        <v>2074</v>
      </c>
      <c r="G384" t="s">
        <v>1366</v>
      </c>
      <c r="H384" t="s">
        <v>381</v>
      </c>
      <c r="I384" t="s">
        <v>1285</v>
      </c>
      <c r="J384" t="s">
        <v>1170</v>
      </c>
      <c r="K384" t="s">
        <v>1184</v>
      </c>
      <c r="L384" t="s">
        <v>1367</v>
      </c>
      <c r="M384" t="s">
        <v>1325</v>
      </c>
      <c r="N384" t="s">
        <v>1289</v>
      </c>
      <c r="O384" s="1" t="s">
        <v>1305</v>
      </c>
      <c r="P384" t="s">
        <v>1291</v>
      </c>
      <c r="Q384" t="s">
        <v>1294</v>
      </c>
      <c r="S384" t="s">
        <v>1294</v>
      </c>
      <c r="T384" t="s">
        <v>2075</v>
      </c>
      <c r="U384">
        <v>0</v>
      </c>
      <c r="V384" t="s">
        <v>1365</v>
      </c>
    </row>
    <row r="385" spans="1:22" ht="30" x14ac:dyDescent="0.25">
      <c r="A385" t="s">
        <v>1871</v>
      </c>
      <c r="B385" s="1" t="s">
        <v>1365</v>
      </c>
      <c r="C385" s="1" t="s">
        <v>1530</v>
      </c>
      <c r="D385" s="1" t="s">
        <v>1288</v>
      </c>
      <c r="E385" s="1" t="s">
        <v>1293</v>
      </c>
      <c r="F385" t="s">
        <v>2080</v>
      </c>
      <c r="G385" t="s">
        <v>1366</v>
      </c>
      <c r="H385" t="s">
        <v>381</v>
      </c>
      <c r="I385" t="s">
        <v>1285</v>
      </c>
      <c r="J385" t="s">
        <v>1170</v>
      </c>
      <c r="K385" t="s">
        <v>1184</v>
      </c>
      <c r="L385" t="s">
        <v>1367</v>
      </c>
      <c r="M385" t="s">
        <v>1325</v>
      </c>
      <c r="N385" t="s">
        <v>1289</v>
      </c>
      <c r="O385" s="1" t="s">
        <v>1305</v>
      </c>
      <c r="P385" t="s">
        <v>1291</v>
      </c>
      <c r="Q385" t="s">
        <v>1294</v>
      </c>
      <c r="S385" t="s">
        <v>1294</v>
      </c>
      <c r="T385" t="s">
        <v>2081</v>
      </c>
      <c r="U385">
        <v>0</v>
      </c>
      <c r="V385" t="s">
        <v>1365</v>
      </c>
    </row>
    <row r="386" spans="1:22" x14ac:dyDescent="0.25">
      <c r="A386" t="s">
        <v>1871</v>
      </c>
      <c r="B386" s="1" t="s">
        <v>1365</v>
      </c>
      <c r="C386" s="1" t="s">
        <v>1530</v>
      </c>
      <c r="D386" s="1" t="s">
        <v>1288</v>
      </c>
      <c r="E386" s="1" t="s">
        <v>1378</v>
      </c>
      <c r="F386" t="s">
        <v>2092</v>
      </c>
      <c r="G386" t="s">
        <v>1366</v>
      </c>
      <c r="H386" t="s">
        <v>381</v>
      </c>
      <c r="I386" t="s">
        <v>1285</v>
      </c>
      <c r="J386" t="s">
        <v>1170</v>
      </c>
      <c r="K386" t="s">
        <v>1184</v>
      </c>
      <c r="L386" t="s">
        <v>1367</v>
      </c>
      <c r="M386" t="s">
        <v>1325</v>
      </c>
      <c r="N386" t="s">
        <v>1289</v>
      </c>
      <c r="O386" s="1" t="s">
        <v>1305</v>
      </c>
      <c r="P386" t="s">
        <v>1291</v>
      </c>
      <c r="Q386" t="s">
        <v>1294</v>
      </c>
      <c r="S386" t="s">
        <v>1294</v>
      </c>
      <c r="T386" t="s">
        <v>2093</v>
      </c>
      <c r="U386">
        <v>0</v>
      </c>
      <c r="V386" t="s">
        <v>1365</v>
      </c>
    </row>
    <row r="387" spans="1:22" ht="30" x14ac:dyDescent="0.25">
      <c r="A387" t="s">
        <v>1871</v>
      </c>
      <c r="B387" s="1" t="s">
        <v>1365</v>
      </c>
      <c r="C387" s="1" t="s">
        <v>1530</v>
      </c>
      <c r="D387" s="1" t="s">
        <v>1288</v>
      </c>
      <c r="E387" s="1" t="s">
        <v>1293</v>
      </c>
      <c r="F387" t="s">
        <v>2098</v>
      </c>
      <c r="G387" t="s">
        <v>1366</v>
      </c>
      <c r="H387" t="s">
        <v>381</v>
      </c>
      <c r="I387" t="s">
        <v>1285</v>
      </c>
      <c r="J387" t="s">
        <v>1170</v>
      </c>
      <c r="K387" t="s">
        <v>1184</v>
      </c>
      <c r="L387" t="s">
        <v>1367</v>
      </c>
      <c r="M387" t="s">
        <v>1325</v>
      </c>
      <c r="N387" t="s">
        <v>1289</v>
      </c>
      <c r="O387" s="1" t="s">
        <v>1305</v>
      </c>
      <c r="P387" t="s">
        <v>1291</v>
      </c>
      <c r="Q387" t="s">
        <v>1294</v>
      </c>
      <c r="S387" t="s">
        <v>1294</v>
      </c>
      <c r="T387" t="s">
        <v>2099</v>
      </c>
      <c r="U387">
        <v>0</v>
      </c>
      <c r="V387" t="s">
        <v>1365</v>
      </c>
    </row>
    <row r="388" spans="1:22" ht="30" x14ac:dyDescent="0.25">
      <c r="A388" t="s">
        <v>1871</v>
      </c>
      <c r="B388" s="1" t="s">
        <v>1365</v>
      </c>
      <c r="C388" s="1" t="s">
        <v>1530</v>
      </c>
      <c r="D388" s="1" t="s">
        <v>1288</v>
      </c>
      <c r="E388" s="1" t="s">
        <v>1326</v>
      </c>
      <c r="F388" t="s">
        <v>2585</v>
      </c>
      <c r="G388" t="s">
        <v>1366</v>
      </c>
      <c r="H388" t="s">
        <v>381</v>
      </c>
      <c r="I388" t="s">
        <v>1285</v>
      </c>
      <c r="J388" t="s">
        <v>1170</v>
      </c>
      <c r="K388" t="s">
        <v>1184</v>
      </c>
      <c r="L388" t="s">
        <v>1367</v>
      </c>
      <c r="M388" t="s">
        <v>1325</v>
      </c>
      <c r="N388" t="s">
        <v>1289</v>
      </c>
      <c r="O388" s="1" t="s">
        <v>1305</v>
      </c>
      <c r="P388" t="s">
        <v>1291</v>
      </c>
      <c r="Q388" t="s">
        <v>1294</v>
      </c>
      <c r="S388" t="s">
        <v>1294</v>
      </c>
      <c r="T388" t="s">
        <v>2586</v>
      </c>
      <c r="U388">
        <v>0</v>
      </c>
      <c r="V388" t="s">
        <v>1365</v>
      </c>
    </row>
    <row r="389" spans="1:22" ht="30" x14ac:dyDescent="0.25">
      <c r="A389" t="s">
        <v>1871</v>
      </c>
      <c r="B389" s="1" t="s">
        <v>1365</v>
      </c>
      <c r="C389" s="1" t="s">
        <v>1530</v>
      </c>
      <c r="D389" s="1" t="s">
        <v>1288</v>
      </c>
      <c r="E389" s="1" t="s">
        <v>1326</v>
      </c>
      <c r="F389" t="s">
        <v>2587</v>
      </c>
      <c r="G389" t="s">
        <v>1366</v>
      </c>
      <c r="H389" t="s">
        <v>381</v>
      </c>
      <c r="I389" t="s">
        <v>1285</v>
      </c>
      <c r="J389" t="s">
        <v>1170</v>
      </c>
      <c r="K389" t="s">
        <v>1184</v>
      </c>
      <c r="L389" t="s">
        <v>1367</v>
      </c>
      <c r="M389" t="s">
        <v>1325</v>
      </c>
      <c r="N389" t="s">
        <v>1289</v>
      </c>
      <c r="O389" s="1" t="s">
        <v>1305</v>
      </c>
      <c r="P389" t="s">
        <v>1291</v>
      </c>
      <c r="Q389" t="s">
        <v>1294</v>
      </c>
      <c r="S389" t="s">
        <v>1294</v>
      </c>
      <c r="T389" t="s">
        <v>2588</v>
      </c>
      <c r="U389">
        <v>0</v>
      </c>
      <c r="V389" t="s">
        <v>1365</v>
      </c>
    </row>
    <row r="390" spans="1:22" x14ac:dyDescent="0.25">
      <c r="A390" t="s">
        <v>1871</v>
      </c>
      <c r="B390" s="1" t="s">
        <v>1365</v>
      </c>
      <c r="C390" s="1" t="s">
        <v>1530</v>
      </c>
      <c r="D390" s="1" t="s">
        <v>1288</v>
      </c>
      <c r="E390" s="1" t="s">
        <v>1374</v>
      </c>
      <c r="F390" t="s">
        <v>2876</v>
      </c>
      <c r="G390" t="s">
        <v>1366</v>
      </c>
      <c r="H390" t="s">
        <v>381</v>
      </c>
      <c r="I390" t="s">
        <v>1285</v>
      </c>
      <c r="J390" t="s">
        <v>1170</v>
      </c>
      <c r="K390" t="s">
        <v>1184</v>
      </c>
      <c r="L390" t="s">
        <v>1367</v>
      </c>
      <c r="M390" t="s">
        <v>1325</v>
      </c>
      <c r="N390" t="s">
        <v>1289</v>
      </c>
      <c r="O390" s="1" t="s">
        <v>1305</v>
      </c>
      <c r="P390" t="s">
        <v>1291</v>
      </c>
      <c r="Q390" t="s">
        <v>1294</v>
      </c>
      <c r="S390" t="s">
        <v>1294</v>
      </c>
      <c r="T390" t="s">
        <v>2877</v>
      </c>
      <c r="U390">
        <v>0</v>
      </c>
      <c r="V390" t="s">
        <v>1365</v>
      </c>
    </row>
    <row r="391" spans="1:22" x14ac:dyDescent="0.25">
      <c r="A391" t="s">
        <v>1871</v>
      </c>
      <c r="B391" s="1" t="s">
        <v>1365</v>
      </c>
      <c r="C391" s="1" t="s">
        <v>1530</v>
      </c>
      <c r="D391" s="1" t="s">
        <v>1288</v>
      </c>
      <c r="E391" s="1" t="s">
        <v>1316</v>
      </c>
      <c r="F391" t="s">
        <v>2898</v>
      </c>
      <c r="G391" t="s">
        <v>1366</v>
      </c>
      <c r="H391" t="s">
        <v>381</v>
      </c>
      <c r="I391" t="s">
        <v>1285</v>
      </c>
      <c r="J391" t="s">
        <v>1170</v>
      </c>
      <c r="K391" t="s">
        <v>1184</v>
      </c>
      <c r="L391" t="s">
        <v>1367</v>
      </c>
      <c r="M391" t="s">
        <v>1325</v>
      </c>
      <c r="N391" t="s">
        <v>1289</v>
      </c>
      <c r="O391" s="1" t="s">
        <v>1305</v>
      </c>
      <c r="P391" t="s">
        <v>1291</v>
      </c>
      <c r="Q391" t="s">
        <v>1294</v>
      </c>
      <c r="S391" t="s">
        <v>1294</v>
      </c>
      <c r="T391" t="s">
        <v>2899</v>
      </c>
      <c r="U391">
        <v>0</v>
      </c>
      <c r="V391" t="s">
        <v>1365</v>
      </c>
    </row>
    <row r="392" spans="1:22" ht="30" x14ac:dyDescent="0.25">
      <c r="A392" t="s">
        <v>1871</v>
      </c>
      <c r="B392" s="1" t="s">
        <v>1365</v>
      </c>
      <c r="C392" s="1" t="s">
        <v>1530</v>
      </c>
      <c r="D392" s="1" t="s">
        <v>1288</v>
      </c>
      <c r="E392" s="1" t="s">
        <v>1293</v>
      </c>
      <c r="F392" t="s">
        <v>2900</v>
      </c>
      <c r="G392" t="s">
        <v>1366</v>
      </c>
      <c r="H392" t="s">
        <v>381</v>
      </c>
      <c r="I392" t="s">
        <v>1285</v>
      </c>
      <c r="J392" t="s">
        <v>1170</v>
      </c>
      <c r="K392" t="s">
        <v>1184</v>
      </c>
      <c r="L392" t="s">
        <v>1367</v>
      </c>
      <c r="M392" t="s">
        <v>1325</v>
      </c>
      <c r="N392" t="s">
        <v>1289</v>
      </c>
      <c r="O392" s="1" t="s">
        <v>1305</v>
      </c>
      <c r="P392" t="s">
        <v>1291</v>
      </c>
      <c r="Q392" t="s">
        <v>1294</v>
      </c>
      <c r="S392" t="s">
        <v>1294</v>
      </c>
      <c r="T392" t="s">
        <v>2901</v>
      </c>
      <c r="U392">
        <v>0</v>
      </c>
      <c r="V392" t="s">
        <v>1365</v>
      </c>
    </row>
    <row r="393" spans="1:22" x14ac:dyDescent="0.25">
      <c r="A393" t="s">
        <v>1871</v>
      </c>
      <c r="B393" s="1" t="s">
        <v>1365</v>
      </c>
      <c r="C393" s="1" t="s">
        <v>1530</v>
      </c>
      <c r="D393" s="1" t="s">
        <v>1288</v>
      </c>
      <c r="E393" s="1" t="s">
        <v>1374</v>
      </c>
      <c r="F393" t="s">
        <v>2902</v>
      </c>
      <c r="G393" t="s">
        <v>1366</v>
      </c>
      <c r="H393" t="s">
        <v>381</v>
      </c>
      <c r="I393" t="s">
        <v>1285</v>
      </c>
      <c r="J393" t="s">
        <v>1170</v>
      </c>
      <c r="K393" t="s">
        <v>1184</v>
      </c>
      <c r="L393" t="s">
        <v>1367</v>
      </c>
      <c r="M393" t="s">
        <v>1325</v>
      </c>
      <c r="N393" t="s">
        <v>1289</v>
      </c>
      <c r="O393" s="1" t="s">
        <v>1305</v>
      </c>
      <c r="P393" t="s">
        <v>1291</v>
      </c>
      <c r="Q393" t="s">
        <v>1294</v>
      </c>
      <c r="S393" t="s">
        <v>1294</v>
      </c>
      <c r="T393" t="s">
        <v>2903</v>
      </c>
      <c r="U393">
        <v>0</v>
      </c>
      <c r="V393" t="s">
        <v>1365</v>
      </c>
    </row>
    <row r="394" spans="1:22" ht="30" x14ac:dyDescent="0.25">
      <c r="A394" t="s">
        <v>1871</v>
      </c>
      <c r="B394" s="1" t="s">
        <v>1365</v>
      </c>
      <c r="C394" s="1" t="s">
        <v>1530</v>
      </c>
      <c r="D394" s="1" t="s">
        <v>1288</v>
      </c>
      <c r="E394" s="1" t="s">
        <v>1293</v>
      </c>
      <c r="F394" t="s">
        <v>2904</v>
      </c>
      <c r="G394" t="s">
        <v>1366</v>
      </c>
      <c r="H394" t="s">
        <v>381</v>
      </c>
      <c r="I394" t="s">
        <v>1285</v>
      </c>
      <c r="J394" t="s">
        <v>1170</v>
      </c>
      <c r="K394" t="s">
        <v>1184</v>
      </c>
      <c r="L394" t="s">
        <v>1367</v>
      </c>
      <c r="M394" t="s">
        <v>1325</v>
      </c>
      <c r="N394" t="s">
        <v>1289</v>
      </c>
      <c r="O394" s="1" t="s">
        <v>1305</v>
      </c>
      <c r="P394" t="s">
        <v>1291</v>
      </c>
      <c r="Q394" t="s">
        <v>1294</v>
      </c>
      <c r="S394" t="s">
        <v>1294</v>
      </c>
      <c r="T394" t="s">
        <v>2905</v>
      </c>
      <c r="U394">
        <v>0</v>
      </c>
      <c r="V394" t="s">
        <v>1365</v>
      </c>
    </row>
    <row r="395" spans="1:22" ht="30" x14ac:dyDescent="0.25">
      <c r="A395" t="s">
        <v>1871</v>
      </c>
      <c r="B395" s="1" t="s">
        <v>1365</v>
      </c>
      <c r="C395" s="1" t="s">
        <v>1530</v>
      </c>
      <c r="D395" s="1" t="s">
        <v>1288</v>
      </c>
      <c r="E395" s="1" t="s">
        <v>1293</v>
      </c>
      <c r="F395" t="s">
        <v>3034</v>
      </c>
      <c r="G395" t="s">
        <v>1366</v>
      </c>
      <c r="H395" t="s">
        <v>381</v>
      </c>
      <c r="I395" t="s">
        <v>1285</v>
      </c>
      <c r="J395" t="s">
        <v>1170</v>
      </c>
      <c r="K395" t="s">
        <v>1184</v>
      </c>
      <c r="L395" t="s">
        <v>1367</v>
      </c>
      <c r="M395" t="s">
        <v>1325</v>
      </c>
      <c r="N395" t="s">
        <v>1289</v>
      </c>
      <c r="O395" s="1" t="s">
        <v>1305</v>
      </c>
      <c r="P395" t="s">
        <v>1291</v>
      </c>
      <c r="Q395" t="s">
        <v>1294</v>
      </c>
      <c r="S395" t="s">
        <v>1294</v>
      </c>
      <c r="T395" t="s">
        <v>3035</v>
      </c>
      <c r="U395">
        <v>0</v>
      </c>
      <c r="V395" t="s">
        <v>1365</v>
      </c>
    </row>
    <row r="396" spans="1:22" x14ac:dyDescent="0.25">
      <c r="A396" t="s">
        <v>1871</v>
      </c>
      <c r="B396" s="1" t="s">
        <v>1365</v>
      </c>
      <c r="C396" s="1" t="s">
        <v>1530</v>
      </c>
      <c r="D396" s="1" t="s">
        <v>1288</v>
      </c>
      <c r="E396" s="1" t="s">
        <v>1374</v>
      </c>
      <c r="F396" t="s">
        <v>3036</v>
      </c>
      <c r="G396" t="s">
        <v>1366</v>
      </c>
      <c r="H396" t="s">
        <v>381</v>
      </c>
      <c r="I396" t="s">
        <v>1285</v>
      </c>
      <c r="J396" t="s">
        <v>1170</v>
      </c>
      <c r="K396" t="s">
        <v>1184</v>
      </c>
      <c r="L396" t="s">
        <v>1367</v>
      </c>
      <c r="M396" t="s">
        <v>1325</v>
      </c>
      <c r="N396" t="s">
        <v>1289</v>
      </c>
      <c r="O396" s="1" t="s">
        <v>1305</v>
      </c>
      <c r="P396" t="s">
        <v>1291</v>
      </c>
      <c r="Q396" t="s">
        <v>1294</v>
      </c>
      <c r="S396" t="s">
        <v>1294</v>
      </c>
      <c r="T396" t="s">
        <v>3037</v>
      </c>
      <c r="U396">
        <v>0</v>
      </c>
      <c r="V396" t="s">
        <v>1365</v>
      </c>
    </row>
    <row r="397" spans="1:22" x14ac:dyDescent="0.25">
      <c r="A397" t="s">
        <v>1871</v>
      </c>
      <c r="B397" s="1" t="s">
        <v>1365</v>
      </c>
      <c r="C397" s="1" t="s">
        <v>1530</v>
      </c>
      <c r="D397" s="1" t="s">
        <v>1288</v>
      </c>
      <c r="E397" s="1" t="s">
        <v>1374</v>
      </c>
      <c r="F397" t="s">
        <v>3038</v>
      </c>
      <c r="G397" t="s">
        <v>1366</v>
      </c>
      <c r="H397" t="s">
        <v>381</v>
      </c>
      <c r="I397" t="s">
        <v>1285</v>
      </c>
      <c r="J397" t="s">
        <v>1170</v>
      </c>
      <c r="K397" t="s">
        <v>1184</v>
      </c>
      <c r="L397" t="s">
        <v>1367</v>
      </c>
      <c r="M397" t="s">
        <v>1325</v>
      </c>
      <c r="N397" t="s">
        <v>1289</v>
      </c>
      <c r="O397" s="1" t="s">
        <v>1305</v>
      </c>
      <c r="P397" t="s">
        <v>1291</v>
      </c>
      <c r="Q397" t="s">
        <v>1294</v>
      </c>
      <c r="S397" t="s">
        <v>1294</v>
      </c>
      <c r="T397" t="s">
        <v>3039</v>
      </c>
      <c r="U397">
        <v>0</v>
      </c>
      <c r="V397" t="s">
        <v>1365</v>
      </c>
    </row>
    <row r="398" spans="1:22" x14ac:dyDescent="0.25">
      <c r="A398" t="s">
        <v>1871</v>
      </c>
      <c r="B398" s="1" t="s">
        <v>1365</v>
      </c>
      <c r="C398" s="1" t="s">
        <v>1530</v>
      </c>
      <c r="D398" s="1" t="s">
        <v>1288</v>
      </c>
      <c r="E398" s="1" t="s">
        <v>1374</v>
      </c>
      <c r="F398" t="s">
        <v>3040</v>
      </c>
      <c r="G398" t="s">
        <v>1366</v>
      </c>
      <c r="H398" t="s">
        <v>381</v>
      </c>
      <c r="I398" t="s">
        <v>1285</v>
      </c>
      <c r="J398" t="s">
        <v>1170</v>
      </c>
      <c r="K398" t="s">
        <v>1184</v>
      </c>
      <c r="L398" t="s">
        <v>1367</v>
      </c>
      <c r="M398" t="s">
        <v>1325</v>
      </c>
      <c r="N398" t="s">
        <v>1289</v>
      </c>
      <c r="O398" s="1" t="s">
        <v>1305</v>
      </c>
      <c r="P398" t="s">
        <v>1291</v>
      </c>
      <c r="Q398" t="s">
        <v>1294</v>
      </c>
      <c r="S398" t="s">
        <v>1294</v>
      </c>
      <c r="T398" t="s">
        <v>3041</v>
      </c>
      <c r="U398">
        <v>0</v>
      </c>
      <c r="V398" t="s">
        <v>1365</v>
      </c>
    </row>
    <row r="399" spans="1:22" x14ac:dyDescent="0.25">
      <c r="A399" t="s">
        <v>1871</v>
      </c>
      <c r="B399" s="1" t="s">
        <v>1365</v>
      </c>
      <c r="C399" s="1" t="s">
        <v>1530</v>
      </c>
      <c r="D399" s="1" t="s">
        <v>1288</v>
      </c>
      <c r="E399" s="1" t="s">
        <v>1368</v>
      </c>
      <c r="F399" t="s">
        <v>3066</v>
      </c>
      <c r="G399" t="s">
        <v>1366</v>
      </c>
      <c r="H399" t="s">
        <v>381</v>
      </c>
      <c r="I399" t="s">
        <v>1285</v>
      </c>
      <c r="J399" t="s">
        <v>1170</v>
      </c>
      <c r="K399" t="s">
        <v>1184</v>
      </c>
      <c r="L399" t="s">
        <v>1367</v>
      </c>
      <c r="M399" t="s">
        <v>1325</v>
      </c>
      <c r="N399" t="s">
        <v>1289</v>
      </c>
      <c r="O399" s="1" t="s">
        <v>1305</v>
      </c>
      <c r="P399" t="s">
        <v>1291</v>
      </c>
      <c r="Q399" t="s">
        <v>1294</v>
      </c>
      <c r="S399" t="s">
        <v>1294</v>
      </c>
      <c r="T399" t="s">
        <v>3067</v>
      </c>
      <c r="U399">
        <v>0</v>
      </c>
      <c r="V399" t="s">
        <v>1365</v>
      </c>
    </row>
    <row r="400" spans="1:22" x14ac:dyDescent="0.25">
      <c r="A400" t="s">
        <v>1871</v>
      </c>
      <c r="B400" s="1" t="s">
        <v>1365</v>
      </c>
      <c r="C400" s="1" t="s">
        <v>1530</v>
      </c>
      <c r="D400" s="1" t="s">
        <v>1288</v>
      </c>
      <c r="E400" s="1" t="s">
        <v>1350</v>
      </c>
      <c r="F400" t="s">
        <v>3193</v>
      </c>
      <c r="G400" t="s">
        <v>1366</v>
      </c>
      <c r="H400" t="s">
        <v>381</v>
      </c>
      <c r="I400" t="s">
        <v>1285</v>
      </c>
      <c r="J400" t="s">
        <v>1170</v>
      </c>
      <c r="K400" t="s">
        <v>1184</v>
      </c>
      <c r="L400" t="s">
        <v>1367</v>
      </c>
      <c r="M400" t="s">
        <v>1325</v>
      </c>
      <c r="N400" t="s">
        <v>1289</v>
      </c>
      <c r="O400" s="1" t="s">
        <v>1305</v>
      </c>
      <c r="P400" t="s">
        <v>1291</v>
      </c>
      <c r="Q400" t="s">
        <v>1294</v>
      </c>
      <c r="S400" t="s">
        <v>1294</v>
      </c>
      <c r="T400" t="s">
        <v>3194</v>
      </c>
      <c r="U400">
        <v>0</v>
      </c>
      <c r="V400" t="s">
        <v>1365</v>
      </c>
    </row>
    <row r="401" spans="1:22" x14ac:dyDescent="0.25">
      <c r="A401" t="s">
        <v>1871</v>
      </c>
      <c r="B401" s="1" t="s">
        <v>1365</v>
      </c>
      <c r="C401" s="1" t="s">
        <v>1530</v>
      </c>
      <c r="D401" s="1" t="s">
        <v>1288</v>
      </c>
      <c r="E401" s="1" t="s">
        <v>1350</v>
      </c>
      <c r="F401" t="s">
        <v>3199</v>
      </c>
      <c r="G401" t="s">
        <v>1366</v>
      </c>
      <c r="H401" t="s">
        <v>381</v>
      </c>
      <c r="I401" t="s">
        <v>1285</v>
      </c>
      <c r="J401" t="s">
        <v>1170</v>
      </c>
      <c r="K401" t="s">
        <v>1184</v>
      </c>
      <c r="L401" t="s">
        <v>1367</v>
      </c>
      <c r="M401" t="s">
        <v>1325</v>
      </c>
      <c r="N401" t="s">
        <v>1289</v>
      </c>
      <c r="O401" s="1" t="s">
        <v>1305</v>
      </c>
      <c r="P401" t="s">
        <v>1291</v>
      </c>
      <c r="Q401" t="s">
        <v>1294</v>
      </c>
      <c r="S401" t="s">
        <v>1294</v>
      </c>
      <c r="T401" t="s">
        <v>3200</v>
      </c>
      <c r="U401">
        <v>0</v>
      </c>
      <c r="V401" t="s">
        <v>1365</v>
      </c>
    </row>
    <row r="402" spans="1:22" x14ac:dyDescent="0.25">
      <c r="A402" t="s">
        <v>1871</v>
      </c>
      <c r="B402" s="1" t="s">
        <v>1365</v>
      </c>
      <c r="C402" s="1" t="s">
        <v>1530</v>
      </c>
      <c r="D402" s="1" t="s">
        <v>1288</v>
      </c>
      <c r="E402" s="1" t="s">
        <v>1350</v>
      </c>
      <c r="F402" t="s">
        <v>3207</v>
      </c>
      <c r="G402" t="s">
        <v>1366</v>
      </c>
      <c r="H402" t="s">
        <v>381</v>
      </c>
      <c r="I402" t="s">
        <v>1285</v>
      </c>
      <c r="J402" t="s">
        <v>1170</v>
      </c>
      <c r="K402" t="s">
        <v>1184</v>
      </c>
      <c r="L402" t="s">
        <v>1367</v>
      </c>
      <c r="M402" t="s">
        <v>1325</v>
      </c>
      <c r="N402" t="s">
        <v>1289</v>
      </c>
      <c r="O402" s="1" t="s">
        <v>1305</v>
      </c>
      <c r="P402" t="s">
        <v>1291</v>
      </c>
      <c r="Q402" t="s">
        <v>1294</v>
      </c>
      <c r="S402" t="s">
        <v>1294</v>
      </c>
      <c r="T402" t="s">
        <v>3208</v>
      </c>
      <c r="U402">
        <v>0</v>
      </c>
      <c r="V402" t="s">
        <v>1365</v>
      </c>
    </row>
    <row r="403" spans="1:22" x14ac:dyDescent="0.25">
      <c r="A403" t="s">
        <v>1871</v>
      </c>
      <c r="B403" s="1" t="s">
        <v>1365</v>
      </c>
      <c r="C403" s="1" t="s">
        <v>1530</v>
      </c>
      <c r="D403" s="1" t="s">
        <v>1288</v>
      </c>
      <c r="E403" s="1" t="s">
        <v>1350</v>
      </c>
      <c r="F403" t="s">
        <v>3209</v>
      </c>
      <c r="G403" t="s">
        <v>1366</v>
      </c>
      <c r="H403" t="s">
        <v>381</v>
      </c>
      <c r="I403" t="s">
        <v>1285</v>
      </c>
      <c r="J403" t="s">
        <v>1170</v>
      </c>
      <c r="K403" t="s">
        <v>1184</v>
      </c>
      <c r="L403" t="s">
        <v>1367</v>
      </c>
      <c r="M403" t="s">
        <v>1325</v>
      </c>
      <c r="N403" t="s">
        <v>1289</v>
      </c>
      <c r="O403" s="1" t="s">
        <v>1305</v>
      </c>
      <c r="P403" t="s">
        <v>1291</v>
      </c>
      <c r="Q403" t="s">
        <v>1294</v>
      </c>
      <c r="S403" t="s">
        <v>1294</v>
      </c>
      <c r="T403" t="s">
        <v>3210</v>
      </c>
      <c r="U403">
        <v>0</v>
      </c>
      <c r="V403" t="s">
        <v>1365</v>
      </c>
    </row>
    <row r="404" spans="1:22" x14ac:dyDescent="0.25">
      <c r="A404" t="s">
        <v>1871</v>
      </c>
      <c r="B404" s="1" t="s">
        <v>1365</v>
      </c>
      <c r="C404" s="1" t="s">
        <v>1530</v>
      </c>
      <c r="D404" s="1" t="s">
        <v>1288</v>
      </c>
      <c r="E404" s="1" t="s">
        <v>1350</v>
      </c>
      <c r="F404" t="s">
        <v>3213</v>
      </c>
      <c r="G404" t="s">
        <v>1366</v>
      </c>
      <c r="H404" t="s">
        <v>381</v>
      </c>
      <c r="I404" t="s">
        <v>1285</v>
      </c>
      <c r="J404" t="s">
        <v>1170</v>
      </c>
      <c r="K404" t="s">
        <v>1184</v>
      </c>
      <c r="L404" t="s">
        <v>1367</v>
      </c>
      <c r="M404" t="s">
        <v>1325</v>
      </c>
      <c r="N404" t="s">
        <v>1289</v>
      </c>
      <c r="O404" s="1" t="s">
        <v>1305</v>
      </c>
      <c r="P404" t="s">
        <v>1291</v>
      </c>
      <c r="Q404" t="s">
        <v>1294</v>
      </c>
      <c r="S404" t="s">
        <v>1294</v>
      </c>
      <c r="T404" t="s">
        <v>3214</v>
      </c>
      <c r="U404">
        <v>0</v>
      </c>
      <c r="V404" t="s">
        <v>1365</v>
      </c>
    </row>
    <row r="405" spans="1:22" x14ac:dyDescent="0.25">
      <c r="A405" t="s">
        <v>1871</v>
      </c>
      <c r="B405" s="1" t="s">
        <v>1365</v>
      </c>
      <c r="C405" s="1" t="s">
        <v>1530</v>
      </c>
      <c r="D405" s="1" t="s">
        <v>1288</v>
      </c>
      <c r="E405" s="1" t="s">
        <v>1350</v>
      </c>
      <c r="F405" t="s">
        <v>3231</v>
      </c>
      <c r="G405" t="s">
        <v>1366</v>
      </c>
      <c r="H405" t="s">
        <v>381</v>
      </c>
      <c r="I405" t="s">
        <v>1285</v>
      </c>
      <c r="J405" t="s">
        <v>1170</v>
      </c>
      <c r="K405" t="s">
        <v>1184</v>
      </c>
      <c r="L405" t="s">
        <v>1367</v>
      </c>
      <c r="M405" t="s">
        <v>1325</v>
      </c>
      <c r="N405" t="s">
        <v>1289</v>
      </c>
      <c r="O405" s="1" t="s">
        <v>1305</v>
      </c>
      <c r="P405" t="s">
        <v>1291</v>
      </c>
      <c r="Q405" t="s">
        <v>1294</v>
      </c>
      <c r="S405" t="s">
        <v>1294</v>
      </c>
      <c r="T405" t="s">
        <v>3232</v>
      </c>
      <c r="U405">
        <v>0</v>
      </c>
      <c r="V405" t="s">
        <v>1365</v>
      </c>
    </row>
    <row r="406" spans="1:22" x14ac:dyDescent="0.25">
      <c r="A406" t="s">
        <v>1871</v>
      </c>
      <c r="B406" s="1" t="s">
        <v>1365</v>
      </c>
      <c r="C406" s="1" t="s">
        <v>1530</v>
      </c>
      <c r="D406" s="1" t="s">
        <v>1288</v>
      </c>
      <c r="E406" s="1" t="s">
        <v>1350</v>
      </c>
      <c r="F406" t="s">
        <v>3235</v>
      </c>
      <c r="G406" t="s">
        <v>1366</v>
      </c>
      <c r="H406" t="s">
        <v>381</v>
      </c>
      <c r="I406" t="s">
        <v>1285</v>
      </c>
      <c r="J406" t="s">
        <v>1170</v>
      </c>
      <c r="K406" t="s">
        <v>1184</v>
      </c>
      <c r="L406" t="s">
        <v>1367</v>
      </c>
      <c r="M406" t="s">
        <v>1325</v>
      </c>
      <c r="N406" t="s">
        <v>1289</v>
      </c>
      <c r="O406" s="1" t="s">
        <v>1305</v>
      </c>
      <c r="P406" t="s">
        <v>1291</v>
      </c>
      <c r="Q406" t="s">
        <v>1294</v>
      </c>
      <c r="S406" t="s">
        <v>1294</v>
      </c>
      <c r="T406" t="s">
        <v>3236</v>
      </c>
      <c r="U406">
        <v>0</v>
      </c>
      <c r="V406" t="s">
        <v>1365</v>
      </c>
    </row>
    <row r="407" spans="1:22" x14ac:dyDescent="0.25">
      <c r="A407" t="s">
        <v>1871</v>
      </c>
      <c r="B407" s="1" t="s">
        <v>1365</v>
      </c>
      <c r="C407" s="1" t="s">
        <v>1530</v>
      </c>
      <c r="D407" s="1" t="s">
        <v>1288</v>
      </c>
      <c r="E407" s="1" t="s">
        <v>1350</v>
      </c>
      <c r="F407" t="s">
        <v>3237</v>
      </c>
      <c r="G407" t="s">
        <v>1366</v>
      </c>
      <c r="H407" t="s">
        <v>381</v>
      </c>
      <c r="I407" t="s">
        <v>1285</v>
      </c>
      <c r="J407" t="s">
        <v>1170</v>
      </c>
      <c r="K407" t="s">
        <v>1184</v>
      </c>
      <c r="L407" t="s">
        <v>1367</v>
      </c>
      <c r="M407" t="s">
        <v>1325</v>
      </c>
      <c r="N407" t="s">
        <v>1289</v>
      </c>
      <c r="O407" s="1" t="s">
        <v>1305</v>
      </c>
      <c r="P407" t="s">
        <v>1291</v>
      </c>
      <c r="Q407" t="s">
        <v>1294</v>
      </c>
      <c r="S407" t="s">
        <v>1294</v>
      </c>
      <c r="T407" t="s">
        <v>3238</v>
      </c>
      <c r="U407">
        <v>0</v>
      </c>
      <c r="V407" t="s">
        <v>1365</v>
      </c>
    </row>
    <row r="408" spans="1:22" x14ac:dyDescent="0.25">
      <c r="A408" t="s">
        <v>1871</v>
      </c>
      <c r="B408" s="1" t="s">
        <v>1365</v>
      </c>
      <c r="C408" s="1" t="s">
        <v>1530</v>
      </c>
      <c r="D408" s="1" t="s">
        <v>1288</v>
      </c>
      <c r="E408" s="1" t="s">
        <v>1350</v>
      </c>
      <c r="F408" t="s">
        <v>3247</v>
      </c>
      <c r="G408" t="s">
        <v>1366</v>
      </c>
      <c r="H408" t="s">
        <v>381</v>
      </c>
      <c r="I408" t="s">
        <v>1285</v>
      </c>
      <c r="J408" t="s">
        <v>1170</v>
      </c>
      <c r="K408" t="s">
        <v>1184</v>
      </c>
      <c r="L408" t="s">
        <v>1367</v>
      </c>
      <c r="M408" t="s">
        <v>1325</v>
      </c>
      <c r="N408" t="s">
        <v>1289</v>
      </c>
      <c r="O408" s="1" t="s">
        <v>1305</v>
      </c>
      <c r="P408" t="s">
        <v>1291</v>
      </c>
      <c r="Q408" t="s">
        <v>1294</v>
      </c>
      <c r="S408" t="s">
        <v>1294</v>
      </c>
      <c r="T408" t="s">
        <v>3248</v>
      </c>
      <c r="U408">
        <v>0</v>
      </c>
      <c r="V408" t="s">
        <v>1365</v>
      </c>
    </row>
    <row r="409" spans="1:22" x14ac:dyDescent="0.25">
      <c r="A409" t="s">
        <v>1871</v>
      </c>
      <c r="B409" s="1" t="s">
        <v>1365</v>
      </c>
      <c r="C409" s="1" t="s">
        <v>1530</v>
      </c>
      <c r="D409" s="1" t="s">
        <v>1288</v>
      </c>
      <c r="E409" s="1" t="s">
        <v>1350</v>
      </c>
      <c r="F409" t="s">
        <v>3249</v>
      </c>
      <c r="G409" t="s">
        <v>1366</v>
      </c>
      <c r="H409" t="s">
        <v>381</v>
      </c>
      <c r="I409" t="s">
        <v>1285</v>
      </c>
      <c r="J409" t="s">
        <v>1170</v>
      </c>
      <c r="K409" t="s">
        <v>1184</v>
      </c>
      <c r="L409" t="s">
        <v>1367</v>
      </c>
      <c r="M409" t="s">
        <v>1325</v>
      </c>
      <c r="N409" t="s">
        <v>1289</v>
      </c>
      <c r="O409" s="1" t="s">
        <v>1305</v>
      </c>
      <c r="P409" t="s">
        <v>1291</v>
      </c>
      <c r="Q409" t="s">
        <v>1294</v>
      </c>
      <c r="S409" t="s">
        <v>1294</v>
      </c>
      <c r="T409" t="s">
        <v>3250</v>
      </c>
      <c r="U409">
        <v>0</v>
      </c>
      <c r="V409" t="s">
        <v>1365</v>
      </c>
    </row>
    <row r="410" spans="1:22" x14ac:dyDescent="0.25">
      <c r="A410" t="s">
        <v>1871</v>
      </c>
      <c r="B410" s="1" t="s">
        <v>1365</v>
      </c>
      <c r="C410" s="1" t="s">
        <v>1530</v>
      </c>
      <c r="D410" s="1" t="s">
        <v>1288</v>
      </c>
      <c r="E410" s="1" t="s">
        <v>1350</v>
      </c>
      <c r="F410" t="s">
        <v>3265</v>
      </c>
      <c r="G410" t="s">
        <v>1366</v>
      </c>
      <c r="H410" t="s">
        <v>381</v>
      </c>
      <c r="I410" t="s">
        <v>1285</v>
      </c>
      <c r="J410" t="s">
        <v>1170</v>
      </c>
      <c r="K410" t="s">
        <v>1184</v>
      </c>
      <c r="L410" t="s">
        <v>1367</v>
      </c>
      <c r="M410" t="s">
        <v>1325</v>
      </c>
      <c r="N410" t="s">
        <v>1289</v>
      </c>
      <c r="O410" s="1" t="s">
        <v>1305</v>
      </c>
      <c r="P410" t="s">
        <v>1291</v>
      </c>
      <c r="Q410" t="s">
        <v>1294</v>
      </c>
      <c r="S410" t="s">
        <v>1294</v>
      </c>
      <c r="T410" t="s">
        <v>3266</v>
      </c>
      <c r="U410">
        <v>0</v>
      </c>
      <c r="V410" t="s">
        <v>1365</v>
      </c>
    </row>
    <row r="411" spans="1:22" x14ac:dyDescent="0.25">
      <c r="A411" t="s">
        <v>1871</v>
      </c>
      <c r="B411" s="1" t="s">
        <v>1365</v>
      </c>
      <c r="C411" s="1" t="s">
        <v>1530</v>
      </c>
      <c r="D411" s="1" t="s">
        <v>1288</v>
      </c>
      <c r="E411" s="1" t="s">
        <v>1350</v>
      </c>
      <c r="F411" t="s">
        <v>3275</v>
      </c>
      <c r="G411" t="s">
        <v>1366</v>
      </c>
      <c r="H411" t="s">
        <v>381</v>
      </c>
      <c r="I411" t="s">
        <v>1285</v>
      </c>
      <c r="J411" t="s">
        <v>1170</v>
      </c>
      <c r="K411" t="s">
        <v>1184</v>
      </c>
      <c r="L411" t="s">
        <v>1367</v>
      </c>
      <c r="M411" t="s">
        <v>1325</v>
      </c>
      <c r="N411" t="s">
        <v>1289</v>
      </c>
      <c r="O411" s="1" t="s">
        <v>1305</v>
      </c>
      <c r="P411" t="s">
        <v>1291</v>
      </c>
      <c r="Q411" t="s">
        <v>1294</v>
      </c>
      <c r="S411" t="s">
        <v>1294</v>
      </c>
      <c r="T411" t="s">
        <v>3276</v>
      </c>
      <c r="U411">
        <v>0</v>
      </c>
      <c r="V411" t="s">
        <v>1365</v>
      </c>
    </row>
    <row r="412" spans="1:22" ht="30" x14ac:dyDescent="0.25">
      <c r="A412" t="s">
        <v>1460</v>
      </c>
      <c r="B412" s="1" t="s">
        <v>1655</v>
      </c>
      <c r="C412" s="1" t="s">
        <v>1320</v>
      </c>
      <c r="D412" s="1" t="s">
        <v>1288</v>
      </c>
      <c r="E412" s="1" t="s">
        <v>1293</v>
      </c>
      <c r="F412" t="s">
        <v>1654</v>
      </c>
      <c r="G412" t="s">
        <v>1656</v>
      </c>
      <c r="H412" t="s">
        <v>381</v>
      </c>
      <c r="I412" t="s">
        <v>1285</v>
      </c>
      <c r="J412" t="s">
        <v>1170</v>
      </c>
      <c r="K412" t="s">
        <v>1186</v>
      </c>
      <c r="L412" t="s">
        <v>1657</v>
      </c>
      <c r="M412" t="s">
        <v>1325</v>
      </c>
      <c r="N412" t="s">
        <v>1289</v>
      </c>
      <c r="O412" s="1" t="s">
        <v>1305</v>
      </c>
      <c r="P412" t="s">
        <v>1291</v>
      </c>
      <c r="Q412" t="s">
        <v>1294</v>
      </c>
      <c r="S412" t="s">
        <v>1294</v>
      </c>
      <c r="T412" t="s">
        <v>1658</v>
      </c>
      <c r="U412">
        <v>0</v>
      </c>
      <c r="V412" t="s">
        <v>1655</v>
      </c>
    </row>
    <row r="413" spans="1:22" x14ac:dyDescent="0.25">
      <c r="A413" t="s">
        <v>1460</v>
      </c>
      <c r="B413" s="1" t="s">
        <v>1655</v>
      </c>
      <c r="C413" s="1" t="s">
        <v>1295</v>
      </c>
      <c r="D413" s="1" t="s">
        <v>1288</v>
      </c>
      <c r="E413" s="1" t="s">
        <v>1368</v>
      </c>
      <c r="F413" t="s">
        <v>1755</v>
      </c>
      <c r="G413" t="s">
        <v>1656</v>
      </c>
      <c r="H413" t="s">
        <v>381</v>
      </c>
      <c r="I413" t="s">
        <v>1285</v>
      </c>
      <c r="J413" t="s">
        <v>1170</v>
      </c>
      <c r="K413" t="s">
        <v>1186</v>
      </c>
      <c r="L413" t="s">
        <v>1657</v>
      </c>
      <c r="M413" t="s">
        <v>1325</v>
      </c>
      <c r="N413" t="s">
        <v>1289</v>
      </c>
      <c r="O413" s="1" t="s">
        <v>1305</v>
      </c>
      <c r="P413" t="s">
        <v>1291</v>
      </c>
      <c r="Q413" t="s">
        <v>1294</v>
      </c>
      <c r="S413" t="s">
        <v>1294</v>
      </c>
      <c r="T413" t="s">
        <v>1756</v>
      </c>
      <c r="U413">
        <v>0</v>
      </c>
      <c r="V413" t="s">
        <v>1655</v>
      </c>
    </row>
    <row r="414" spans="1:22" x14ac:dyDescent="0.25">
      <c r="A414" t="s">
        <v>1871</v>
      </c>
      <c r="B414" s="1" t="s">
        <v>1655</v>
      </c>
      <c r="C414" s="1" t="s">
        <v>1530</v>
      </c>
      <c r="D414" s="1" t="s">
        <v>1288</v>
      </c>
      <c r="E414" s="1" t="s">
        <v>1316</v>
      </c>
      <c r="F414" t="s">
        <v>1948</v>
      </c>
      <c r="G414" t="s">
        <v>1656</v>
      </c>
      <c r="H414" t="s">
        <v>381</v>
      </c>
      <c r="I414" t="s">
        <v>1285</v>
      </c>
      <c r="J414" t="s">
        <v>1170</v>
      </c>
      <c r="K414" t="s">
        <v>1186</v>
      </c>
      <c r="L414" t="s">
        <v>1657</v>
      </c>
      <c r="M414" t="s">
        <v>1325</v>
      </c>
      <c r="N414" t="s">
        <v>1289</v>
      </c>
      <c r="O414" s="1" t="s">
        <v>1305</v>
      </c>
      <c r="P414" t="s">
        <v>1291</v>
      </c>
      <c r="Q414" t="s">
        <v>1294</v>
      </c>
      <c r="S414" t="s">
        <v>1294</v>
      </c>
      <c r="T414" t="s">
        <v>1949</v>
      </c>
      <c r="U414">
        <v>0</v>
      </c>
      <c r="V414" t="s">
        <v>1655</v>
      </c>
    </row>
    <row r="415" spans="1:22" x14ac:dyDescent="0.25">
      <c r="A415" t="s">
        <v>1871</v>
      </c>
      <c r="B415" s="1" t="s">
        <v>1655</v>
      </c>
      <c r="C415" s="1" t="s">
        <v>1530</v>
      </c>
      <c r="D415" s="1" t="s">
        <v>1288</v>
      </c>
      <c r="E415" s="1" t="s">
        <v>1368</v>
      </c>
      <c r="F415" t="s">
        <v>2012</v>
      </c>
      <c r="G415" t="s">
        <v>1656</v>
      </c>
      <c r="H415" t="s">
        <v>381</v>
      </c>
      <c r="I415" t="s">
        <v>1285</v>
      </c>
      <c r="J415" t="s">
        <v>1170</v>
      </c>
      <c r="K415" t="s">
        <v>1186</v>
      </c>
      <c r="L415" t="s">
        <v>1657</v>
      </c>
      <c r="M415" t="s">
        <v>1325</v>
      </c>
      <c r="N415" t="s">
        <v>1289</v>
      </c>
      <c r="O415" s="1" t="s">
        <v>1305</v>
      </c>
      <c r="P415" t="s">
        <v>1291</v>
      </c>
      <c r="Q415" t="s">
        <v>1294</v>
      </c>
      <c r="S415" t="s">
        <v>1294</v>
      </c>
      <c r="T415" t="s">
        <v>2013</v>
      </c>
      <c r="U415">
        <v>0</v>
      </c>
      <c r="V415" t="s">
        <v>1655</v>
      </c>
    </row>
    <row r="416" spans="1:22" ht="30" x14ac:dyDescent="0.25">
      <c r="A416" t="s">
        <v>1871</v>
      </c>
      <c r="B416" s="1" t="s">
        <v>1655</v>
      </c>
      <c r="C416" s="1" t="s">
        <v>1530</v>
      </c>
      <c r="D416" s="1" t="s">
        <v>1288</v>
      </c>
      <c r="E416" s="1" t="s">
        <v>1293</v>
      </c>
      <c r="F416" t="s">
        <v>2572</v>
      </c>
      <c r="G416" t="s">
        <v>1656</v>
      </c>
      <c r="H416" t="s">
        <v>381</v>
      </c>
      <c r="I416" t="s">
        <v>1285</v>
      </c>
      <c r="J416" t="s">
        <v>1170</v>
      </c>
      <c r="K416" t="s">
        <v>1186</v>
      </c>
      <c r="L416" t="s">
        <v>1657</v>
      </c>
      <c r="M416" t="s">
        <v>1325</v>
      </c>
      <c r="N416" t="s">
        <v>1289</v>
      </c>
      <c r="O416" s="1" t="s">
        <v>1305</v>
      </c>
      <c r="P416" t="s">
        <v>1291</v>
      </c>
      <c r="Q416" t="s">
        <v>1294</v>
      </c>
      <c r="S416" t="s">
        <v>1294</v>
      </c>
      <c r="T416" t="s">
        <v>2573</v>
      </c>
      <c r="U416">
        <v>0</v>
      </c>
      <c r="V416" t="s">
        <v>1655</v>
      </c>
    </row>
    <row r="417" spans="1:22" x14ac:dyDescent="0.25">
      <c r="A417" t="s">
        <v>1871</v>
      </c>
      <c r="B417" s="1" t="s">
        <v>1655</v>
      </c>
      <c r="C417" s="1" t="s">
        <v>1530</v>
      </c>
      <c r="D417" s="1" t="s">
        <v>1288</v>
      </c>
      <c r="E417" s="1" t="s">
        <v>1316</v>
      </c>
      <c r="F417" t="s">
        <v>2675</v>
      </c>
      <c r="G417" t="s">
        <v>1656</v>
      </c>
      <c r="H417" t="s">
        <v>381</v>
      </c>
      <c r="I417" t="s">
        <v>1285</v>
      </c>
      <c r="J417" t="s">
        <v>1170</v>
      </c>
      <c r="K417" t="s">
        <v>1186</v>
      </c>
      <c r="L417" t="s">
        <v>1657</v>
      </c>
      <c r="M417" t="s">
        <v>1325</v>
      </c>
      <c r="N417" t="s">
        <v>1289</v>
      </c>
      <c r="O417" s="1" t="s">
        <v>1305</v>
      </c>
      <c r="P417" t="s">
        <v>1291</v>
      </c>
      <c r="Q417" t="s">
        <v>1294</v>
      </c>
      <c r="S417" t="s">
        <v>1294</v>
      </c>
      <c r="T417" t="s">
        <v>2676</v>
      </c>
      <c r="U417">
        <v>0</v>
      </c>
      <c r="V417" t="s">
        <v>1655</v>
      </c>
    </row>
    <row r="418" spans="1:22" x14ac:dyDescent="0.25">
      <c r="A418" t="s">
        <v>1871</v>
      </c>
      <c r="B418" s="1" t="s">
        <v>1655</v>
      </c>
      <c r="C418" s="1" t="s">
        <v>1530</v>
      </c>
      <c r="D418" s="1" t="s">
        <v>1288</v>
      </c>
      <c r="E418" s="1" t="s">
        <v>1368</v>
      </c>
      <c r="F418" t="s">
        <v>2892</v>
      </c>
      <c r="G418" t="s">
        <v>1656</v>
      </c>
      <c r="H418" t="s">
        <v>381</v>
      </c>
      <c r="I418" t="s">
        <v>1285</v>
      </c>
      <c r="J418" t="s">
        <v>1170</v>
      </c>
      <c r="K418" t="s">
        <v>1186</v>
      </c>
      <c r="L418" t="s">
        <v>1657</v>
      </c>
      <c r="M418" t="s">
        <v>1325</v>
      </c>
      <c r="N418" t="s">
        <v>1289</v>
      </c>
      <c r="O418" s="1" t="s">
        <v>1305</v>
      </c>
      <c r="P418" t="s">
        <v>1291</v>
      </c>
      <c r="Q418" t="s">
        <v>1294</v>
      </c>
      <c r="S418" t="s">
        <v>1294</v>
      </c>
      <c r="T418" t="s">
        <v>2893</v>
      </c>
      <c r="U418">
        <v>0</v>
      </c>
      <c r="V418" t="s">
        <v>1655</v>
      </c>
    </row>
    <row r="419" spans="1:22" ht="30" x14ac:dyDescent="0.25">
      <c r="A419" t="s">
        <v>1460</v>
      </c>
      <c r="B419" s="1" t="s">
        <v>1465</v>
      </c>
      <c r="C419" s="1" t="s">
        <v>1345</v>
      </c>
      <c r="D419" s="1" t="s">
        <v>1288</v>
      </c>
      <c r="E419" s="1" t="s">
        <v>1410</v>
      </c>
      <c r="F419" t="s">
        <v>1464</v>
      </c>
      <c r="G419" t="s">
        <v>1466</v>
      </c>
      <c r="H419" t="s">
        <v>381</v>
      </c>
      <c r="I419" t="s">
        <v>1285</v>
      </c>
      <c r="J419" t="s">
        <v>1170</v>
      </c>
      <c r="K419" t="s">
        <v>1467</v>
      </c>
      <c r="L419" t="s">
        <v>1468</v>
      </c>
      <c r="M419" t="s">
        <v>1325</v>
      </c>
      <c r="N419">
        <v>211000</v>
      </c>
      <c r="O419" s="1" t="s">
        <v>1290</v>
      </c>
      <c r="P419" t="s">
        <v>1392</v>
      </c>
      <c r="Q419" t="s">
        <v>1294</v>
      </c>
      <c r="S419" t="s">
        <v>1294</v>
      </c>
      <c r="T419" t="s">
        <v>1296</v>
      </c>
      <c r="U419">
        <v>38</v>
      </c>
      <c r="V419" t="s">
        <v>1469</v>
      </c>
    </row>
    <row r="420" spans="1:22" ht="30" x14ac:dyDescent="0.25">
      <c r="A420" t="s">
        <v>1460</v>
      </c>
      <c r="B420" s="1" t="s">
        <v>1465</v>
      </c>
      <c r="C420" s="1" t="s">
        <v>1295</v>
      </c>
      <c r="D420" s="1" t="s">
        <v>1288</v>
      </c>
      <c r="E420" s="1" t="s">
        <v>1410</v>
      </c>
      <c r="F420" t="s">
        <v>1510</v>
      </c>
      <c r="G420" t="s">
        <v>1511</v>
      </c>
      <c r="H420" t="s">
        <v>381</v>
      </c>
      <c r="I420" t="s">
        <v>1285</v>
      </c>
      <c r="J420" t="s">
        <v>1170</v>
      </c>
      <c r="K420" t="s">
        <v>1512</v>
      </c>
      <c r="L420" t="s">
        <v>1513</v>
      </c>
      <c r="M420" t="s">
        <v>1325</v>
      </c>
      <c r="N420">
        <v>211000</v>
      </c>
      <c r="O420" s="1" t="s">
        <v>1290</v>
      </c>
      <c r="P420" t="s">
        <v>1392</v>
      </c>
      <c r="Q420" t="s">
        <v>1294</v>
      </c>
      <c r="S420" t="s">
        <v>1294</v>
      </c>
      <c r="T420" t="s">
        <v>1296</v>
      </c>
      <c r="U420">
        <v>240</v>
      </c>
      <c r="V420" t="s">
        <v>1514</v>
      </c>
    </row>
    <row r="421" spans="1:22" ht="30" x14ac:dyDescent="0.25">
      <c r="A421" t="s">
        <v>1460</v>
      </c>
      <c r="B421" s="1" t="s">
        <v>1465</v>
      </c>
      <c r="C421" s="1" t="s">
        <v>1320</v>
      </c>
      <c r="D421" s="1" t="s">
        <v>1288</v>
      </c>
      <c r="E421" s="1" t="s">
        <v>1410</v>
      </c>
      <c r="F421" t="s">
        <v>1515</v>
      </c>
      <c r="G421" t="s">
        <v>1511</v>
      </c>
      <c r="H421" t="s">
        <v>381</v>
      </c>
      <c r="I421" t="s">
        <v>1285</v>
      </c>
      <c r="J421" t="s">
        <v>1170</v>
      </c>
      <c r="K421" t="s">
        <v>1516</v>
      </c>
      <c r="L421" t="s">
        <v>1517</v>
      </c>
      <c r="M421" t="s">
        <v>1325</v>
      </c>
      <c r="N421">
        <v>211000</v>
      </c>
      <c r="O421" s="1" t="s">
        <v>1290</v>
      </c>
      <c r="P421" t="s">
        <v>1392</v>
      </c>
      <c r="Q421" t="s">
        <v>1294</v>
      </c>
      <c r="S421" t="s">
        <v>1294</v>
      </c>
      <c r="T421" t="s">
        <v>1296</v>
      </c>
      <c r="U421">
        <v>503</v>
      </c>
      <c r="V421" t="s">
        <v>1518</v>
      </c>
    </row>
    <row r="422" spans="1:22" ht="30" x14ac:dyDescent="0.25">
      <c r="A422" t="s">
        <v>1460</v>
      </c>
      <c r="B422" s="1" t="s">
        <v>1465</v>
      </c>
      <c r="C422" s="1" t="s">
        <v>1530</v>
      </c>
      <c r="D422" s="1" t="s">
        <v>1288</v>
      </c>
      <c r="E422" s="1" t="s">
        <v>1410</v>
      </c>
      <c r="F422" t="s">
        <v>1527</v>
      </c>
      <c r="G422" t="s">
        <v>1528</v>
      </c>
      <c r="H422" t="s">
        <v>381</v>
      </c>
      <c r="I422" t="s">
        <v>1285</v>
      </c>
      <c r="J422" t="s">
        <v>1170</v>
      </c>
      <c r="K422" t="s">
        <v>1527</v>
      </c>
      <c r="L422" t="s">
        <v>1529</v>
      </c>
      <c r="M422" t="s">
        <v>1325</v>
      </c>
      <c r="N422">
        <v>211000</v>
      </c>
      <c r="O422" s="1" t="s">
        <v>1290</v>
      </c>
      <c r="P422" t="s">
        <v>1392</v>
      </c>
      <c r="Q422" t="s">
        <v>1294</v>
      </c>
      <c r="S422" t="s">
        <v>1294</v>
      </c>
      <c r="T422" t="s">
        <v>1296</v>
      </c>
      <c r="U422">
        <v>466</v>
      </c>
      <c r="V422" t="s">
        <v>1531</v>
      </c>
    </row>
    <row r="423" spans="1:22" ht="30" x14ac:dyDescent="0.25">
      <c r="A423" t="s">
        <v>1460</v>
      </c>
      <c r="B423" s="1" t="s">
        <v>1465</v>
      </c>
      <c r="C423" s="1" t="s">
        <v>1345</v>
      </c>
      <c r="D423" s="1" t="s">
        <v>1288</v>
      </c>
      <c r="E423" s="1" t="s">
        <v>1410</v>
      </c>
      <c r="F423" t="s">
        <v>1551</v>
      </c>
      <c r="G423" t="s">
        <v>1552</v>
      </c>
      <c r="H423" t="s">
        <v>381</v>
      </c>
      <c r="I423" t="s">
        <v>1285</v>
      </c>
      <c r="J423" t="s">
        <v>1170</v>
      </c>
      <c r="K423" t="s">
        <v>1553</v>
      </c>
      <c r="L423" t="s">
        <v>1554</v>
      </c>
      <c r="M423" t="s">
        <v>1325</v>
      </c>
      <c r="N423">
        <v>211000</v>
      </c>
      <c r="O423" s="1" t="s">
        <v>1290</v>
      </c>
      <c r="P423" t="s">
        <v>1392</v>
      </c>
      <c r="Q423" t="s">
        <v>1294</v>
      </c>
      <c r="S423" t="s">
        <v>1294</v>
      </c>
      <c r="T423" t="s">
        <v>1296</v>
      </c>
      <c r="U423">
        <v>69</v>
      </c>
      <c r="V423" t="s">
        <v>1555</v>
      </c>
    </row>
    <row r="424" spans="1:22" ht="30" x14ac:dyDescent="0.25">
      <c r="A424" t="s">
        <v>1460</v>
      </c>
      <c r="B424" s="1" t="s">
        <v>1465</v>
      </c>
      <c r="C424" s="1" t="s">
        <v>1295</v>
      </c>
      <c r="D424" s="1" t="s">
        <v>1288</v>
      </c>
      <c r="E424" s="1" t="s">
        <v>1410</v>
      </c>
      <c r="F424" t="s">
        <v>1558</v>
      </c>
      <c r="G424" t="s">
        <v>1511</v>
      </c>
      <c r="H424" t="s">
        <v>381</v>
      </c>
      <c r="I424" t="s">
        <v>1285</v>
      </c>
      <c r="J424" t="s">
        <v>1170</v>
      </c>
      <c r="K424" t="s">
        <v>1516</v>
      </c>
      <c r="L424" t="s">
        <v>1517</v>
      </c>
      <c r="M424" t="s">
        <v>1325</v>
      </c>
      <c r="N424">
        <v>211000</v>
      </c>
      <c r="O424" s="1" t="s">
        <v>1290</v>
      </c>
      <c r="P424" t="s">
        <v>1392</v>
      </c>
      <c r="Q424" t="s">
        <v>1294</v>
      </c>
      <c r="S424" t="s">
        <v>1294</v>
      </c>
      <c r="T424" t="s">
        <v>1296</v>
      </c>
      <c r="U424">
        <v>86</v>
      </c>
      <c r="V424" t="s">
        <v>1518</v>
      </c>
    </row>
    <row r="425" spans="1:22" ht="30" x14ac:dyDescent="0.25">
      <c r="A425" t="s">
        <v>1460</v>
      </c>
      <c r="B425" s="1" t="s">
        <v>1465</v>
      </c>
      <c r="C425" s="1" t="s">
        <v>1320</v>
      </c>
      <c r="D425" s="1" t="s">
        <v>1288</v>
      </c>
      <c r="E425" s="1" t="s">
        <v>1410</v>
      </c>
      <c r="F425" t="s">
        <v>1597</v>
      </c>
      <c r="G425" t="s">
        <v>1598</v>
      </c>
      <c r="H425" t="s">
        <v>381</v>
      </c>
      <c r="I425" t="s">
        <v>1285</v>
      </c>
      <c r="J425" t="s">
        <v>1170</v>
      </c>
      <c r="K425" t="s">
        <v>1599</v>
      </c>
      <c r="L425" t="s">
        <v>1600</v>
      </c>
      <c r="M425" t="s">
        <v>1325</v>
      </c>
      <c r="N425">
        <v>211000</v>
      </c>
      <c r="O425" s="1" t="s">
        <v>1290</v>
      </c>
      <c r="P425" t="s">
        <v>1392</v>
      </c>
      <c r="Q425" t="s">
        <v>1294</v>
      </c>
      <c r="S425" t="s">
        <v>1294</v>
      </c>
      <c r="T425" t="s">
        <v>1296</v>
      </c>
      <c r="U425">
        <v>792</v>
      </c>
      <c r="V425" t="s">
        <v>1601</v>
      </c>
    </row>
    <row r="426" spans="1:22" ht="30" x14ac:dyDescent="0.25">
      <c r="A426" t="s">
        <v>1460</v>
      </c>
      <c r="B426" s="1" t="s">
        <v>1465</v>
      </c>
      <c r="C426" s="1" t="s">
        <v>1295</v>
      </c>
      <c r="D426" s="1" t="s">
        <v>1288</v>
      </c>
      <c r="E426" s="1" t="s">
        <v>1410</v>
      </c>
      <c r="F426" t="s">
        <v>1553</v>
      </c>
      <c r="G426" t="s">
        <v>1466</v>
      </c>
      <c r="H426" t="s">
        <v>381</v>
      </c>
      <c r="I426" t="s">
        <v>1285</v>
      </c>
      <c r="J426" t="s">
        <v>1170</v>
      </c>
      <c r="K426" t="s">
        <v>1467</v>
      </c>
      <c r="L426" t="s">
        <v>1468</v>
      </c>
      <c r="M426" t="s">
        <v>1325</v>
      </c>
      <c r="N426">
        <v>211000</v>
      </c>
      <c r="O426" s="1" t="s">
        <v>1290</v>
      </c>
      <c r="P426" t="s">
        <v>1392</v>
      </c>
      <c r="Q426" t="s">
        <v>1294</v>
      </c>
      <c r="S426" t="s">
        <v>1294</v>
      </c>
      <c r="T426" t="s">
        <v>1296</v>
      </c>
      <c r="U426">
        <v>267</v>
      </c>
      <c r="V426" t="s">
        <v>1469</v>
      </c>
    </row>
    <row r="427" spans="1:22" ht="30" x14ac:dyDescent="0.25">
      <c r="A427" t="s">
        <v>1460</v>
      </c>
      <c r="B427" s="1" t="s">
        <v>1465</v>
      </c>
      <c r="C427" s="1" t="s">
        <v>1320</v>
      </c>
      <c r="D427" s="1" t="s">
        <v>1288</v>
      </c>
      <c r="E427" s="1" t="s">
        <v>1410</v>
      </c>
      <c r="F427" t="s">
        <v>1617</v>
      </c>
      <c r="G427" t="s">
        <v>1618</v>
      </c>
      <c r="H427" t="s">
        <v>381</v>
      </c>
      <c r="I427" t="s">
        <v>1285</v>
      </c>
      <c r="J427" t="s">
        <v>1170</v>
      </c>
      <c r="K427" t="s">
        <v>1619</v>
      </c>
      <c r="L427" t="s">
        <v>1620</v>
      </c>
      <c r="M427" t="s">
        <v>1325</v>
      </c>
      <c r="N427">
        <v>211000</v>
      </c>
      <c r="O427" s="1" t="s">
        <v>1290</v>
      </c>
      <c r="P427" t="s">
        <v>1392</v>
      </c>
      <c r="Q427" t="s">
        <v>1294</v>
      </c>
      <c r="S427" t="s">
        <v>1294</v>
      </c>
      <c r="T427" t="s">
        <v>1296</v>
      </c>
      <c r="U427">
        <v>139</v>
      </c>
      <c r="V427" t="s">
        <v>1621</v>
      </c>
    </row>
    <row r="428" spans="1:22" ht="30" x14ac:dyDescent="0.25">
      <c r="A428" t="s">
        <v>1460</v>
      </c>
      <c r="B428" s="1" t="s">
        <v>1465</v>
      </c>
      <c r="C428" s="1" t="s">
        <v>1320</v>
      </c>
      <c r="D428" s="1" t="s">
        <v>1288</v>
      </c>
      <c r="E428" s="1" t="s">
        <v>1410</v>
      </c>
      <c r="F428" t="s">
        <v>1630</v>
      </c>
      <c r="G428" t="s">
        <v>1552</v>
      </c>
      <c r="H428" t="s">
        <v>381</v>
      </c>
      <c r="I428" t="s">
        <v>1285</v>
      </c>
      <c r="J428" t="s">
        <v>1170</v>
      </c>
      <c r="K428" t="s">
        <v>1553</v>
      </c>
      <c r="L428" t="s">
        <v>1554</v>
      </c>
      <c r="M428" t="s">
        <v>1325</v>
      </c>
      <c r="N428">
        <v>211000</v>
      </c>
      <c r="O428" s="1" t="s">
        <v>1290</v>
      </c>
      <c r="P428" t="s">
        <v>1392</v>
      </c>
      <c r="Q428" t="s">
        <v>1294</v>
      </c>
      <c r="S428" t="s">
        <v>1294</v>
      </c>
      <c r="T428" t="s">
        <v>1296</v>
      </c>
      <c r="U428">
        <v>279</v>
      </c>
      <c r="V428" t="s">
        <v>1555</v>
      </c>
    </row>
    <row r="429" spans="1:22" ht="30" x14ac:dyDescent="0.25">
      <c r="A429" t="s">
        <v>1460</v>
      </c>
      <c r="B429" s="1" t="s">
        <v>1465</v>
      </c>
      <c r="C429" s="1" t="s">
        <v>1320</v>
      </c>
      <c r="D429" s="1" t="s">
        <v>1288</v>
      </c>
      <c r="E429" s="1" t="s">
        <v>1410</v>
      </c>
      <c r="F429" t="s">
        <v>1643</v>
      </c>
      <c r="G429" t="s">
        <v>1528</v>
      </c>
      <c r="H429" t="s">
        <v>381</v>
      </c>
      <c r="I429" t="s">
        <v>1285</v>
      </c>
      <c r="J429" t="s">
        <v>1170</v>
      </c>
      <c r="K429" t="s">
        <v>1527</v>
      </c>
      <c r="L429" t="s">
        <v>1529</v>
      </c>
      <c r="M429" t="s">
        <v>1325</v>
      </c>
      <c r="N429">
        <v>211000</v>
      </c>
      <c r="O429" s="1" t="s">
        <v>1290</v>
      </c>
      <c r="P429" t="s">
        <v>1392</v>
      </c>
      <c r="Q429" t="s">
        <v>1294</v>
      </c>
      <c r="S429" t="s">
        <v>1294</v>
      </c>
      <c r="T429" t="s">
        <v>1296</v>
      </c>
      <c r="U429">
        <v>229</v>
      </c>
      <c r="V429" t="s">
        <v>1531</v>
      </c>
    </row>
    <row r="430" spans="1:22" ht="30" x14ac:dyDescent="0.25">
      <c r="A430" t="s">
        <v>1460</v>
      </c>
      <c r="B430" s="1" t="s">
        <v>1465</v>
      </c>
      <c r="C430" s="1" t="s">
        <v>1320</v>
      </c>
      <c r="D430" s="1" t="s">
        <v>1288</v>
      </c>
      <c r="E430" s="1" t="s">
        <v>1410</v>
      </c>
      <c r="F430" t="s">
        <v>1644</v>
      </c>
      <c r="G430" t="s">
        <v>1598</v>
      </c>
      <c r="H430" t="s">
        <v>381</v>
      </c>
      <c r="I430" t="s">
        <v>1285</v>
      </c>
      <c r="J430" t="s">
        <v>1170</v>
      </c>
      <c r="K430" t="s">
        <v>1645</v>
      </c>
      <c r="L430" t="s">
        <v>1646</v>
      </c>
      <c r="M430" t="s">
        <v>1325</v>
      </c>
      <c r="N430">
        <v>211000</v>
      </c>
      <c r="O430" s="1" t="s">
        <v>1290</v>
      </c>
      <c r="P430" t="s">
        <v>1392</v>
      </c>
      <c r="Q430" t="s">
        <v>1294</v>
      </c>
      <c r="S430" t="s">
        <v>1294</v>
      </c>
      <c r="T430" t="s">
        <v>1296</v>
      </c>
      <c r="U430">
        <v>319</v>
      </c>
      <c r="V430" t="s">
        <v>1647</v>
      </c>
    </row>
    <row r="431" spans="1:22" ht="30" x14ac:dyDescent="0.25">
      <c r="A431" t="s">
        <v>1460</v>
      </c>
      <c r="B431" s="1" t="s">
        <v>1465</v>
      </c>
      <c r="C431" s="1" t="s">
        <v>1345</v>
      </c>
      <c r="D431" s="1" t="s">
        <v>1288</v>
      </c>
      <c r="E431" s="1" t="s">
        <v>1410</v>
      </c>
      <c r="F431" t="s">
        <v>1660</v>
      </c>
      <c r="G431" t="s">
        <v>1511</v>
      </c>
      <c r="H431" t="s">
        <v>381</v>
      </c>
      <c r="I431" t="s">
        <v>1285</v>
      </c>
      <c r="J431" t="s">
        <v>1170</v>
      </c>
      <c r="K431" t="s">
        <v>1512</v>
      </c>
      <c r="L431" t="s">
        <v>1513</v>
      </c>
      <c r="M431" t="s">
        <v>1325</v>
      </c>
      <c r="N431">
        <v>211000</v>
      </c>
      <c r="O431" s="1" t="s">
        <v>1290</v>
      </c>
      <c r="P431" t="s">
        <v>1392</v>
      </c>
      <c r="Q431" t="s">
        <v>1294</v>
      </c>
      <c r="S431" t="s">
        <v>1294</v>
      </c>
      <c r="T431" t="s">
        <v>1296</v>
      </c>
      <c r="U431">
        <v>84</v>
      </c>
      <c r="V431" t="s">
        <v>1514</v>
      </c>
    </row>
    <row r="432" spans="1:22" ht="30" x14ac:dyDescent="0.25">
      <c r="A432" t="s">
        <v>1460</v>
      </c>
      <c r="B432" s="1" t="s">
        <v>1465</v>
      </c>
      <c r="C432" s="1" t="s">
        <v>1320</v>
      </c>
      <c r="D432" s="1" t="s">
        <v>1288</v>
      </c>
      <c r="E432" s="1" t="s">
        <v>1410</v>
      </c>
      <c r="F432" t="s">
        <v>1661</v>
      </c>
      <c r="G432" t="s">
        <v>1598</v>
      </c>
      <c r="H432" t="s">
        <v>381</v>
      </c>
      <c r="I432" t="s">
        <v>1285</v>
      </c>
      <c r="J432" t="s">
        <v>1170</v>
      </c>
      <c r="K432" t="s">
        <v>1558</v>
      </c>
      <c r="L432" t="s">
        <v>1662</v>
      </c>
      <c r="M432" t="s">
        <v>1325</v>
      </c>
      <c r="N432">
        <v>211000</v>
      </c>
      <c r="O432" s="1" t="s">
        <v>1290</v>
      </c>
      <c r="P432" t="s">
        <v>1392</v>
      </c>
      <c r="Q432" t="s">
        <v>1294</v>
      </c>
      <c r="S432" t="s">
        <v>1294</v>
      </c>
      <c r="T432" t="s">
        <v>1296</v>
      </c>
      <c r="U432">
        <v>537</v>
      </c>
      <c r="V432" t="s">
        <v>1663</v>
      </c>
    </row>
    <row r="433" spans="1:22" ht="30" x14ac:dyDescent="0.25">
      <c r="A433" t="s">
        <v>1460</v>
      </c>
      <c r="B433" s="1" t="s">
        <v>1465</v>
      </c>
      <c r="C433" s="1" t="s">
        <v>1320</v>
      </c>
      <c r="D433" s="1" t="s">
        <v>1288</v>
      </c>
      <c r="E433" s="1" t="s">
        <v>1410</v>
      </c>
      <c r="F433" t="s">
        <v>1666</v>
      </c>
      <c r="G433" t="s">
        <v>1552</v>
      </c>
      <c r="H433" t="s">
        <v>381</v>
      </c>
      <c r="I433" t="s">
        <v>1285</v>
      </c>
      <c r="J433" t="s">
        <v>1170</v>
      </c>
      <c r="K433" t="s">
        <v>1667</v>
      </c>
      <c r="L433" t="s">
        <v>1668</v>
      </c>
      <c r="M433" t="s">
        <v>1325</v>
      </c>
      <c r="N433">
        <v>211000</v>
      </c>
      <c r="O433" s="1" t="s">
        <v>1290</v>
      </c>
      <c r="P433" t="s">
        <v>1392</v>
      </c>
      <c r="Q433" t="s">
        <v>1294</v>
      </c>
      <c r="S433" t="s">
        <v>1294</v>
      </c>
      <c r="T433" t="s">
        <v>1296</v>
      </c>
      <c r="U433">
        <v>68</v>
      </c>
      <c r="V433" t="s">
        <v>1669</v>
      </c>
    </row>
    <row r="434" spans="1:22" ht="30" x14ac:dyDescent="0.25">
      <c r="A434" t="s">
        <v>1460</v>
      </c>
      <c r="B434" s="1" t="s">
        <v>1465</v>
      </c>
      <c r="C434" s="1" t="s">
        <v>1402</v>
      </c>
      <c r="D434" s="1" t="s">
        <v>1288</v>
      </c>
      <c r="E434" s="1" t="s">
        <v>1410</v>
      </c>
      <c r="F434" t="s">
        <v>1599</v>
      </c>
      <c r="G434" t="s">
        <v>1511</v>
      </c>
      <c r="H434" t="s">
        <v>381</v>
      </c>
      <c r="I434" t="s">
        <v>1285</v>
      </c>
      <c r="J434" t="s">
        <v>1170</v>
      </c>
      <c r="K434" t="s">
        <v>1512</v>
      </c>
      <c r="L434" t="s">
        <v>1513</v>
      </c>
      <c r="M434" t="s">
        <v>1325</v>
      </c>
      <c r="N434">
        <v>211000</v>
      </c>
      <c r="O434" s="1" t="s">
        <v>1290</v>
      </c>
      <c r="P434" t="s">
        <v>1392</v>
      </c>
      <c r="Q434" t="s">
        <v>1294</v>
      </c>
      <c r="S434" t="s">
        <v>1294</v>
      </c>
      <c r="T434" t="s">
        <v>1296</v>
      </c>
      <c r="U434">
        <v>256</v>
      </c>
      <c r="V434" t="s">
        <v>1514</v>
      </c>
    </row>
    <row r="435" spans="1:22" ht="30" x14ac:dyDescent="0.25">
      <c r="A435" t="s">
        <v>1460</v>
      </c>
      <c r="B435" s="1" t="s">
        <v>1465</v>
      </c>
      <c r="C435" s="1" t="s">
        <v>1345</v>
      </c>
      <c r="D435" s="1" t="s">
        <v>1288</v>
      </c>
      <c r="E435" s="1" t="s">
        <v>1410</v>
      </c>
      <c r="F435" t="s">
        <v>1516</v>
      </c>
      <c r="G435" t="s">
        <v>1552</v>
      </c>
      <c r="H435" t="s">
        <v>381</v>
      </c>
      <c r="I435" t="s">
        <v>1285</v>
      </c>
      <c r="J435" t="s">
        <v>1170</v>
      </c>
      <c r="K435" t="s">
        <v>1553</v>
      </c>
      <c r="L435" t="s">
        <v>1554</v>
      </c>
      <c r="M435" t="s">
        <v>1325</v>
      </c>
      <c r="N435">
        <v>211000</v>
      </c>
      <c r="O435" s="1" t="s">
        <v>1290</v>
      </c>
      <c r="P435" t="s">
        <v>1392</v>
      </c>
      <c r="Q435" t="s">
        <v>1294</v>
      </c>
      <c r="S435" t="s">
        <v>1294</v>
      </c>
      <c r="T435" t="s">
        <v>1296</v>
      </c>
      <c r="U435">
        <v>68</v>
      </c>
      <c r="V435" t="s">
        <v>1555</v>
      </c>
    </row>
    <row r="436" spans="1:22" ht="30" x14ac:dyDescent="0.25">
      <c r="A436" t="s">
        <v>1460</v>
      </c>
      <c r="B436" s="1" t="s">
        <v>1465</v>
      </c>
      <c r="C436" s="1" t="s">
        <v>1320</v>
      </c>
      <c r="D436" s="1" t="s">
        <v>1288</v>
      </c>
      <c r="E436" s="1" t="s">
        <v>1410</v>
      </c>
      <c r="F436" t="s">
        <v>1694</v>
      </c>
      <c r="G436" t="s">
        <v>1598</v>
      </c>
      <c r="H436" t="s">
        <v>381</v>
      </c>
      <c r="I436" t="s">
        <v>1285</v>
      </c>
      <c r="J436" t="s">
        <v>1170</v>
      </c>
      <c r="K436" t="s">
        <v>1645</v>
      </c>
      <c r="L436" t="s">
        <v>1646</v>
      </c>
      <c r="M436" t="s">
        <v>1325</v>
      </c>
      <c r="N436">
        <v>211000</v>
      </c>
      <c r="O436" s="1" t="s">
        <v>1290</v>
      </c>
      <c r="P436" t="s">
        <v>1392</v>
      </c>
      <c r="Q436" t="s">
        <v>1294</v>
      </c>
      <c r="S436" t="s">
        <v>1294</v>
      </c>
      <c r="T436" t="s">
        <v>1296</v>
      </c>
      <c r="U436">
        <v>624</v>
      </c>
      <c r="V436" t="s">
        <v>1647</v>
      </c>
    </row>
    <row r="437" spans="1:22" ht="30" x14ac:dyDescent="0.25">
      <c r="A437" t="s">
        <v>1460</v>
      </c>
      <c r="B437" s="1" t="s">
        <v>1465</v>
      </c>
      <c r="C437" s="1" t="s">
        <v>1327</v>
      </c>
      <c r="D437" s="1" t="s">
        <v>1288</v>
      </c>
      <c r="E437" s="1" t="s">
        <v>1410</v>
      </c>
      <c r="F437" t="s">
        <v>1743</v>
      </c>
      <c r="G437" t="s">
        <v>1552</v>
      </c>
      <c r="H437" t="s">
        <v>381</v>
      </c>
      <c r="I437" t="s">
        <v>1285</v>
      </c>
      <c r="J437" t="s">
        <v>1170</v>
      </c>
      <c r="K437" t="s">
        <v>1667</v>
      </c>
      <c r="L437" t="s">
        <v>1668</v>
      </c>
      <c r="M437" t="s">
        <v>1325</v>
      </c>
      <c r="N437">
        <v>211000</v>
      </c>
      <c r="O437" s="1" t="s">
        <v>1290</v>
      </c>
      <c r="P437" t="s">
        <v>1392</v>
      </c>
      <c r="Q437" t="s">
        <v>1294</v>
      </c>
      <c r="S437" t="s">
        <v>1294</v>
      </c>
      <c r="T437" t="s">
        <v>1296</v>
      </c>
      <c r="U437">
        <v>143</v>
      </c>
      <c r="V437" t="s">
        <v>1669</v>
      </c>
    </row>
    <row r="438" spans="1:22" ht="30" x14ac:dyDescent="0.25">
      <c r="A438" t="s">
        <v>1460</v>
      </c>
      <c r="B438" s="1" t="s">
        <v>1465</v>
      </c>
      <c r="C438" s="1" t="s">
        <v>1295</v>
      </c>
      <c r="D438" s="1" t="s">
        <v>1288</v>
      </c>
      <c r="E438" s="1" t="s">
        <v>1410</v>
      </c>
      <c r="F438" t="s">
        <v>1744</v>
      </c>
      <c r="G438" t="s">
        <v>1466</v>
      </c>
      <c r="H438" t="s">
        <v>381</v>
      </c>
      <c r="I438" t="s">
        <v>1285</v>
      </c>
      <c r="J438" t="s">
        <v>1170</v>
      </c>
      <c r="K438" t="s">
        <v>1467</v>
      </c>
      <c r="L438" t="s">
        <v>1468</v>
      </c>
      <c r="M438" t="s">
        <v>1325</v>
      </c>
      <c r="N438">
        <v>211000</v>
      </c>
      <c r="O438" s="1" t="s">
        <v>1290</v>
      </c>
      <c r="P438" t="s">
        <v>1392</v>
      </c>
      <c r="Q438" t="s">
        <v>1294</v>
      </c>
      <c r="S438" t="s">
        <v>1294</v>
      </c>
      <c r="T438" t="s">
        <v>1296</v>
      </c>
      <c r="U438">
        <v>202</v>
      </c>
      <c r="V438" t="s">
        <v>1469</v>
      </c>
    </row>
    <row r="439" spans="1:22" ht="30" x14ac:dyDescent="0.25">
      <c r="A439" t="s">
        <v>1460</v>
      </c>
      <c r="B439" s="1" t="s">
        <v>1465</v>
      </c>
      <c r="C439" s="1" t="s">
        <v>1327</v>
      </c>
      <c r="D439" s="1" t="s">
        <v>1288</v>
      </c>
      <c r="E439" s="1" t="s">
        <v>1410</v>
      </c>
      <c r="F439" t="s">
        <v>1748</v>
      </c>
      <c r="G439" t="s">
        <v>1552</v>
      </c>
      <c r="H439" t="s">
        <v>381</v>
      </c>
      <c r="I439" t="s">
        <v>1285</v>
      </c>
      <c r="J439" t="s">
        <v>1170</v>
      </c>
      <c r="K439" t="s">
        <v>1553</v>
      </c>
      <c r="L439" t="s">
        <v>1554</v>
      </c>
      <c r="M439" t="s">
        <v>1325</v>
      </c>
      <c r="N439">
        <v>211000</v>
      </c>
      <c r="O439" s="1" t="s">
        <v>1290</v>
      </c>
      <c r="P439" t="s">
        <v>1392</v>
      </c>
      <c r="Q439" t="s">
        <v>1294</v>
      </c>
      <c r="S439" t="s">
        <v>1294</v>
      </c>
      <c r="T439" t="s">
        <v>1296</v>
      </c>
      <c r="U439">
        <v>440</v>
      </c>
      <c r="V439" t="s">
        <v>1555</v>
      </c>
    </row>
    <row r="440" spans="1:22" ht="30" x14ac:dyDescent="0.25">
      <c r="A440" t="s">
        <v>1460</v>
      </c>
      <c r="B440" s="1" t="s">
        <v>1465</v>
      </c>
      <c r="C440" s="1" t="s">
        <v>1320</v>
      </c>
      <c r="D440" s="1" t="s">
        <v>1288</v>
      </c>
      <c r="E440" s="1" t="s">
        <v>1410</v>
      </c>
      <c r="F440" t="s">
        <v>1667</v>
      </c>
      <c r="G440" t="s">
        <v>1749</v>
      </c>
      <c r="H440" t="s">
        <v>381</v>
      </c>
      <c r="I440" t="s">
        <v>1285</v>
      </c>
      <c r="J440" t="s">
        <v>1170</v>
      </c>
      <c r="K440" t="s">
        <v>1743</v>
      </c>
      <c r="L440" t="s">
        <v>1750</v>
      </c>
      <c r="M440" t="s">
        <v>1325</v>
      </c>
      <c r="N440">
        <v>211000</v>
      </c>
      <c r="O440" s="1" t="s">
        <v>1290</v>
      </c>
      <c r="P440" t="s">
        <v>1392</v>
      </c>
      <c r="Q440" t="s">
        <v>1294</v>
      </c>
      <c r="S440" t="s">
        <v>1294</v>
      </c>
      <c r="T440" t="s">
        <v>1296</v>
      </c>
      <c r="U440">
        <v>71</v>
      </c>
      <c r="V440" t="s">
        <v>1751</v>
      </c>
    </row>
    <row r="441" spans="1:22" ht="30" x14ac:dyDescent="0.25">
      <c r="A441" t="s">
        <v>1460</v>
      </c>
      <c r="B441" s="1" t="s">
        <v>1465</v>
      </c>
      <c r="C441" s="1" t="s">
        <v>1295</v>
      </c>
      <c r="D441" s="1" t="s">
        <v>1288</v>
      </c>
      <c r="E441" s="1" t="s">
        <v>1410</v>
      </c>
      <c r="F441" t="s">
        <v>1752</v>
      </c>
      <c r="G441" t="s">
        <v>1598</v>
      </c>
      <c r="H441" t="s">
        <v>381</v>
      </c>
      <c r="I441" t="s">
        <v>1285</v>
      </c>
      <c r="J441" t="s">
        <v>1170</v>
      </c>
      <c r="K441" t="s">
        <v>1645</v>
      </c>
      <c r="L441" t="s">
        <v>1646</v>
      </c>
      <c r="M441" t="s">
        <v>1325</v>
      </c>
      <c r="N441">
        <v>211000</v>
      </c>
      <c r="O441" s="1" t="s">
        <v>1290</v>
      </c>
      <c r="P441" t="s">
        <v>1392</v>
      </c>
      <c r="Q441" t="s">
        <v>1294</v>
      </c>
      <c r="S441" t="s">
        <v>1294</v>
      </c>
      <c r="T441" t="s">
        <v>1296</v>
      </c>
      <c r="U441">
        <v>108</v>
      </c>
      <c r="V441" t="s">
        <v>1647</v>
      </c>
    </row>
    <row r="442" spans="1:22" ht="30" x14ac:dyDescent="0.25">
      <c r="A442" t="s">
        <v>1460</v>
      </c>
      <c r="B442" s="1" t="s">
        <v>1465</v>
      </c>
      <c r="C442" s="1" t="s">
        <v>1343</v>
      </c>
      <c r="D442" s="1" t="s">
        <v>1288</v>
      </c>
      <c r="E442" s="1" t="s">
        <v>1410</v>
      </c>
      <c r="F442" t="s">
        <v>1759</v>
      </c>
      <c r="G442" t="s">
        <v>1528</v>
      </c>
      <c r="H442" t="s">
        <v>381</v>
      </c>
      <c r="I442" t="s">
        <v>1285</v>
      </c>
      <c r="J442" t="s">
        <v>1170</v>
      </c>
      <c r="K442" t="s">
        <v>1630</v>
      </c>
      <c r="L442" t="s">
        <v>1760</v>
      </c>
      <c r="M442" t="s">
        <v>1325</v>
      </c>
      <c r="N442">
        <v>211000</v>
      </c>
      <c r="O442" s="1" t="s">
        <v>1290</v>
      </c>
      <c r="P442" t="s">
        <v>1392</v>
      </c>
      <c r="Q442" t="s">
        <v>1294</v>
      </c>
      <c r="S442" t="s">
        <v>1294</v>
      </c>
      <c r="T442" t="s">
        <v>1296</v>
      </c>
      <c r="U442">
        <v>869</v>
      </c>
      <c r="V442" t="s">
        <v>1761</v>
      </c>
    </row>
    <row r="443" spans="1:22" ht="30" x14ac:dyDescent="0.25">
      <c r="A443" t="s">
        <v>1460</v>
      </c>
      <c r="B443" s="1" t="s">
        <v>1465</v>
      </c>
      <c r="C443" s="1" t="s">
        <v>1295</v>
      </c>
      <c r="D443" s="1" t="s">
        <v>1288</v>
      </c>
      <c r="E443" s="1" t="s">
        <v>1410</v>
      </c>
      <c r="F443" t="s">
        <v>1762</v>
      </c>
      <c r="G443" t="s">
        <v>1749</v>
      </c>
      <c r="H443" t="s">
        <v>381</v>
      </c>
      <c r="I443" t="s">
        <v>1285</v>
      </c>
      <c r="J443" t="s">
        <v>1170</v>
      </c>
      <c r="K443" t="s">
        <v>1743</v>
      </c>
      <c r="L443" t="s">
        <v>1750</v>
      </c>
      <c r="M443" t="s">
        <v>1325</v>
      </c>
      <c r="N443">
        <v>211000</v>
      </c>
      <c r="O443" s="1" t="s">
        <v>1290</v>
      </c>
      <c r="P443" t="s">
        <v>1392</v>
      </c>
      <c r="Q443" t="s">
        <v>1294</v>
      </c>
      <c r="S443" t="s">
        <v>1294</v>
      </c>
      <c r="T443" t="s">
        <v>1296</v>
      </c>
      <c r="U443">
        <v>30</v>
      </c>
      <c r="V443" t="s">
        <v>1751</v>
      </c>
    </row>
    <row r="444" spans="1:22" ht="30" x14ac:dyDescent="0.25">
      <c r="A444" t="s">
        <v>1460</v>
      </c>
      <c r="B444" s="1" t="s">
        <v>1465</v>
      </c>
      <c r="C444" s="1" t="s">
        <v>1345</v>
      </c>
      <c r="D444" s="1" t="s">
        <v>1288</v>
      </c>
      <c r="E444" s="1" t="s">
        <v>1410</v>
      </c>
      <c r="F444" t="s">
        <v>1467</v>
      </c>
      <c r="G444" t="s">
        <v>1749</v>
      </c>
      <c r="H444" t="s">
        <v>381</v>
      </c>
      <c r="I444" t="s">
        <v>1285</v>
      </c>
      <c r="J444" t="s">
        <v>1170</v>
      </c>
      <c r="K444" t="s">
        <v>1743</v>
      </c>
      <c r="L444" t="s">
        <v>1750</v>
      </c>
      <c r="M444" t="s">
        <v>1325</v>
      </c>
      <c r="N444">
        <v>211000</v>
      </c>
      <c r="O444" s="1" t="s">
        <v>1290</v>
      </c>
      <c r="P444" t="s">
        <v>1392</v>
      </c>
      <c r="Q444" t="s">
        <v>1294</v>
      </c>
      <c r="S444" t="s">
        <v>1294</v>
      </c>
      <c r="T444" t="s">
        <v>1296</v>
      </c>
      <c r="U444">
        <v>59</v>
      </c>
      <c r="V444" t="s">
        <v>1751</v>
      </c>
    </row>
    <row r="445" spans="1:22" ht="30" x14ac:dyDescent="0.25">
      <c r="A445" t="s">
        <v>1460</v>
      </c>
      <c r="B445" s="1" t="s">
        <v>1465</v>
      </c>
      <c r="C445" s="1" t="s">
        <v>1530</v>
      </c>
      <c r="D445" s="1" t="s">
        <v>1288</v>
      </c>
      <c r="E445" s="1" t="s">
        <v>1410</v>
      </c>
      <c r="F445" t="s">
        <v>1763</v>
      </c>
      <c r="G445" t="s">
        <v>1618</v>
      </c>
      <c r="H445" t="s">
        <v>381</v>
      </c>
      <c r="I445" t="s">
        <v>1285</v>
      </c>
      <c r="J445" t="s">
        <v>1170</v>
      </c>
      <c r="K445" t="s">
        <v>1619</v>
      </c>
      <c r="L445" t="s">
        <v>1620</v>
      </c>
      <c r="M445" t="s">
        <v>1325</v>
      </c>
      <c r="N445">
        <v>211000</v>
      </c>
      <c r="O445" s="1" t="s">
        <v>1290</v>
      </c>
      <c r="P445" t="s">
        <v>1392</v>
      </c>
      <c r="Q445" t="s">
        <v>1294</v>
      </c>
      <c r="S445" t="s">
        <v>1294</v>
      </c>
      <c r="T445" t="s">
        <v>1296</v>
      </c>
      <c r="U445">
        <v>236</v>
      </c>
      <c r="V445" t="s">
        <v>1621</v>
      </c>
    </row>
    <row r="446" spans="1:22" ht="30" x14ac:dyDescent="0.25">
      <c r="A446" t="s">
        <v>1460</v>
      </c>
      <c r="B446" s="1" t="s">
        <v>1465</v>
      </c>
      <c r="C446" s="1" t="s">
        <v>1320</v>
      </c>
      <c r="D446" s="1" t="s">
        <v>1288</v>
      </c>
      <c r="E446" s="1" t="s">
        <v>1410</v>
      </c>
      <c r="F446" t="s">
        <v>1764</v>
      </c>
      <c r="G446" t="s">
        <v>1552</v>
      </c>
      <c r="H446" t="s">
        <v>381</v>
      </c>
      <c r="I446" t="s">
        <v>1285</v>
      </c>
      <c r="J446" t="s">
        <v>1170</v>
      </c>
      <c r="K446" t="s">
        <v>1764</v>
      </c>
      <c r="L446" t="s">
        <v>1765</v>
      </c>
      <c r="M446" t="s">
        <v>1325</v>
      </c>
      <c r="N446">
        <v>211000</v>
      </c>
      <c r="O446" s="1" t="s">
        <v>1290</v>
      </c>
      <c r="P446" t="s">
        <v>1392</v>
      </c>
      <c r="Q446" t="s">
        <v>1294</v>
      </c>
      <c r="S446" t="s">
        <v>1294</v>
      </c>
      <c r="T446" t="s">
        <v>1296</v>
      </c>
      <c r="U446">
        <v>446</v>
      </c>
      <c r="V446" t="s">
        <v>1766</v>
      </c>
    </row>
    <row r="447" spans="1:22" ht="30" x14ac:dyDescent="0.25">
      <c r="A447" t="s">
        <v>1460</v>
      </c>
      <c r="B447" s="1" t="s">
        <v>1465</v>
      </c>
      <c r="C447" s="1" t="s">
        <v>1295</v>
      </c>
      <c r="D447" s="1" t="s">
        <v>1288</v>
      </c>
      <c r="E447" s="1" t="s">
        <v>1410</v>
      </c>
      <c r="F447" t="s">
        <v>1512</v>
      </c>
      <c r="G447" t="s">
        <v>1466</v>
      </c>
      <c r="H447" t="s">
        <v>381</v>
      </c>
      <c r="I447" t="s">
        <v>1285</v>
      </c>
      <c r="J447" t="s">
        <v>1170</v>
      </c>
      <c r="K447" t="s">
        <v>1467</v>
      </c>
      <c r="L447" t="s">
        <v>1468</v>
      </c>
      <c r="M447" t="s">
        <v>1325</v>
      </c>
      <c r="N447">
        <v>211000</v>
      </c>
      <c r="O447" s="1" t="s">
        <v>1290</v>
      </c>
      <c r="P447" t="s">
        <v>1392</v>
      </c>
      <c r="Q447" t="s">
        <v>1294</v>
      </c>
      <c r="S447" t="s">
        <v>1294</v>
      </c>
      <c r="T447" t="s">
        <v>1296</v>
      </c>
      <c r="U447">
        <v>68</v>
      </c>
      <c r="V447" t="s">
        <v>1469</v>
      </c>
    </row>
    <row r="448" spans="1:22" ht="30" x14ac:dyDescent="0.25">
      <c r="A448" t="s">
        <v>1460</v>
      </c>
      <c r="B448" s="1" t="s">
        <v>1465</v>
      </c>
      <c r="C448" s="1" t="s">
        <v>1295</v>
      </c>
      <c r="D448" s="1" t="s">
        <v>1288</v>
      </c>
      <c r="E448" s="1" t="s">
        <v>1410</v>
      </c>
      <c r="F448" t="s">
        <v>1857</v>
      </c>
      <c r="G448" t="s">
        <v>1618</v>
      </c>
      <c r="H448" t="s">
        <v>381</v>
      </c>
      <c r="I448" t="s">
        <v>1285</v>
      </c>
      <c r="J448" t="s">
        <v>1170</v>
      </c>
      <c r="K448" t="s">
        <v>1619</v>
      </c>
      <c r="L448" t="s">
        <v>1620</v>
      </c>
      <c r="M448" t="s">
        <v>1325</v>
      </c>
      <c r="N448">
        <v>211000</v>
      </c>
      <c r="O448" s="1" t="s">
        <v>1290</v>
      </c>
      <c r="P448" t="s">
        <v>1392</v>
      </c>
      <c r="Q448" t="s">
        <v>1294</v>
      </c>
      <c r="S448" t="s">
        <v>1294</v>
      </c>
      <c r="T448" t="s">
        <v>1296</v>
      </c>
      <c r="U448">
        <v>397</v>
      </c>
      <c r="V448" t="s">
        <v>1621</v>
      </c>
    </row>
    <row r="449" spans="1:22" ht="30" x14ac:dyDescent="0.25">
      <c r="A449" t="s">
        <v>1460</v>
      </c>
      <c r="B449" s="1" t="s">
        <v>1465</v>
      </c>
      <c r="C449" s="1" t="s">
        <v>1295</v>
      </c>
      <c r="D449" s="1" t="s">
        <v>1288</v>
      </c>
      <c r="E449" s="1" t="s">
        <v>1410</v>
      </c>
      <c r="F449" t="s">
        <v>1862</v>
      </c>
      <c r="G449" t="s">
        <v>1511</v>
      </c>
      <c r="H449" t="s">
        <v>381</v>
      </c>
      <c r="I449" t="s">
        <v>1285</v>
      </c>
      <c r="J449" t="s">
        <v>1170</v>
      </c>
      <c r="K449" t="s">
        <v>1512</v>
      </c>
      <c r="L449" t="s">
        <v>1513</v>
      </c>
      <c r="M449" t="s">
        <v>1325</v>
      </c>
      <c r="N449">
        <v>211000</v>
      </c>
      <c r="O449" s="1" t="s">
        <v>1290</v>
      </c>
      <c r="P449" t="s">
        <v>1392</v>
      </c>
      <c r="Q449" t="s">
        <v>1294</v>
      </c>
      <c r="S449" t="s">
        <v>1294</v>
      </c>
      <c r="T449" t="s">
        <v>1296</v>
      </c>
      <c r="U449">
        <v>155</v>
      </c>
      <c r="V449" t="s">
        <v>1514</v>
      </c>
    </row>
    <row r="450" spans="1:22" ht="30" x14ac:dyDescent="0.25">
      <c r="A450" t="s">
        <v>1460</v>
      </c>
      <c r="B450" s="1" t="s">
        <v>1465</v>
      </c>
      <c r="C450" s="1" t="s">
        <v>1320</v>
      </c>
      <c r="D450" s="1" t="s">
        <v>1288</v>
      </c>
      <c r="E450" s="1" t="s">
        <v>1410</v>
      </c>
      <c r="F450" t="s">
        <v>1867</v>
      </c>
      <c r="G450" t="s">
        <v>1528</v>
      </c>
      <c r="H450" t="s">
        <v>381</v>
      </c>
      <c r="I450" t="s">
        <v>1285</v>
      </c>
      <c r="J450" t="s">
        <v>1170</v>
      </c>
      <c r="K450" t="s">
        <v>1527</v>
      </c>
      <c r="L450" t="s">
        <v>1529</v>
      </c>
      <c r="M450" t="s">
        <v>1325</v>
      </c>
      <c r="N450">
        <v>211000</v>
      </c>
      <c r="O450" s="1" t="s">
        <v>1290</v>
      </c>
      <c r="P450" t="s">
        <v>1392</v>
      </c>
      <c r="Q450" t="s">
        <v>1294</v>
      </c>
      <c r="S450" t="s">
        <v>1294</v>
      </c>
      <c r="T450" t="s">
        <v>1296</v>
      </c>
      <c r="U450">
        <v>349</v>
      </c>
      <c r="V450" t="s">
        <v>1531</v>
      </c>
    </row>
    <row r="451" spans="1:22" ht="30" x14ac:dyDescent="0.25">
      <c r="A451" t="s">
        <v>1460</v>
      </c>
      <c r="B451" s="1" t="s">
        <v>1465</v>
      </c>
      <c r="C451" s="1" t="s">
        <v>1320</v>
      </c>
      <c r="D451" s="1" t="s">
        <v>1288</v>
      </c>
      <c r="E451" s="1" t="s">
        <v>1410</v>
      </c>
      <c r="F451" t="s">
        <v>1645</v>
      </c>
      <c r="G451" t="s">
        <v>1598</v>
      </c>
      <c r="H451" t="s">
        <v>381</v>
      </c>
      <c r="I451" t="s">
        <v>1285</v>
      </c>
      <c r="J451" t="s">
        <v>1170</v>
      </c>
      <c r="K451" t="s">
        <v>1645</v>
      </c>
      <c r="L451" t="s">
        <v>1646</v>
      </c>
      <c r="M451" t="s">
        <v>1325</v>
      </c>
      <c r="N451">
        <v>211000</v>
      </c>
      <c r="O451" s="1" t="s">
        <v>1290</v>
      </c>
      <c r="P451" t="s">
        <v>1392</v>
      </c>
      <c r="Q451" t="s">
        <v>1294</v>
      </c>
      <c r="S451" t="s">
        <v>1294</v>
      </c>
      <c r="T451" t="s">
        <v>1296</v>
      </c>
      <c r="U451">
        <v>49</v>
      </c>
      <c r="V451" t="s">
        <v>1647</v>
      </c>
    </row>
    <row r="452" spans="1:22" ht="30" x14ac:dyDescent="0.25">
      <c r="A452" t="s">
        <v>1460</v>
      </c>
      <c r="B452" s="1" t="s">
        <v>1465</v>
      </c>
      <c r="C452" s="1" t="s">
        <v>1327</v>
      </c>
      <c r="D452" s="1" t="s">
        <v>1288</v>
      </c>
      <c r="E452" s="1" t="s">
        <v>1410</v>
      </c>
      <c r="F452" t="s">
        <v>1870</v>
      </c>
      <c r="G452" t="s">
        <v>1466</v>
      </c>
      <c r="H452" t="s">
        <v>381</v>
      </c>
      <c r="I452" t="s">
        <v>1285</v>
      </c>
      <c r="J452" t="s">
        <v>1170</v>
      </c>
      <c r="K452" t="s">
        <v>1467</v>
      </c>
      <c r="L452" t="s">
        <v>1468</v>
      </c>
      <c r="M452" t="s">
        <v>1325</v>
      </c>
      <c r="N452">
        <v>211000</v>
      </c>
      <c r="O452" s="1" t="s">
        <v>1290</v>
      </c>
      <c r="P452" t="s">
        <v>1392</v>
      </c>
      <c r="Q452" t="s">
        <v>1294</v>
      </c>
      <c r="S452" t="s">
        <v>1294</v>
      </c>
      <c r="T452" t="s">
        <v>1296</v>
      </c>
      <c r="U452">
        <v>139</v>
      </c>
      <c r="V452" t="s">
        <v>1469</v>
      </c>
    </row>
    <row r="453" spans="1:22" x14ac:dyDescent="0.25">
      <c r="A453" t="s">
        <v>1281</v>
      </c>
      <c r="B453" s="1" t="s">
        <v>1414</v>
      </c>
      <c r="C453" s="1" t="s">
        <v>1345</v>
      </c>
      <c r="D453" s="1" t="s">
        <v>1288</v>
      </c>
      <c r="E453" s="1" t="s">
        <v>1350</v>
      </c>
      <c r="F453" t="s">
        <v>1413</v>
      </c>
      <c r="G453" t="s">
        <v>1415</v>
      </c>
      <c r="H453" t="s">
        <v>381</v>
      </c>
      <c r="I453" t="s">
        <v>1285</v>
      </c>
      <c r="J453" t="s">
        <v>1170</v>
      </c>
      <c r="K453" t="s">
        <v>1192</v>
      </c>
      <c r="L453" t="s">
        <v>1416</v>
      </c>
      <c r="M453" t="s">
        <v>1325</v>
      </c>
      <c r="N453" t="s">
        <v>1289</v>
      </c>
      <c r="O453" s="1" t="s">
        <v>1305</v>
      </c>
      <c r="P453" t="s">
        <v>1291</v>
      </c>
      <c r="Q453" t="s">
        <v>1294</v>
      </c>
      <c r="S453" t="s">
        <v>1294</v>
      </c>
      <c r="T453" t="s">
        <v>1296</v>
      </c>
      <c r="U453">
        <v>0</v>
      </c>
      <c r="V453" t="s">
        <v>1414</v>
      </c>
    </row>
    <row r="454" spans="1:22" x14ac:dyDescent="0.25">
      <c r="A454" t="s">
        <v>1281</v>
      </c>
      <c r="B454" s="1" t="s">
        <v>1414</v>
      </c>
      <c r="C454" s="1" t="s">
        <v>1327</v>
      </c>
      <c r="D454" s="1" t="s">
        <v>1288</v>
      </c>
      <c r="E454" s="1" t="s">
        <v>1350</v>
      </c>
      <c r="F454" t="s">
        <v>1417</v>
      </c>
      <c r="G454" t="s">
        <v>1415</v>
      </c>
      <c r="H454" t="s">
        <v>381</v>
      </c>
      <c r="I454" t="s">
        <v>1285</v>
      </c>
      <c r="J454" t="s">
        <v>1170</v>
      </c>
      <c r="K454" t="s">
        <v>1192</v>
      </c>
      <c r="L454" t="s">
        <v>1416</v>
      </c>
      <c r="M454" t="s">
        <v>1325</v>
      </c>
      <c r="N454" t="s">
        <v>1289</v>
      </c>
      <c r="O454" s="1" t="s">
        <v>1305</v>
      </c>
      <c r="P454" t="s">
        <v>1291</v>
      </c>
      <c r="Q454" t="s">
        <v>1294</v>
      </c>
      <c r="S454" t="s">
        <v>1294</v>
      </c>
      <c r="T454" t="s">
        <v>1296</v>
      </c>
      <c r="U454">
        <v>0</v>
      </c>
      <c r="V454" t="s">
        <v>1414</v>
      </c>
    </row>
    <row r="455" spans="1:22" x14ac:dyDescent="0.25">
      <c r="A455" t="s">
        <v>1281</v>
      </c>
      <c r="B455" s="1" t="s">
        <v>1414</v>
      </c>
      <c r="C455" s="1" t="s">
        <v>1345</v>
      </c>
      <c r="D455" s="1" t="s">
        <v>1288</v>
      </c>
      <c r="E455" s="1" t="s">
        <v>1350</v>
      </c>
      <c r="F455" t="s">
        <v>1431</v>
      </c>
      <c r="G455" t="s">
        <v>1415</v>
      </c>
      <c r="H455" t="s">
        <v>381</v>
      </c>
      <c r="I455" t="s">
        <v>1285</v>
      </c>
      <c r="J455" t="s">
        <v>1170</v>
      </c>
      <c r="K455" t="s">
        <v>1192</v>
      </c>
      <c r="L455" t="s">
        <v>1416</v>
      </c>
      <c r="M455" t="s">
        <v>1325</v>
      </c>
      <c r="N455" t="s">
        <v>1289</v>
      </c>
      <c r="O455" s="1" t="s">
        <v>1305</v>
      </c>
      <c r="P455" t="s">
        <v>1291</v>
      </c>
      <c r="Q455" t="s">
        <v>1294</v>
      </c>
      <c r="S455" t="s">
        <v>1294</v>
      </c>
      <c r="T455" t="s">
        <v>1296</v>
      </c>
      <c r="U455">
        <v>0</v>
      </c>
      <c r="V455" t="s">
        <v>1414</v>
      </c>
    </row>
    <row r="456" spans="1:22" x14ac:dyDescent="0.25">
      <c r="A456" t="s">
        <v>1281</v>
      </c>
      <c r="B456" s="1" t="s">
        <v>1414</v>
      </c>
      <c r="C456" s="1" t="s">
        <v>1345</v>
      </c>
      <c r="D456" s="1" t="s">
        <v>1288</v>
      </c>
      <c r="E456" s="1" t="s">
        <v>1350</v>
      </c>
      <c r="F456" t="s">
        <v>1433</v>
      </c>
      <c r="G456" t="s">
        <v>1415</v>
      </c>
      <c r="H456" t="s">
        <v>381</v>
      </c>
      <c r="I456" t="s">
        <v>1285</v>
      </c>
      <c r="J456" t="s">
        <v>1170</v>
      </c>
      <c r="K456" t="s">
        <v>1192</v>
      </c>
      <c r="L456" t="s">
        <v>1416</v>
      </c>
      <c r="M456" t="s">
        <v>1325</v>
      </c>
      <c r="N456" t="s">
        <v>1289</v>
      </c>
      <c r="O456" s="1" t="s">
        <v>1305</v>
      </c>
      <c r="P456" t="s">
        <v>1291</v>
      </c>
      <c r="Q456" t="s">
        <v>1294</v>
      </c>
      <c r="S456" t="s">
        <v>1294</v>
      </c>
      <c r="T456" t="s">
        <v>1296</v>
      </c>
      <c r="U456">
        <v>0</v>
      </c>
      <c r="V456" t="s">
        <v>1414</v>
      </c>
    </row>
    <row r="457" spans="1:22" x14ac:dyDescent="0.25">
      <c r="A457" t="s">
        <v>1460</v>
      </c>
      <c r="B457" s="1" t="s">
        <v>1414</v>
      </c>
      <c r="C457" s="1" t="s">
        <v>1345</v>
      </c>
      <c r="D457" s="1" t="s">
        <v>1288</v>
      </c>
      <c r="E457" s="1" t="s">
        <v>1350</v>
      </c>
      <c r="F457" t="s">
        <v>1485</v>
      </c>
      <c r="G457" t="s">
        <v>1415</v>
      </c>
      <c r="H457" t="s">
        <v>381</v>
      </c>
      <c r="I457" t="s">
        <v>1285</v>
      </c>
      <c r="J457" t="s">
        <v>1170</v>
      </c>
      <c r="K457" t="s">
        <v>1192</v>
      </c>
      <c r="L457" t="s">
        <v>1416</v>
      </c>
      <c r="M457" t="s">
        <v>1325</v>
      </c>
      <c r="N457" t="s">
        <v>1289</v>
      </c>
      <c r="O457" s="1" t="s">
        <v>1305</v>
      </c>
      <c r="P457" t="s">
        <v>1291</v>
      </c>
      <c r="Q457" t="s">
        <v>1294</v>
      </c>
      <c r="S457" t="s">
        <v>1294</v>
      </c>
      <c r="T457" t="s">
        <v>1486</v>
      </c>
      <c r="U457">
        <v>0</v>
      </c>
      <c r="V457" t="s">
        <v>1414</v>
      </c>
    </row>
    <row r="458" spans="1:22" x14ac:dyDescent="0.25">
      <c r="A458" t="s">
        <v>1460</v>
      </c>
      <c r="B458" s="1" t="s">
        <v>1414</v>
      </c>
      <c r="C458" s="1" t="s">
        <v>1327</v>
      </c>
      <c r="D458" s="1" t="s">
        <v>1288</v>
      </c>
      <c r="E458" s="1" t="s">
        <v>1319</v>
      </c>
      <c r="F458" t="s">
        <v>1602</v>
      </c>
      <c r="G458" t="s">
        <v>1415</v>
      </c>
      <c r="H458" t="s">
        <v>381</v>
      </c>
      <c r="I458" t="s">
        <v>1285</v>
      </c>
      <c r="J458" t="s">
        <v>1170</v>
      </c>
      <c r="K458" t="s">
        <v>1192</v>
      </c>
      <c r="L458" t="s">
        <v>1416</v>
      </c>
      <c r="M458" t="s">
        <v>1325</v>
      </c>
      <c r="N458" t="s">
        <v>1289</v>
      </c>
      <c r="O458" s="1" t="s">
        <v>1305</v>
      </c>
      <c r="P458" t="s">
        <v>1291</v>
      </c>
      <c r="Q458" t="s">
        <v>1294</v>
      </c>
      <c r="S458" t="s">
        <v>1294</v>
      </c>
      <c r="T458" t="s">
        <v>1603</v>
      </c>
      <c r="U458">
        <v>0</v>
      </c>
      <c r="V458" t="s">
        <v>1414</v>
      </c>
    </row>
    <row r="459" spans="1:22" x14ac:dyDescent="0.25">
      <c r="A459" t="s">
        <v>1460</v>
      </c>
      <c r="B459" s="1" t="s">
        <v>1414</v>
      </c>
      <c r="C459" s="1" t="s">
        <v>1345</v>
      </c>
      <c r="D459" s="1" t="s">
        <v>1288</v>
      </c>
      <c r="E459" s="1" t="s">
        <v>1350</v>
      </c>
      <c r="F459" t="s">
        <v>1652</v>
      </c>
      <c r="G459" t="s">
        <v>1415</v>
      </c>
      <c r="H459" t="s">
        <v>381</v>
      </c>
      <c r="I459" t="s">
        <v>1285</v>
      </c>
      <c r="J459" t="s">
        <v>1170</v>
      </c>
      <c r="K459" t="s">
        <v>1192</v>
      </c>
      <c r="L459" t="s">
        <v>1416</v>
      </c>
      <c r="M459" t="s">
        <v>1325</v>
      </c>
      <c r="N459" t="s">
        <v>1289</v>
      </c>
      <c r="O459" s="1" t="s">
        <v>1305</v>
      </c>
      <c r="P459" t="s">
        <v>1291</v>
      </c>
      <c r="Q459" t="s">
        <v>1294</v>
      </c>
      <c r="S459" t="s">
        <v>1294</v>
      </c>
      <c r="T459" t="s">
        <v>1653</v>
      </c>
      <c r="U459">
        <v>0</v>
      </c>
      <c r="V459" t="s">
        <v>1414</v>
      </c>
    </row>
    <row r="460" spans="1:22" x14ac:dyDescent="0.25">
      <c r="A460" t="s">
        <v>1460</v>
      </c>
      <c r="B460" s="1" t="s">
        <v>1414</v>
      </c>
      <c r="C460" s="1" t="s">
        <v>1327</v>
      </c>
      <c r="D460" s="1" t="s">
        <v>1288</v>
      </c>
      <c r="E460" s="1" t="s">
        <v>1350</v>
      </c>
      <c r="F460" t="s">
        <v>1791</v>
      </c>
      <c r="G460" t="s">
        <v>1415</v>
      </c>
      <c r="H460" t="s">
        <v>381</v>
      </c>
      <c r="I460" t="s">
        <v>1285</v>
      </c>
      <c r="J460" t="s">
        <v>1170</v>
      </c>
      <c r="K460" t="s">
        <v>1192</v>
      </c>
      <c r="L460" t="s">
        <v>1416</v>
      </c>
      <c r="M460" t="s">
        <v>1325</v>
      </c>
      <c r="N460" t="s">
        <v>1289</v>
      </c>
      <c r="O460" s="1" t="s">
        <v>1305</v>
      </c>
      <c r="P460" t="s">
        <v>1291</v>
      </c>
      <c r="Q460" t="s">
        <v>1294</v>
      </c>
      <c r="S460" t="s">
        <v>1294</v>
      </c>
      <c r="T460" t="s">
        <v>1792</v>
      </c>
      <c r="U460">
        <v>0</v>
      </c>
      <c r="V460" t="s">
        <v>1414</v>
      </c>
    </row>
    <row r="461" spans="1:22" x14ac:dyDescent="0.25">
      <c r="A461" t="s">
        <v>1460</v>
      </c>
      <c r="B461" s="1" t="s">
        <v>1414</v>
      </c>
      <c r="C461" s="1" t="s">
        <v>1327</v>
      </c>
      <c r="D461" s="1" t="s">
        <v>1288</v>
      </c>
      <c r="E461" s="1" t="s">
        <v>1350</v>
      </c>
      <c r="F461" t="s">
        <v>1793</v>
      </c>
      <c r="G461" t="s">
        <v>1415</v>
      </c>
      <c r="H461" t="s">
        <v>381</v>
      </c>
      <c r="I461" t="s">
        <v>1285</v>
      </c>
      <c r="J461" t="s">
        <v>1170</v>
      </c>
      <c r="K461" t="s">
        <v>1192</v>
      </c>
      <c r="L461" t="s">
        <v>1416</v>
      </c>
      <c r="M461" t="s">
        <v>1325</v>
      </c>
      <c r="N461" t="s">
        <v>1289</v>
      </c>
      <c r="O461" s="1" t="s">
        <v>1305</v>
      </c>
      <c r="P461" t="s">
        <v>1291</v>
      </c>
      <c r="Q461" t="s">
        <v>1294</v>
      </c>
      <c r="S461" t="s">
        <v>1294</v>
      </c>
      <c r="T461" t="s">
        <v>1794</v>
      </c>
      <c r="U461">
        <v>0</v>
      </c>
      <c r="V461" t="s">
        <v>1414</v>
      </c>
    </row>
    <row r="462" spans="1:22" x14ac:dyDescent="0.25">
      <c r="A462" t="s">
        <v>1460</v>
      </c>
      <c r="B462" s="1" t="s">
        <v>1414</v>
      </c>
      <c r="C462" s="1" t="s">
        <v>1320</v>
      </c>
      <c r="D462" s="1" t="s">
        <v>1288</v>
      </c>
      <c r="E462" s="1" t="s">
        <v>1350</v>
      </c>
      <c r="F462" t="s">
        <v>1801</v>
      </c>
      <c r="G462" t="s">
        <v>1415</v>
      </c>
      <c r="H462" t="s">
        <v>381</v>
      </c>
      <c r="I462" t="s">
        <v>1285</v>
      </c>
      <c r="J462" t="s">
        <v>1170</v>
      </c>
      <c r="K462" t="s">
        <v>1192</v>
      </c>
      <c r="L462" t="s">
        <v>1416</v>
      </c>
      <c r="M462" t="s">
        <v>1325</v>
      </c>
      <c r="N462" t="s">
        <v>1289</v>
      </c>
      <c r="O462" s="1" t="s">
        <v>1305</v>
      </c>
      <c r="P462" t="s">
        <v>1291</v>
      </c>
      <c r="Q462" t="s">
        <v>1294</v>
      </c>
      <c r="S462" t="s">
        <v>1294</v>
      </c>
      <c r="T462" t="s">
        <v>1802</v>
      </c>
      <c r="U462">
        <v>0</v>
      </c>
      <c r="V462" t="s">
        <v>1414</v>
      </c>
    </row>
    <row r="463" spans="1:22" x14ac:dyDescent="0.25">
      <c r="A463" t="s">
        <v>1460</v>
      </c>
      <c r="B463" s="1" t="s">
        <v>1414</v>
      </c>
      <c r="C463" s="1" t="s">
        <v>1327</v>
      </c>
      <c r="D463" s="1" t="s">
        <v>1288</v>
      </c>
      <c r="E463" s="1" t="s">
        <v>1350</v>
      </c>
      <c r="F463" t="s">
        <v>1803</v>
      </c>
      <c r="G463" t="s">
        <v>1415</v>
      </c>
      <c r="H463" t="s">
        <v>381</v>
      </c>
      <c r="I463" t="s">
        <v>1285</v>
      </c>
      <c r="J463" t="s">
        <v>1170</v>
      </c>
      <c r="K463" t="s">
        <v>1192</v>
      </c>
      <c r="L463" t="s">
        <v>1416</v>
      </c>
      <c r="M463" t="s">
        <v>1325</v>
      </c>
      <c r="N463" t="s">
        <v>1289</v>
      </c>
      <c r="O463" s="1" t="s">
        <v>1305</v>
      </c>
      <c r="P463" t="s">
        <v>1291</v>
      </c>
      <c r="Q463" t="s">
        <v>1294</v>
      </c>
      <c r="S463" t="s">
        <v>1294</v>
      </c>
      <c r="T463" t="s">
        <v>1804</v>
      </c>
      <c r="U463">
        <v>0</v>
      </c>
      <c r="V463" t="s">
        <v>1414</v>
      </c>
    </row>
    <row r="464" spans="1:22" x14ac:dyDescent="0.25">
      <c r="A464" t="s">
        <v>1871</v>
      </c>
      <c r="B464" s="1" t="s">
        <v>1414</v>
      </c>
      <c r="C464" s="1" t="s">
        <v>1530</v>
      </c>
      <c r="D464" s="1" t="s">
        <v>1288</v>
      </c>
      <c r="E464" s="1" t="s">
        <v>1350</v>
      </c>
      <c r="F464" t="s">
        <v>2941</v>
      </c>
      <c r="G464" t="s">
        <v>1415</v>
      </c>
      <c r="H464" t="s">
        <v>381</v>
      </c>
      <c r="I464" t="s">
        <v>1285</v>
      </c>
      <c r="J464" t="s">
        <v>1170</v>
      </c>
      <c r="K464" t="s">
        <v>1192</v>
      </c>
      <c r="L464" t="s">
        <v>1416</v>
      </c>
      <c r="M464" t="s">
        <v>1325</v>
      </c>
      <c r="N464" t="s">
        <v>1289</v>
      </c>
      <c r="O464" s="1" t="s">
        <v>1305</v>
      </c>
      <c r="P464" t="s">
        <v>1291</v>
      </c>
      <c r="Q464" t="s">
        <v>1294</v>
      </c>
      <c r="S464" t="s">
        <v>1294</v>
      </c>
      <c r="T464" t="s">
        <v>2942</v>
      </c>
      <c r="U464">
        <v>0</v>
      </c>
      <c r="V464" t="s">
        <v>1414</v>
      </c>
    </row>
    <row r="465" spans="1:22" x14ac:dyDescent="0.25">
      <c r="A465" t="s">
        <v>1871</v>
      </c>
      <c r="B465" s="1" t="s">
        <v>1414</v>
      </c>
      <c r="C465" s="1" t="s">
        <v>1530</v>
      </c>
      <c r="D465" s="1" t="s">
        <v>1288</v>
      </c>
      <c r="E465" s="1" t="s">
        <v>1350</v>
      </c>
      <c r="F465" t="s">
        <v>2943</v>
      </c>
      <c r="G465" t="s">
        <v>1415</v>
      </c>
      <c r="H465" t="s">
        <v>381</v>
      </c>
      <c r="I465" t="s">
        <v>1285</v>
      </c>
      <c r="J465" t="s">
        <v>1170</v>
      </c>
      <c r="K465" t="s">
        <v>1192</v>
      </c>
      <c r="L465" t="s">
        <v>1416</v>
      </c>
      <c r="M465" t="s">
        <v>1325</v>
      </c>
      <c r="N465" t="s">
        <v>1289</v>
      </c>
      <c r="O465" s="1" t="s">
        <v>1305</v>
      </c>
      <c r="P465" t="s">
        <v>1291</v>
      </c>
      <c r="Q465" t="s">
        <v>1294</v>
      </c>
      <c r="S465" t="s">
        <v>1294</v>
      </c>
      <c r="T465" t="s">
        <v>2944</v>
      </c>
      <c r="U465">
        <v>0</v>
      </c>
      <c r="V465" t="s">
        <v>1414</v>
      </c>
    </row>
    <row r="466" spans="1:22" x14ac:dyDescent="0.25">
      <c r="A466" t="s">
        <v>1871</v>
      </c>
      <c r="B466" s="1" t="s">
        <v>1414</v>
      </c>
      <c r="C466" s="1" t="s">
        <v>1530</v>
      </c>
      <c r="D466" s="1" t="s">
        <v>1288</v>
      </c>
      <c r="E466" s="1" t="s">
        <v>1350</v>
      </c>
      <c r="F466" t="s">
        <v>3185</v>
      </c>
      <c r="G466" t="s">
        <v>1415</v>
      </c>
      <c r="H466" t="s">
        <v>381</v>
      </c>
      <c r="I466" t="s">
        <v>1285</v>
      </c>
      <c r="J466" t="s">
        <v>1170</v>
      </c>
      <c r="K466" t="s">
        <v>1192</v>
      </c>
      <c r="L466" t="s">
        <v>1416</v>
      </c>
      <c r="M466" t="s">
        <v>1325</v>
      </c>
      <c r="N466" t="s">
        <v>1289</v>
      </c>
      <c r="O466" s="1" t="s">
        <v>1305</v>
      </c>
      <c r="P466" t="s">
        <v>1291</v>
      </c>
      <c r="Q466" t="s">
        <v>1294</v>
      </c>
      <c r="S466" t="s">
        <v>1294</v>
      </c>
      <c r="T466" t="s">
        <v>3186</v>
      </c>
      <c r="U466">
        <v>0</v>
      </c>
      <c r="V466" t="s">
        <v>1414</v>
      </c>
    </row>
    <row r="467" spans="1:22" x14ac:dyDescent="0.25">
      <c r="A467" t="s">
        <v>1871</v>
      </c>
      <c r="B467" s="1" t="s">
        <v>1414</v>
      </c>
      <c r="C467" s="1" t="s">
        <v>1530</v>
      </c>
      <c r="D467" s="1" t="s">
        <v>1288</v>
      </c>
      <c r="E467" s="1" t="s">
        <v>1350</v>
      </c>
      <c r="F467" t="s">
        <v>3219</v>
      </c>
      <c r="G467" t="s">
        <v>1415</v>
      </c>
      <c r="H467" t="s">
        <v>381</v>
      </c>
      <c r="I467" t="s">
        <v>1285</v>
      </c>
      <c r="J467" t="s">
        <v>1170</v>
      </c>
      <c r="K467" t="s">
        <v>1192</v>
      </c>
      <c r="L467" t="s">
        <v>1416</v>
      </c>
      <c r="M467" t="s">
        <v>1325</v>
      </c>
      <c r="N467" t="s">
        <v>1289</v>
      </c>
      <c r="O467" s="1" t="s">
        <v>1305</v>
      </c>
      <c r="P467" t="s">
        <v>1291</v>
      </c>
      <c r="Q467" t="s">
        <v>1294</v>
      </c>
      <c r="S467" t="s">
        <v>1294</v>
      </c>
      <c r="T467" t="s">
        <v>3220</v>
      </c>
      <c r="U467">
        <v>0</v>
      </c>
      <c r="V467" t="s">
        <v>1414</v>
      </c>
    </row>
    <row r="468" spans="1:22" x14ac:dyDescent="0.25">
      <c r="A468" t="s">
        <v>1871</v>
      </c>
      <c r="B468" s="1" t="s">
        <v>1414</v>
      </c>
      <c r="C468" s="1" t="s">
        <v>1530</v>
      </c>
      <c r="D468" s="1" t="s">
        <v>1288</v>
      </c>
      <c r="E468" s="1" t="s">
        <v>1350</v>
      </c>
      <c r="F468" t="s">
        <v>3284</v>
      </c>
      <c r="G468" t="s">
        <v>1415</v>
      </c>
      <c r="H468" t="s">
        <v>381</v>
      </c>
      <c r="I468" t="s">
        <v>1285</v>
      </c>
      <c r="J468" t="s">
        <v>1170</v>
      </c>
      <c r="K468" t="s">
        <v>1192</v>
      </c>
      <c r="L468" t="s">
        <v>1416</v>
      </c>
      <c r="M468" t="s">
        <v>1325</v>
      </c>
      <c r="N468" t="s">
        <v>1289</v>
      </c>
      <c r="O468" s="1" t="s">
        <v>1305</v>
      </c>
      <c r="P468" t="s">
        <v>1291</v>
      </c>
      <c r="Q468" t="s">
        <v>1294</v>
      </c>
      <c r="S468" t="s">
        <v>1294</v>
      </c>
      <c r="T468" t="s">
        <v>3285</v>
      </c>
      <c r="U468">
        <v>0</v>
      </c>
      <c r="V468" t="s">
        <v>1414</v>
      </c>
    </row>
    <row r="469" spans="1:22" x14ac:dyDescent="0.25">
      <c r="A469" t="s">
        <v>1871</v>
      </c>
      <c r="B469" s="1" t="s">
        <v>1414</v>
      </c>
      <c r="C469" s="1" t="s">
        <v>1530</v>
      </c>
      <c r="D469" s="1" t="s">
        <v>1288</v>
      </c>
      <c r="E469" s="1" t="s">
        <v>1350</v>
      </c>
      <c r="F469" t="s">
        <v>3290</v>
      </c>
      <c r="G469" t="s">
        <v>1415</v>
      </c>
      <c r="H469" t="s">
        <v>381</v>
      </c>
      <c r="I469" t="s">
        <v>1285</v>
      </c>
      <c r="J469" t="s">
        <v>1170</v>
      </c>
      <c r="K469" t="s">
        <v>1192</v>
      </c>
      <c r="L469" t="s">
        <v>1416</v>
      </c>
      <c r="M469" t="s">
        <v>1325</v>
      </c>
      <c r="N469" t="s">
        <v>1289</v>
      </c>
      <c r="O469" s="1" t="s">
        <v>1305</v>
      </c>
      <c r="P469" t="s">
        <v>1291</v>
      </c>
      <c r="Q469" t="s">
        <v>1294</v>
      </c>
      <c r="S469" t="s">
        <v>1294</v>
      </c>
      <c r="T469" t="s">
        <v>3291</v>
      </c>
      <c r="U469">
        <v>0</v>
      </c>
      <c r="V469" t="s">
        <v>1414</v>
      </c>
    </row>
    <row r="470" spans="1:22" x14ac:dyDescent="0.25">
      <c r="A470" t="s">
        <v>1281</v>
      </c>
      <c r="B470" s="1" t="s">
        <v>1426</v>
      </c>
      <c r="C470" s="1" t="s">
        <v>1295</v>
      </c>
      <c r="D470" s="1" t="s">
        <v>1288</v>
      </c>
      <c r="E470" s="1" t="s">
        <v>1350</v>
      </c>
      <c r="F470" t="s">
        <v>1425</v>
      </c>
      <c r="G470" t="s">
        <v>1427</v>
      </c>
      <c r="H470" t="s">
        <v>381</v>
      </c>
      <c r="I470" t="s">
        <v>1285</v>
      </c>
      <c r="J470" t="s">
        <v>1170</v>
      </c>
      <c r="K470" t="s">
        <v>1428</v>
      </c>
      <c r="L470" t="s">
        <v>1429</v>
      </c>
      <c r="M470" t="s">
        <v>1325</v>
      </c>
      <c r="N470" t="s">
        <v>1289</v>
      </c>
      <c r="O470" s="1" t="s">
        <v>1305</v>
      </c>
      <c r="P470" t="s">
        <v>1291</v>
      </c>
      <c r="Q470" t="s">
        <v>1294</v>
      </c>
      <c r="S470" t="s">
        <v>1294</v>
      </c>
      <c r="T470" t="s">
        <v>1430</v>
      </c>
      <c r="U470">
        <v>0</v>
      </c>
      <c r="V470" t="s">
        <v>1426</v>
      </c>
    </row>
    <row r="471" spans="1:22" x14ac:dyDescent="0.25">
      <c r="A471" t="s">
        <v>1871</v>
      </c>
      <c r="B471" s="1" t="s">
        <v>1426</v>
      </c>
      <c r="C471" s="1" t="s">
        <v>1530</v>
      </c>
      <c r="D471" s="1" t="s">
        <v>1288</v>
      </c>
      <c r="E471" s="1" t="s">
        <v>1368</v>
      </c>
      <c r="F471" t="s">
        <v>1922</v>
      </c>
      <c r="G471" t="s">
        <v>1427</v>
      </c>
      <c r="H471" t="s">
        <v>381</v>
      </c>
      <c r="I471" t="s">
        <v>1285</v>
      </c>
      <c r="J471" t="s">
        <v>1170</v>
      </c>
      <c r="K471" t="s">
        <v>1428</v>
      </c>
      <c r="L471" t="s">
        <v>1429</v>
      </c>
      <c r="M471" t="s">
        <v>1325</v>
      </c>
      <c r="N471" t="s">
        <v>1289</v>
      </c>
      <c r="O471" s="1" t="s">
        <v>1305</v>
      </c>
      <c r="P471" t="s">
        <v>1291</v>
      </c>
      <c r="Q471" t="s">
        <v>1294</v>
      </c>
      <c r="S471" t="s">
        <v>1294</v>
      </c>
      <c r="T471" t="s">
        <v>1923</v>
      </c>
      <c r="U471">
        <v>0</v>
      </c>
      <c r="V471" t="s">
        <v>1426</v>
      </c>
    </row>
    <row r="472" spans="1:22" x14ac:dyDescent="0.25">
      <c r="A472" t="s">
        <v>1871</v>
      </c>
      <c r="B472" s="1" t="s">
        <v>1426</v>
      </c>
      <c r="C472" s="1" t="s">
        <v>1530</v>
      </c>
      <c r="D472" s="1" t="s">
        <v>1288</v>
      </c>
      <c r="E472" s="1" t="s">
        <v>1350</v>
      </c>
      <c r="F472" t="s">
        <v>1952</v>
      </c>
      <c r="G472" t="s">
        <v>1427</v>
      </c>
      <c r="H472" t="s">
        <v>381</v>
      </c>
      <c r="I472" t="s">
        <v>1285</v>
      </c>
      <c r="J472" t="s">
        <v>1170</v>
      </c>
      <c r="K472" t="s">
        <v>1428</v>
      </c>
      <c r="L472" t="s">
        <v>1429</v>
      </c>
      <c r="M472" t="s">
        <v>1325</v>
      </c>
      <c r="N472" t="s">
        <v>1289</v>
      </c>
      <c r="O472" s="1" t="s">
        <v>1305</v>
      </c>
      <c r="P472" t="s">
        <v>1291</v>
      </c>
      <c r="Q472" t="s">
        <v>1294</v>
      </c>
      <c r="S472" t="s">
        <v>1294</v>
      </c>
      <c r="T472" t="s">
        <v>1953</v>
      </c>
      <c r="U472">
        <v>0</v>
      </c>
      <c r="V472" t="s">
        <v>1426</v>
      </c>
    </row>
    <row r="473" spans="1:22" x14ac:dyDescent="0.25">
      <c r="A473" t="s">
        <v>1871</v>
      </c>
      <c r="B473" s="1" t="s">
        <v>1426</v>
      </c>
      <c r="C473" s="1" t="s">
        <v>1530</v>
      </c>
      <c r="D473" s="1" t="s">
        <v>1288</v>
      </c>
      <c r="E473" s="1" t="s">
        <v>1350</v>
      </c>
      <c r="F473" t="s">
        <v>1954</v>
      </c>
      <c r="G473" t="s">
        <v>1427</v>
      </c>
      <c r="H473" t="s">
        <v>381</v>
      </c>
      <c r="I473" t="s">
        <v>1285</v>
      </c>
      <c r="J473" t="s">
        <v>1170</v>
      </c>
      <c r="K473" t="s">
        <v>1428</v>
      </c>
      <c r="L473" t="s">
        <v>1429</v>
      </c>
      <c r="M473" t="s">
        <v>1325</v>
      </c>
      <c r="N473" t="s">
        <v>1289</v>
      </c>
      <c r="O473" s="1" t="s">
        <v>1305</v>
      </c>
      <c r="P473" t="s">
        <v>1291</v>
      </c>
      <c r="Q473" t="s">
        <v>1294</v>
      </c>
      <c r="S473" t="s">
        <v>1294</v>
      </c>
      <c r="T473" t="s">
        <v>1955</v>
      </c>
      <c r="U473">
        <v>0</v>
      </c>
      <c r="V473" t="s">
        <v>1426</v>
      </c>
    </row>
    <row r="474" spans="1:22" x14ac:dyDescent="0.25">
      <c r="A474" t="s">
        <v>1871</v>
      </c>
      <c r="B474" s="1" t="s">
        <v>1426</v>
      </c>
      <c r="C474" s="1" t="s">
        <v>1530</v>
      </c>
      <c r="D474" s="1" t="s">
        <v>1288</v>
      </c>
      <c r="E474" s="1" t="s">
        <v>1358</v>
      </c>
      <c r="F474" t="s">
        <v>2014</v>
      </c>
      <c r="G474" t="s">
        <v>1427</v>
      </c>
      <c r="H474" t="s">
        <v>381</v>
      </c>
      <c r="I474" t="s">
        <v>1285</v>
      </c>
      <c r="J474" t="s">
        <v>1170</v>
      </c>
      <c r="K474" t="s">
        <v>1428</v>
      </c>
      <c r="L474" t="s">
        <v>1429</v>
      </c>
      <c r="M474" t="s">
        <v>1325</v>
      </c>
      <c r="N474" t="s">
        <v>1289</v>
      </c>
      <c r="O474" s="1" t="s">
        <v>1305</v>
      </c>
      <c r="P474" t="s">
        <v>1291</v>
      </c>
      <c r="Q474" t="s">
        <v>1294</v>
      </c>
      <c r="S474" t="s">
        <v>1294</v>
      </c>
      <c r="T474" t="s">
        <v>2015</v>
      </c>
      <c r="U474">
        <v>0</v>
      </c>
      <c r="V474" t="s">
        <v>1426</v>
      </c>
    </row>
    <row r="475" spans="1:22" ht="30" x14ac:dyDescent="0.25">
      <c r="A475" t="s">
        <v>1871</v>
      </c>
      <c r="B475" s="1" t="s">
        <v>1426</v>
      </c>
      <c r="C475" s="1" t="s">
        <v>1530</v>
      </c>
      <c r="D475" s="1" t="s">
        <v>1288</v>
      </c>
      <c r="E475" s="1" t="s">
        <v>1326</v>
      </c>
      <c r="F475" t="s">
        <v>2211</v>
      </c>
      <c r="G475" t="s">
        <v>1427</v>
      </c>
      <c r="H475" t="s">
        <v>381</v>
      </c>
      <c r="I475" t="s">
        <v>1285</v>
      </c>
      <c r="J475" t="s">
        <v>1170</v>
      </c>
      <c r="K475" t="s">
        <v>1428</v>
      </c>
      <c r="L475" t="s">
        <v>1429</v>
      </c>
      <c r="M475" t="s">
        <v>1325</v>
      </c>
      <c r="N475" t="s">
        <v>1289</v>
      </c>
      <c r="O475" s="1" t="s">
        <v>1305</v>
      </c>
      <c r="P475" t="s">
        <v>1291</v>
      </c>
      <c r="Q475" t="s">
        <v>1294</v>
      </c>
      <c r="S475" t="s">
        <v>1294</v>
      </c>
      <c r="T475" t="s">
        <v>2212</v>
      </c>
      <c r="U475">
        <v>0</v>
      </c>
      <c r="V475" t="s">
        <v>1426</v>
      </c>
    </row>
    <row r="476" spans="1:22" ht="30" x14ac:dyDescent="0.25">
      <c r="A476" t="s">
        <v>1871</v>
      </c>
      <c r="B476" s="1" t="s">
        <v>1426</v>
      </c>
      <c r="C476" s="1" t="s">
        <v>1530</v>
      </c>
      <c r="D476" s="1" t="s">
        <v>1288</v>
      </c>
      <c r="E476" s="1" t="s">
        <v>1326</v>
      </c>
      <c r="F476" t="s">
        <v>2229</v>
      </c>
      <c r="G476" t="s">
        <v>1427</v>
      </c>
      <c r="H476" t="s">
        <v>381</v>
      </c>
      <c r="I476" t="s">
        <v>1285</v>
      </c>
      <c r="J476" t="s">
        <v>1170</v>
      </c>
      <c r="K476" t="s">
        <v>1428</v>
      </c>
      <c r="L476" t="s">
        <v>1429</v>
      </c>
      <c r="M476" t="s">
        <v>1325</v>
      </c>
      <c r="N476" t="s">
        <v>1289</v>
      </c>
      <c r="O476" s="1" t="s">
        <v>1305</v>
      </c>
      <c r="P476" t="s">
        <v>1291</v>
      </c>
      <c r="Q476" t="s">
        <v>1294</v>
      </c>
      <c r="S476" t="s">
        <v>1294</v>
      </c>
      <c r="T476" t="s">
        <v>2230</v>
      </c>
      <c r="U476">
        <v>0</v>
      </c>
      <c r="V476" t="s">
        <v>1426</v>
      </c>
    </row>
    <row r="477" spans="1:22" ht="30" x14ac:dyDescent="0.25">
      <c r="A477" t="s">
        <v>1871</v>
      </c>
      <c r="B477" s="1" t="s">
        <v>1426</v>
      </c>
      <c r="C477" s="1" t="s">
        <v>1530</v>
      </c>
      <c r="D477" s="1" t="s">
        <v>1288</v>
      </c>
      <c r="E477" s="1" t="s">
        <v>1326</v>
      </c>
      <c r="F477" t="s">
        <v>2234</v>
      </c>
      <c r="G477" t="s">
        <v>1427</v>
      </c>
      <c r="H477" t="s">
        <v>381</v>
      </c>
      <c r="I477" t="s">
        <v>1285</v>
      </c>
      <c r="J477" t="s">
        <v>1170</v>
      </c>
      <c r="K477" t="s">
        <v>1428</v>
      </c>
      <c r="L477" t="s">
        <v>1429</v>
      </c>
      <c r="M477" t="s">
        <v>1325</v>
      </c>
      <c r="N477" t="s">
        <v>1289</v>
      </c>
      <c r="O477" s="1" t="s">
        <v>1305</v>
      </c>
      <c r="P477" t="s">
        <v>1291</v>
      </c>
      <c r="Q477" t="s">
        <v>1294</v>
      </c>
      <c r="S477" t="s">
        <v>1294</v>
      </c>
      <c r="T477" t="s">
        <v>2235</v>
      </c>
      <c r="U477">
        <v>0</v>
      </c>
      <c r="V477" t="s">
        <v>1426</v>
      </c>
    </row>
    <row r="478" spans="1:22" ht="30" x14ac:dyDescent="0.25">
      <c r="A478" t="s">
        <v>1871</v>
      </c>
      <c r="B478" s="1" t="s">
        <v>1426</v>
      </c>
      <c r="C478" s="1" t="s">
        <v>1530</v>
      </c>
      <c r="D478" s="1" t="s">
        <v>1288</v>
      </c>
      <c r="E478" s="1" t="s">
        <v>1326</v>
      </c>
      <c r="F478" t="s">
        <v>2236</v>
      </c>
      <c r="G478" t="s">
        <v>1427</v>
      </c>
      <c r="H478" t="s">
        <v>381</v>
      </c>
      <c r="I478" t="s">
        <v>1285</v>
      </c>
      <c r="J478" t="s">
        <v>1170</v>
      </c>
      <c r="K478" t="s">
        <v>1428</v>
      </c>
      <c r="L478" t="s">
        <v>1429</v>
      </c>
      <c r="M478" t="s">
        <v>1325</v>
      </c>
      <c r="N478" t="s">
        <v>1289</v>
      </c>
      <c r="O478" s="1" t="s">
        <v>1305</v>
      </c>
      <c r="P478" t="s">
        <v>1291</v>
      </c>
      <c r="Q478" t="s">
        <v>1294</v>
      </c>
      <c r="S478" t="s">
        <v>1294</v>
      </c>
      <c r="T478" t="s">
        <v>2237</v>
      </c>
      <c r="U478">
        <v>0</v>
      </c>
      <c r="V478" t="s">
        <v>1426</v>
      </c>
    </row>
    <row r="479" spans="1:22" ht="30" x14ac:dyDescent="0.25">
      <c r="A479" t="s">
        <v>1871</v>
      </c>
      <c r="B479" s="1" t="s">
        <v>1426</v>
      </c>
      <c r="C479" s="1" t="s">
        <v>1530</v>
      </c>
      <c r="D479" s="1" t="s">
        <v>1288</v>
      </c>
      <c r="E479" s="1" t="s">
        <v>1326</v>
      </c>
      <c r="F479" t="s">
        <v>2238</v>
      </c>
      <c r="G479" t="s">
        <v>1427</v>
      </c>
      <c r="H479" t="s">
        <v>381</v>
      </c>
      <c r="I479" t="s">
        <v>1285</v>
      </c>
      <c r="J479" t="s">
        <v>1170</v>
      </c>
      <c r="K479" t="s">
        <v>1428</v>
      </c>
      <c r="L479" t="s">
        <v>1429</v>
      </c>
      <c r="M479" t="s">
        <v>1325</v>
      </c>
      <c r="N479" t="s">
        <v>1289</v>
      </c>
      <c r="O479" s="1" t="s">
        <v>1305</v>
      </c>
      <c r="P479" t="s">
        <v>1291</v>
      </c>
      <c r="Q479" t="s">
        <v>1294</v>
      </c>
      <c r="S479" t="s">
        <v>1294</v>
      </c>
      <c r="T479" t="s">
        <v>2239</v>
      </c>
      <c r="U479">
        <v>0</v>
      </c>
      <c r="V479" t="s">
        <v>1426</v>
      </c>
    </row>
    <row r="480" spans="1:22" ht="30" x14ac:dyDescent="0.25">
      <c r="A480" t="s">
        <v>1871</v>
      </c>
      <c r="B480" s="1" t="s">
        <v>1426</v>
      </c>
      <c r="C480" s="1" t="s">
        <v>1530</v>
      </c>
      <c r="D480" s="1" t="s">
        <v>1288</v>
      </c>
      <c r="E480" s="1" t="s">
        <v>1326</v>
      </c>
      <c r="F480" t="s">
        <v>2240</v>
      </c>
      <c r="G480" t="s">
        <v>1427</v>
      </c>
      <c r="H480" t="s">
        <v>381</v>
      </c>
      <c r="I480" t="s">
        <v>1285</v>
      </c>
      <c r="J480" t="s">
        <v>1170</v>
      </c>
      <c r="K480" t="s">
        <v>1428</v>
      </c>
      <c r="L480" t="s">
        <v>1429</v>
      </c>
      <c r="M480" t="s">
        <v>1325</v>
      </c>
      <c r="N480" t="s">
        <v>1289</v>
      </c>
      <c r="O480" s="1" t="s">
        <v>1305</v>
      </c>
      <c r="P480" t="s">
        <v>1291</v>
      </c>
      <c r="Q480" t="s">
        <v>1294</v>
      </c>
      <c r="S480" t="s">
        <v>1294</v>
      </c>
      <c r="T480" t="s">
        <v>2241</v>
      </c>
      <c r="U480">
        <v>0</v>
      </c>
      <c r="V480" t="s">
        <v>1426</v>
      </c>
    </row>
    <row r="481" spans="1:22" x14ac:dyDescent="0.25">
      <c r="A481" t="s">
        <v>1871</v>
      </c>
      <c r="B481" s="1" t="s">
        <v>1426</v>
      </c>
      <c r="C481" s="1" t="s">
        <v>1530</v>
      </c>
      <c r="D481" s="1" t="s">
        <v>1288</v>
      </c>
      <c r="E481" s="1" t="s">
        <v>1358</v>
      </c>
      <c r="F481" t="s">
        <v>2665</v>
      </c>
      <c r="G481" t="s">
        <v>1427</v>
      </c>
      <c r="H481" t="s">
        <v>381</v>
      </c>
      <c r="I481" t="s">
        <v>1285</v>
      </c>
      <c r="J481" t="s">
        <v>1170</v>
      </c>
      <c r="K481" t="s">
        <v>1428</v>
      </c>
      <c r="L481" t="s">
        <v>1429</v>
      </c>
      <c r="M481" t="s">
        <v>1325</v>
      </c>
      <c r="N481" t="s">
        <v>1289</v>
      </c>
      <c r="O481" s="1" t="s">
        <v>1305</v>
      </c>
      <c r="P481" t="s">
        <v>1291</v>
      </c>
      <c r="Q481" t="s">
        <v>1294</v>
      </c>
      <c r="S481" t="s">
        <v>1294</v>
      </c>
      <c r="T481" t="s">
        <v>2666</v>
      </c>
      <c r="U481">
        <v>0</v>
      </c>
      <c r="V481" t="s">
        <v>1426</v>
      </c>
    </row>
    <row r="482" spans="1:22" x14ac:dyDescent="0.25">
      <c r="A482" t="s">
        <v>1871</v>
      </c>
      <c r="B482" s="1" t="s">
        <v>1426</v>
      </c>
      <c r="C482" s="1" t="s">
        <v>1530</v>
      </c>
      <c r="D482" s="1" t="s">
        <v>1288</v>
      </c>
      <c r="E482" s="1" t="s">
        <v>1378</v>
      </c>
      <c r="F482" t="s">
        <v>2684</v>
      </c>
      <c r="G482" t="s">
        <v>1427</v>
      </c>
      <c r="H482" t="s">
        <v>381</v>
      </c>
      <c r="I482" t="s">
        <v>1285</v>
      </c>
      <c r="J482" t="s">
        <v>1170</v>
      </c>
      <c r="K482" t="s">
        <v>1428</v>
      </c>
      <c r="L482" t="s">
        <v>1429</v>
      </c>
      <c r="M482" t="s">
        <v>1325</v>
      </c>
      <c r="N482" t="s">
        <v>1289</v>
      </c>
      <c r="O482" s="1" t="s">
        <v>1305</v>
      </c>
      <c r="P482" t="s">
        <v>1291</v>
      </c>
      <c r="Q482" t="s">
        <v>1294</v>
      </c>
      <c r="S482" t="s">
        <v>1294</v>
      </c>
      <c r="T482" t="s">
        <v>1430</v>
      </c>
      <c r="U482">
        <v>0</v>
      </c>
      <c r="V482" t="s">
        <v>1426</v>
      </c>
    </row>
    <row r="483" spans="1:22" x14ac:dyDescent="0.25">
      <c r="A483" t="s">
        <v>1871</v>
      </c>
      <c r="B483" s="1" t="s">
        <v>1426</v>
      </c>
      <c r="C483" s="1" t="s">
        <v>1530</v>
      </c>
      <c r="D483" s="1" t="s">
        <v>1288</v>
      </c>
      <c r="E483" s="1" t="s">
        <v>1378</v>
      </c>
      <c r="F483" t="s">
        <v>3153</v>
      </c>
      <c r="G483" t="s">
        <v>1427</v>
      </c>
      <c r="H483" t="s">
        <v>381</v>
      </c>
      <c r="I483" t="s">
        <v>1285</v>
      </c>
      <c r="J483" t="s">
        <v>1170</v>
      </c>
      <c r="K483" t="s">
        <v>1428</v>
      </c>
      <c r="L483" t="s">
        <v>1429</v>
      </c>
      <c r="M483" t="s">
        <v>1325</v>
      </c>
      <c r="N483" t="s">
        <v>1289</v>
      </c>
      <c r="O483" s="1" t="s">
        <v>1305</v>
      </c>
      <c r="P483" t="s">
        <v>1291</v>
      </c>
      <c r="Q483" t="s">
        <v>1294</v>
      </c>
      <c r="S483" t="s">
        <v>1294</v>
      </c>
      <c r="T483" t="s">
        <v>3154</v>
      </c>
      <c r="U483">
        <v>0</v>
      </c>
      <c r="V483" t="s">
        <v>1426</v>
      </c>
    </row>
    <row r="484" spans="1:22" x14ac:dyDescent="0.25">
      <c r="A484" t="s">
        <v>1871</v>
      </c>
      <c r="B484" s="1" t="s">
        <v>1426</v>
      </c>
      <c r="C484" s="1" t="s">
        <v>1530</v>
      </c>
      <c r="D484" s="1" t="s">
        <v>1288</v>
      </c>
      <c r="E484" s="1" t="s">
        <v>1636</v>
      </c>
      <c r="F484" t="s">
        <v>3182</v>
      </c>
      <c r="G484" t="s">
        <v>1427</v>
      </c>
      <c r="H484" t="s">
        <v>381</v>
      </c>
      <c r="I484" t="s">
        <v>1285</v>
      </c>
      <c r="J484" t="s">
        <v>1170</v>
      </c>
      <c r="K484" t="s">
        <v>1428</v>
      </c>
      <c r="L484" t="s">
        <v>1429</v>
      </c>
      <c r="M484" t="s">
        <v>1325</v>
      </c>
      <c r="N484" t="s">
        <v>1289</v>
      </c>
      <c r="O484" s="1" t="s">
        <v>1305</v>
      </c>
      <c r="P484" t="s">
        <v>1291</v>
      </c>
      <c r="Q484" t="s">
        <v>1294</v>
      </c>
      <c r="S484" t="s">
        <v>1294</v>
      </c>
      <c r="T484" t="s">
        <v>3154</v>
      </c>
      <c r="U484">
        <v>0</v>
      </c>
      <c r="V484" t="s">
        <v>1426</v>
      </c>
    </row>
    <row r="485" spans="1:22" x14ac:dyDescent="0.25">
      <c r="A485" t="s">
        <v>1871</v>
      </c>
      <c r="B485" s="1" t="s">
        <v>1426</v>
      </c>
      <c r="C485" s="1" t="s">
        <v>1530</v>
      </c>
      <c r="D485" s="1" t="s">
        <v>1288</v>
      </c>
      <c r="E485" s="1" t="s">
        <v>1350</v>
      </c>
      <c r="F485" t="s">
        <v>3283</v>
      </c>
      <c r="G485" t="s">
        <v>1427</v>
      </c>
      <c r="H485" t="s">
        <v>381</v>
      </c>
      <c r="I485" t="s">
        <v>1285</v>
      </c>
      <c r="J485" t="s">
        <v>1170</v>
      </c>
      <c r="K485" t="s">
        <v>1428</v>
      </c>
      <c r="L485" t="s">
        <v>1429</v>
      </c>
      <c r="M485" t="s">
        <v>1325</v>
      </c>
      <c r="N485" t="s">
        <v>1289</v>
      </c>
      <c r="O485" s="1" t="s">
        <v>1305</v>
      </c>
      <c r="P485" t="s">
        <v>1291</v>
      </c>
      <c r="Q485" t="s">
        <v>1294</v>
      </c>
      <c r="S485" t="s">
        <v>1294</v>
      </c>
      <c r="T485" t="s">
        <v>1430</v>
      </c>
      <c r="U485">
        <v>0</v>
      </c>
      <c r="V485" t="s">
        <v>1426</v>
      </c>
    </row>
    <row r="486" spans="1:22" ht="30" x14ac:dyDescent="0.25">
      <c r="A486" t="s">
        <v>1281</v>
      </c>
      <c r="B486" s="1" t="s">
        <v>1322</v>
      </c>
      <c r="C486" s="1" t="s">
        <v>1327</v>
      </c>
      <c r="D486" s="1" t="s">
        <v>1288</v>
      </c>
      <c r="E486" s="1" t="s">
        <v>1326</v>
      </c>
      <c r="F486" t="s">
        <v>1321</v>
      </c>
      <c r="G486" t="s">
        <v>1323</v>
      </c>
      <c r="H486" t="s">
        <v>381</v>
      </c>
      <c r="I486" t="s">
        <v>1285</v>
      </c>
      <c r="J486" t="s">
        <v>1170</v>
      </c>
      <c r="K486" t="s">
        <v>1198</v>
      </c>
      <c r="L486" t="s">
        <v>1324</v>
      </c>
      <c r="M486" t="s">
        <v>1325</v>
      </c>
      <c r="N486" t="s">
        <v>1289</v>
      </c>
      <c r="O486" s="1" t="s">
        <v>1305</v>
      </c>
      <c r="P486" t="s">
        <v>1291</v>
      </c>
      <c r="Q486" t="s">
        <v>1294</v>
      </c>
      <c r="S486" t="s">
        <v>1294</v>
      </c>
      <c r="T486" t="s">
        <v>1296</v>
      </c>
      <c r="U486">
        <v>0</v>
      </c>
      <c r="V486" t="s">
        <v>1322</v>
      </c>
    </row>
    <row r="487" spans="1:22" ht="30" x14ac:dyDescent="0.25">
      <c r="A487" t="s">
        <v>1460</v>
      </c>
      <c r="B487" s="1" t="s">
        <v>1322</v>
      </c>
      <c r="C487" s="1" t="s">
        <v>1327</v>
      </c>
      <c r="D487" s="1" t="s">
        <v>1288</v>
      </c>
      <c r="E487" s="1" t="s">
        <v>1462</v>
      </c>
      <c r="F487" t="s">
        <v>1461</v>
      </c>
      <c r="G487" t="s">
        <v>1323</v>
      </c>
      <c r="H487" t="s">
        <v>381</v>
      </c>
      <c r="I487" t="s">
        <v>1285</v>
      </c>
      <c r="J487" t="s">
        <v>1170</v>
      </c>
      <c r="K487" t="s">
        <v>1198</v>
      </c>
      <c r="L487" t="s">
        <v>1324</v>
      </c>
      <c r="M487" t="s">
        <v>1325</v>
      </c>
      <c r="N487" t="s">
        <v>1289</v>
      </c>
      <c r="O487" s="1" t="s">
        <v>1305</v>
      </c>
      <c r="P487" t="s">
        <v>1291</v>
      </c>
      <c r="Q487" t="s">
        <v>1294</v>
      </c>
      <c r="S487" t="s">
        <v>1294</v>
      </c>
      <c r="T487" t="s">
        <v>1463</v>
      </c>
      <c r="U487">
        <v>0</v>
      </c>
      <c r="V487" t="s">
        <v>1322</v>
      </c>
    </row>
    <row r="488" spans="1:22" ht="30" x14ac:dyDescent="0.25">
      <c r="A488" t="s">
        <v>1460</v>
      </c>
      <c r="B488" s="1" t="s">
        <v>1322</v>
      </c>
      <c r="C488" s="1" t="s">
        <v>1345</v>
      </c>
      <c r="D488" s="1" t="s">
        <v>1288</v>
      </c>
      <c r="E488" s="1" t="s">
        <v>1326</v>
      </c>
      <c r="F488" t="s">
        <v>1608</v>
      </c>
      <c r="G488" t="s">
        <v>1323</v>
      </c>
      <c r="H488" t="s">
        <v>381</v>
      </c>
      <c r="I488" t="s">
        <v>1285</v>
      </c>
      <c r="J488" t="s">
        <v>1170</v>
      </c>
      <c r="K488" t="s">
        <v>1198</v>
      </c>
      <c r="L488" t="s">
        <v>1324</v>
      </c>
      <c r="M488" t="s">
        <v>1325</v>
      </c>
      <c r="N488" t="s">
        <v>1289</v>
      </c>
      <c r="O488" s="1" t="s">
        <v>1305</v>
      </c>
      <c r="P488" t="s">
        <v>1291</v>
      </c>
      <c r="Q488" t="s">
        <v>1294</v>
      </c>
      <c r="S488" t="s">
        <v>1294</v>
      </c>
      <c r="T488" t="s">
        <v>1609</v>
      </c>
      <c r="U488">
        <v>0</v>
      </c>
      <c r="V488" t="s">
        <v>1322</v>
      </c>
    </row>
    <row r="489" spans="1:22" ht="30" x14ac:dyDescent="0.25">
      <c r="A489" t="s">
        <v>1460</v>
      </c>
      <c r="B489" s="1" t="s">
        <v>1322</v>
      </c>
      <c r="C489" s="1" t="s">
        <v>1345</v>
      </c>
      <c r="D489" s="1" t="s">
        <v>1288</v>
      </c>
      <c r="E489" s="1" t="s">
        <v>1326</v>
      </c>
      <c r="F489" t="s">
        <v>1611</v>
      </c>
      <c r="G489" t="s">
        <v>1323</v>
      </c>
      <c r="H489" t="s">
        <v>381</v>
      </c>
      <c r="I489" t="s">
        <v>1285</v>
      </c>
      <c r="J489" t="s">
        <v>1170</v>
      </c>
      <c r="K489" t="s">
        <v>1198</v>
      </c>
      <c r="L489" t="s">
        <v>1324</v>
      </c>
      <c r="M489" t="s">
        <v>1325</v>
      </c>
      <c r="N489" t="s">
        <v>1289</v>
      </c>
      <c r="O489" s="1" t="s">
        <v>1305</v>
      </c>
      <c r="P489" t="s">
        <v>1291</v>
      </c>
      <c r="Q489" t="s">
        <v>1294</v>
      </c>
      <c r="S489" t="s">
        <v>1294</v>
      </c>
      <c r="T489" t="s">
        <v>1612</v>
      </c>
      <c r="U489">
        <v>0</v>
      </c>
      <c r="V489" t="s">
        <v>1322</v>
      </c>
    </row>
    <row r="490" spans="1:22" ht="30" x14ac:dyDescent="0.25">
      <c r="A490" t="s">
        <v>1460</v>
      </c>
      <c r="B490" s="1" t="s">
        <v>1322</v>
      </c>
      <c r="C490" s="1" t="s">
        <v>1345</v>
      </c>
      <c r="D490" s="1" t="s">
        <v>1288</v>
      </c>
      <c r="E490" s="1" t="s">
        <v>1326</v>
      </c>
      <c r="F490" t="s">
        <v>1613</v>
      </c>
      <c r="G490" t="s">
        <v>1323</v>
      </c>
      <c r="H490" t="s">
        <v>381</v>
      </c>
      <c r="I490" t="s">
        <v>1285</v>
      </c>
      <c r="J490" t="s">
        <v>1170</v>
      </c>
      <c r="K490" t="s">
        <v>1198</v>
      </c>
      <c r="L490" t="s">
        <v>1324</v>
      </c>
      <c r="M490" t="s">
        <v>1325</v>
      </c>
      <c r="N490" t="s">
        <v>1289</v>
      </c>
      <c r="O490" s="1" t="s">
        <v>1305</v>
      </c>
      <c r="P490" t="s">
        <v>1291</v>
      </c>
      <c r="Q490" t="s">
        <v>1294</v>
      </c>
      <c r="S490" t="s">
        <v>1294</v>
      </c>
      <c r="T490" t="s">
        <v>1614</v>
      </c>
      <c r="U490">
        <v>0</v>
      </c>
      <c r="V490" t="s">
        <v>1322</v>
      </c>
    </row>
    <row r="491" spans="1:22" ht="30" x14ac:dyDescent="0.25">
      <c r="A491" t="s">
        <v>1460</v>
      </c>
      <c r="B491" s="1" t="s">
        <v>1322</v>
      </c>
      <c r="C491" s="1" t="s">
        <v>1345</v>
      </c>
      <c r="D491" s="1" t="s">
        <v>1288</v>
      </c>
      <c r="E491" s="1" t="s">
        <v>1326</v>
      </c>
      <c r="F491" t="s">
        <v>1615</v>
      </c>
      <c r="G491" t="s">
        <v>1323</v>
      </c>
      <c r="H491" t="s">
        <v>381</v>
      </c>
      <c r="I491" t="s">
        <v>1285</v>
      </c>
      <c r="J491" t="s">
        <v>1170</v>
      </c>
      <c r="K491" t="s">
        <v>1198</v>
      </c>
      <c r="L491" t="s">
        <v>1324</v>
      </c>
      <c r="M491" t="s">
        <v>1325</v>
      </c>
      <c r="N491" t="s">
        <v>1289</v>
      </c>
      <c r="O491" s="1" t="s">
        <v>1305</v>
      </c>
      <c r="P491" t="s">
        <v>1291</v>
      </c>
      <c r="Q491" t="s">
        <v>1294</v>
      </c>
      <c r="S491" t="s">
        <v>1294</v>
      </c>
      <c r="T491" t="s">
        <v>1616</v>
      </c>
      <c r="U491">
        <v>0</v>
      </c>
      <c r="V491" t="s">
        <v>1322</v>
      </c>
    </row>
    <row r="492" spans="1:22" ht="30" x14ac:dyDescent="0.25">
      <c r="A492" t="s">
        <v>1460</v>
      </c>
      <c r="B492" s="1" t="s">
        <v>1322</v>
      </c>
      <c r="C492" s="1" t="s">
        <v>1295</v>
      </c>
      <c r="D492" s="1" t="s">
        <v>1288</v>
      </c>
      <c r="E492" s="1" t="s">
        <v>1504</v>
      </c>
      <c r="F492" t="s">
        <v>1670</v>
      </c>
      <c r="G492" t="s">
        <v>1323</v>
      </c>
      <c r="H492" t="s">
        <v>381</v>
      </c>
      <c r="I492" t="s">
        <v>1285</v>
      </c>
      <c r="J492" t="s">
        <v>1170</v>
      </c>
      <c r="K492" t="s">
        <v>1198</v>
      </c>
      <c r="L492" t="s">
        <v>1324</v>
      </c>
      <c r="M492" t="s">
        <v>1325</v>
      </c>
      <c r="N492" t="s">
        <v>1289</v>
      </c>
      <c r="O492" s="1" t="s">
        <v>1305</v>
      </c>
      <c r="P492" t="s">
        <v>1291</v>
      </c>
      <c r="Q492" t="s">
        <v>1294</v>
      </c>
      <c r="S492" t="s">
        <v>1294</v>
      </c>
      <c r="T492" t="s">
        <v>1296</v>
      </c>
      <c r="U492">
        <v>0</v>
      </c>
      <c r="V492" t="s">
        <v>1322</v>
      </c>
    </row>
    <row r="493" spans="1:22" ht="30" x14ac:dyDescent="0.25">
      <c r="A493" t="s">
        <v>1871</v>
      </c>
      <c r="B493" s="1" t="s">
        <v>1322</v>
      </c>
      <c r="C493" s="1" t="s">
        <v>1530</v>
      </c>
      <c r="D493" s="1" t="s">
        <v>1288</v>
      </c>
      <c r="E493" s="1" t="s">
        <v>1462</v>
      </c>
      <c r="F493" t="s">
        <v>1875</v>
      </c>
      <c r="G493" t="s">
        <v>1323</v>
      </c>
      <c r="H493" t="s">
        <v>381</v>
      </c>
      <c r="I493" t="s">
        <v>1285</v>
      </c>
      <c r="J493" t="s">
        <v>1170</v>
      </c>
      <c r="K493" t="s">
        <v>1198</v>
      </c>
      <c r="L493" t="s">
        <v>1324</v>
      </c>
      <c r="M493" t="s">
        <v>1325</v>
      </c>
      <c r="N493" t="s">
        <v>1289</v>
      </c>
      <c r="O493" s="1" t="s">
        <v>1305</v>
      </c>
      <c r="P493" t="s">
        <v>1291</v>
      </c>
      <c r="Q493" t="s">
        <v>1294</v>
      </c>
      <c r="S493" t="s">
        <v>1294</v>
      </c>
      <c r="T493" t="s">
        <v>1876</v>
      </c>
      <c r="U493">
        <v>0</v>
      </c>
      <c r="V493" t="s">
        <v>1322</v>
      </c>
    </row>
    <row r="494" spans="1:22" ht="30" x14ac:dyDescent="0.25">
      <c r="A494" t="s">
        <v>1871</v>
      </c>
      <c r="B494" s="1" t="s">
        <v>1322</v>
      </c>
      <c r="C494" s="1" t="s">
        <v>1530</v>
      </c>
      <c r="D494" s="1" t="s">
        <v>1288</v>
      </c>
      <c r="E494" s="1" t="s">
        <v>1462</v>
      </c>
      <c r="F494" t="s">
        <v>1877</v>
      </c>
      <c r="G494" t="s">
        <v>1323</v>
      </c>
      <c r="H494" t="s">
        <v>381</v>
      </c>
      <c r="I494" t="s">
        <v>1285</v>
      </c>
      <c r="J494" t="s">
        <v>1170</v>
      </c>
      <c r="K494" t="s">
        <v>1198</v>
      </c>
      <c r="L494" t="s">
        <v>1324</v>
      </c>
      <c r="M494" t="s">
        <v>1325</v>
      </c>
      <c r="N494" t="s">
        <v>1289</v>
      </c>
      <c r="O494" s="1" t="s">
        <v>1305</v>
      </c>
      <c r="P494" t="s">
        <v>1291</v>
      </c>
      <c r="Q494" t="s">
        <v>1294</v>
      </c>
      <c r="S494" t="s">
        <v>1294</v>
      </c>
      <c r="T494" t="s">
        <v>1878</v>
      </c>
      <c r="U494">
        <v>0</v>
      </c>
      <c r="V494" t="s">
        <v>1322</v>
      </c>
    </row>
    <row r="495" spans="1:22" ht="30" x14ac:dyDescent="0.25">
      <c r="A495" t="s">
        <v>1871</v>
      </c>
      <c r="B495" s="1" t="s">
        <v>1322</v>
      </c>
      <c r="C495" s="1" t="s">
        <v>1530</v>
      </c>
      <c r="D495" s="1" t="s">
        <v>1288</v>
      </c>
      <c r="E495" s="1" t="s">
        <v>1462</v>
      </c>
      <c r="F495" t="s">
        <v>1879</v>
      </c>
      <c r="G495" t="s">
        <v>1323</v>
      </c>
      <c r="H495" t="s">
        <v>381</v>
      </c>
      <c r="I495" t="s">
        <v>1285</v>
      </c>
      <c r="J495" t="s">
        <v>1170</v>
      </c>
      <c r="K495" t="s">
        <v>1198</v>
      </c>
      <c r="L495" t="s">
        <v>1324</v>
      </c>
      <c r="M495" t="s">
        <v>1325</v>
      </c>
      <c r="N495" t="s">
        <v>1289</v>
      </c>
      <c r="O495" s="1" t="s">
        <v>1305</v>
      </c>
      <c r="P495" t="s">
        <v>1291</v>
      </c>
      <c r="Q495" t="s">
        <v>1294</v>
      </c>
      <c r="S495" t="s">
        <v>1294</v>
      </c>
      <c r="T495" t="s">
        <v>1880</v>
      </c>
      <c r="U495">
        <v>0</v>
      </c>
      <c r="V495" t="s">
        <v>1322</v>
      </c>
    </row>
    <row r="496" spans="1:22" ht="30" x14ac:dyDescent="0.25">
      <c r="A496" t="s">
        <v>1871</v>
      </c>
      <c r="B496" s="1" t="s">
        <v>1322</v>
      </c>
      <c r="C496" s="1" t="s">
        <v>1530</v>
      </c>
      <c r="D496" s="1" t="s">
        <v>1288</v>
      </c>
      <c r="E496" s="1" t="s">
        <v>1462</v>
      </c>
      <c r="F496" t="s">
        <v>1881</v>
      </c>
      <c r="G496" t="s">
        <v>1323</v>
      </c>
      <c r="H496" t="s">
        <v>381</v>
      </c>
      <c r="I496" t="s">
        <v>1285</v>
      </c>
      <c r="J496" t="s">
        <v>1170</v>
      </c>
      <c r="K496" t="s">
        <v>1198</v>
      </c>
      <c r="L496" t="s">
        <v>1324</v>
      </c>
      <c r="M496" t="s">
        <v>1325</v>
      </c>
      <c r="N496" t="s">
        <v>1289</v>
      </c>
      <c r="O496" s="1" t="s">
        <v>1305</v>
      </c>
      <c r="P496" t="s">
        <v>1291</v>
      </c>
      <c r="Q496" t="s">
        <v>1294</v>
      </c>
      <c r="S496" t="s">
        <v>1294</v>
      </c>
      <c r="T496" t="s">
        <v>1882</v>
      </c>
      <c r="U496">
        <v>0</v>
      </c>
      <c r="V496" t="s">
        <v>1322</v>
      </c>
    </row>
    <row r="497" spans="1:22" ht="30" x14ac:dyDescent="0.25">
      <c r="A497" t="s">
        <v>1871</v>
      </c>
      <c r="B497" s="1" t="s">
        <v>1322</v>
      </c>
      <c r="C497" s="1" t="s">
        <v>1530</v>
      </c>
      <c r="D497" s="1" t="s">
        <v>1288</v>
      </c>
      <c r="E497" s="1" t="s">
        <v>1462</v>
      </c>
      <c r="F497" t="s">
        <v>1883</v>
      </c>
      <c r="G497" t="s">
        <v>1323</v>
      </c>
      <c r="H497" t="s">
        <v>381</v>
      </c>
      <c r="I497" t="s">
        <v>1285</v>
      </c>
      <c r="J497" t="s">
        <v>1170</v>
      </c>
      <c r="K497" t="s">
        <v>1198</v>
      </c>
      <c r="L497" t="s">
        <v>1324</v>
      </c>
      <c r="M497" t="s">
        <v>1325</v>
      </c>
      <c r="N497" t="s">
        <v>1289</v>
      </c>
      <c r="O497" s="1" t="s">
        <v>1305</v>
      </c>
      <c r="P497" t="s">
        <v>1291</v>
      </c>
      <c r="Q497" t="s">
        <v>1294</v>
      </c>
      <c r="S497" t="s">
        <v>1294</v>
      </c>
      <c r="T497" t="s">
        <v>1884</v>
      </c>
      <c r="U497">
        <v>0</v>
      </c>
      <c r="V497" t="s">
        <v>1322</v>
      </c>
    </row>
    <row r="498" spans="1:22" ht="30" x14ac:dyDescent="0.25">
      <c r="A498" t="s">
        <v>1871</v>
      </c>
      <c r="B498" s="1" t="s">
        <v>1322</v>
      </c>
      <c r="C498" s="1" t="s">
        <v>1530</v>
      </c>
      <c r="D498" s="1" t="s">
        <v>1288</v>
      </c>
      <c r="E498" s="1" t="s">
        <v>1462</v>
      </c>
      <c r="F498" t="s">
        <v>1885</v>
      </c>
      <c r="G498" t="s">
        <v>1323</v>
      </c>
      <c r="H498" t="s">
        <v>381</v>
      </c>
      <c r="I498" t="s">
        <v>1285</v>
      </c>
      <c r="J498" t="s">
        <v>1170</v>
      </c>
      <c r="K498" t="s">
        <v>1198</v>
      </c>
      <c r="L498" t="s">
        <v>1324</v>
      </c>
      <c r="M498" t="s">
        <v>1325</v>
      </c>
      <c r="N498" t="s">
        <v>1289</v>
      </c>
      <c r="O498" s="1" t="s">
        <v>1305</v>
      </c>
      <c r="P498" t="s">
        <v>1291</v>
      </c>
      <c r="Q498" t="s">
        <v>1294</v>
      </c>
      <c r="S498" t="s">
        <v>1294</v>
      </c>
      <c r="T498" t="s">
        <v>1886</v>
      </c>
      <c r="U498">
        <v>0</v>
      </c>
      <c r="V498" t="s">
        <v>1322</v>
      </c>
    </row>
    <row r="499" spans="1:22" ht="30" x14ac:dyDescent="0.25">
      <c r="A499" t="s">
        <v>1871</v>
      </c>
      <c r="B499" s="1" t="s">
        <v>1322</v>
      </c>
      <c r="C499" s="1" t="s">
        <v>1530</v>
      </c>
      <c r="D499" s="1" t="s">
        <v>1288</v>
      </c>
      <c r="E499" s="1" t="s">
        <v>1462</v>
      </c>
      <c r="F499" t="s">
        <v>1887</v>
      </c>
      <c r="G499" t="s">
        <v>1323</v>
      </c>
      <c r="H499" t="s">
        <v>381</v>
      </c>
      <c r="I499" t="s">
        <v>1285</v>
      </c>
      <c r="J499" t="s">
        <v>1170</v>
      </c>
      <c r="K499" t="s">
        <v>1198</v>
      </c>
      <c r="L499" t="s">
        <v>1324</v>
      </c>
      <c r="M499" t="s">
        <v>1325</v>
      </c>
      <c r="N499" t="s">
        <v>1289</v>
      </c>
      <c r="O499" s="1" t="s">
        <v>1305</v>
      </c>
      <c r="P499" t="s">
        <v>1291</v>
      </c>
      <c r="Q499" t="s">
        <v>1294</v>
      </c>
      <c r="S499" t="s">
        <v>1294</v>
      </c>
      <c r="T499" t="s">
        <v>1888</v>
      </c>
      <c r="U499">
        <v>0</v>
      </c>
      <c r="V499" t="s">
        <v>1322</v>
      </c>
    </row>
    <row r="500" spans="1:22" ht="30" x14ac:dyDescent="0.25">
      <c r="A500" t="s">
        <v>1871</v>
      </c>
      <c r="B500" s="1" t="s">
        <v>1322</v>
      </c>
      <c r="C500" s="1" t="s">
        <v>1530</v>
      </c>
      <c r="D500" s="1" t="s">
        <v>1288</v>
      </c>
      <c r="E500" s="1" t="s">
        <v>1462</v>
      </c>
      <c r="F500" t="s">
        <v>1889</v>
      </c>
      <c r="G500" t="s">
        <v>1323</v>
      </c>
      <c r="H500" t="s">
        <v>381</v>
      </c>
      <c r="I500" t="s">
        <v>1285</v>
      </c>
      <c r="J500" t="s">
        <v>1170</v>
      </c>
      <c r="K500" t="s">
        <v>1198</v>
      </c>
      <c r="L500" t="s">
        <v>1324</v>
      </c>
      <c r="M500" t="s">
        <v>1325</v>
      </c>
      <c r="N500" t="s">
        <v>1289</v>
      </c>
      <c r="O500" s="1" t="s">
        <v>1305</v>
      </c>
      <c r="P500" t="s">
        <v>1291</v>
      </c>
      <c r="Q500" t="s">
        <v>1294</v>
      </c>
      <c r="S500" t="s">
        <v>1294</v>
      </c>
      <c r="T500" t="s">
        <v>1890</v>
      </c>
      <c r="U500">
        <v>0</v>
      </c>
      <c r="V500" t="s">
        <v>1322</v>
      </c>
    </row>
    <row r="501" spans="1:22" ht="30" x14ac:dyDescent="0.25">
      <c r="A501" t="s">
        <v>1871</v>
      </c>
      <c r="B501" s="1" t="s">
        <v>1322</v>
      </c>
      <c r="C501" s="1" t="s">
        <v>1530</v>
      </c>
      <c r="D501" s="1" t="s">
        <v>1288</v>
      </c>
      <c r="E501" s="1" t="s">
        <v>1326</v>
      </c>
      <c r="F501" t="s">
        <v>2213</v>
      </c>
      <c r="G501" t="s">
        <v>1323</v>
      </c>
      <c r="H501" t="s">
        <v>381</v>
      </c>
      <c r="I501" t="s">
        <v>1285</v>
      </c>
      <c r="J501" t="s">
        <v>1170</v>
      </c>
      <c r="K501" t="s">
        <v>1198</v>
      </c>
      <c r="L501" t="s">
        <v>1324</v>
      </c>
      <c r="M501" t="s">
        <v>1325</v>
      </c>
      <c r="N501" t="s">
        <v>1289</v>
      </c>
      <c r="O501" s="1" t="s">
        <v>1305</v>
      </c>
      <c r="P501" t="s">
        <v>1291</v>
      </c>
      <c r="Q501" t="s">
        <v>1294</v>
      </c>
      <c r="S501" t="s">
        <v>1294</v>
      </c>
      <c r="T501" t="s">
        <v>2214</v>
      </c>
      <c r="U501">
        <v>0</v>
      </c>
      <c r="V501" t="s">
        <v>1322</v>
      </c>
    </row>
    <row r="502" spans="1:22" ht="30" x14ac:dyDescent="0.25">
      <c r="A502" t="s">
        <v>1871</v>
      </c>
      <c r="B502" s="1" t="s">
        <v>1322</v>
      </c>
      <c r="C502" s="1" t="s">
        <v>1530</v>
      </c>
      <c r="D502" s="1" t="s">
        <v>1288</v>
      </c>
      <c r="E502" s="1" t="s">
        <v>1326</v>
      </c>
      <c r="F502" t="s">
        <v>2215</v>
      </c>
      <c r="G502" t="s">
        <v>1323</v>
      </c>
      <c r="H502" t="s">
        <v>381</v>
      </c>
      <c r="I502" t="s">
        <v>1285</v>
      </c>
      <c r="J502" t="s">
        <v>1170</v>
      </c>
      <c r="K502" t="s">
        <v>1198</v>
      </c>
      <c r="L502" t="s">
        <v>1324</v>
      </c>
      <c r="M502" t="s">
        <v>1325</v>
      </c>
      <c r="N502" t="s">
        <v>1289</v>
      </c>
      <c r="O502" s="1" t="s">
        <v>1305</v>
      </c>
      <c r="P502" t="s">
        <v>1291</v>
      </c>
      <c r="Q502" t="s">
        <v>1294</v>
      </c>
      <c r="S502" t="s">
        <v>1294</v>
      </c>
      <c r="T502" t="s">
        <v>2216</v>
      </c>
      <c r="U502">
        <v>0</v>
      </c>
      <c r="V502" t="s">
        <v>1322</v>
      </c>
    </row>
    <row r="503" spans="1:22" x14ac:dyDescent="0.25">
      <c r="A503" t="s">
        <v>1281</v>
      </c>
      <c r="B503" s="1" t="s">
        <v>1388</v>
      </c>
      <c r="C503" s="1" t="s">
        <v>1295</v>
      </c>
      <c r="D503" s="1" t="s">
        <v>1288</v>
      </c>
      <c r="E503" s="1" t="s">
        <v>1393</v>
      </c>
      <c r="F503" t="s">
        <v>1387</v>
      </c>
      <c r="G503" t="s">
        <v>1389</v>
      </c>
      <c r="H503" t="s">
        <v>381</v>
      </c>
      <c r="I503" t="s">
        <v>1285</v>
      </c>
      <c r="J503" t="s">
        <v>1201</v>
      </c>
      <c r="K503" t="s">
        <v>1390</v>
      </c>
      <c r="L503" t="s">
        <v>1391</v>
      </c>
      <c r="M503" t="s">
        <v>1325</v>
      </c>
      <c r="N503">
        <v>50000</v>
      </c>
      <c r="O503" s="1" t="s">
        <v>1305</v>
      </c>
      <c r="P503" t="s">
        <v>1392</v>
      </c>
      <c r="Q503" t="s">
        <v>1294</v>
      </c>
      <c r="S503" t="s">
        <v>1294</v>
      </c>
      <c r="T503" t="s">
        <v>1296</v>
      </c>
      <c r="U503">
        <v>0</v>
      </c>
      <c r="V503" t="s">
        <v>1388</v>
      </c>
    </row>
    <row r="504" spans="1:22" x14ac:dyDescent="0.25">
      <c r="A504" t="s">
        <v>1460</v>
      </c>
      <c r="B504" s="1" t="s">
        <v>1388</v>
      </c>
      <c r="C504" s="1" t="s">
        <v>1327</v>
      </c>
      <c r="D504" s="1" t="s">
        <v>1288</v>
      </c>
      <c r="E504" s="1" t="s">
        <v>1350</v>
      </c>
      <c r="F504" t="s">
        <v>1831</v>
      </c>
      <c r="G504" t="s">
        <v>1389</v>
      </c>
      <c r="H504" t="s">
        <v>381</v>
      </c>
      <c r="I504" t="s">
        <v>1285</v>
      </c>
      <c r="J504" t="s">
        <v>1201</v>
      </c>
      <c r="K504" t="s">
        <v>1390</v>
      </c>
      <c r="L504" t="s">
        <v>1391</v>
      </c>
      <c r="M504" t="s">
        <v>1325</v>
      </c>
      <c r="N504">
        <v>50000</v>
      </c>
      <c r="O504" s="1" t="s">
        <v>1305</v>
      </c>
      <c r="P504" t="s">
        <v>1392</v>
      </c>
      <c r="Q504" t="s">
        <v>1294</v>
      </c>
      <c r="S504" t="s">
        <v>1294</v>
      </c>
      <c r="T504" t="s">
        <v>1832</v>
      </c>
      <c r="U504">
        <v>50380</v>
      </c>
      <c r="V504" t="s">
        <v>1388</v>
      </c>
    </row>
    <row r="505" spans="1:22" x14ac:dyDescent="0.25">
      <c r="A505" t="s">
        <v>1460</v>
      </c>
      <c r="B505" s="1" t="s">
        <v>1388</v>
      </c>
      <c r="C505" s="1" t="s">
        <v>1320</v>
      </c>
      <c r="D505" s="1" t="s">
        <v>1288</v>
      </c>
      <c r="E505" s="1" t="s">
        <v>1350</v>
      </c>
      <c r="F505" t="s">
        <v>1841</v>
      </c>
      <c r="G505" t="s">
        <v>1389</v>
      </c>
      <c r="H505" t="s">
        <v>381</v>
      </c>
      <c r="I505" t="s">
        <v>1285</v>
      </c>
      <c r="J505" t="s">
        <v>1201</v>
      </c>
      <c r="K505" t="s">
        <v>1390</v>
      </c>
      <c r="L505" t="s">
        <v>1391</v>
      </c>
      <c r="M505" t="s">
        <v>1325</v>
      </c>
      <c r="N505">
        <v>50000</v>
      </c>
      <c r="O505" s="1" t="s">
        <v>1305</v>
      </c>
      <c r="P505" t="s">
        <v>1392</v>
      </c>
      <c r="Q505" t="s">
        <v>1294</v>
      </c>
      <c r="S505" t="s">
        <v>1294</v>
      </c>
      <c r="T505" t="s">
        <v>1842</v>
      </c>
      <c r="U505">
        <v>52354</v>
      </c>
      <c r="V505" t="s">
        <v>1388</v>
      </c>
    </row>
    <row r="506" spans="1:22" x14ac:dyDescent="0.25">
      <c r="A506" t="s">
        <v>1460</v>
      </c>
      <c r="B506" s="1" t="s">
        <v>1388</v>
      </c>
      <c r="C506" s="1" t="s">
        <v>1295</v>
      </c>
      <c r="D506" s="1" t="s">
        <v>1288</v>
      </c>
      <c r="E506" s="1" t="s">
        <v>1374</v>
      </c>
      <c r="F506" t="s">
        <v>1863</v>
      </c>
      <c r="G506" t="s">
        <v>1389</v>
      </c>
      <c r="H506" t="s">
        <v>381</v>
      </c>
      <c r="I506" t="s">
        <v>1285</v>
      </c>
      <c r="J506" t="s">
        <v>1201</v>
      </c>
      <c r="K506" t="s">
        <v>1390</v>
      </c>
      <c r="L506" t="s">
        <v>1391</v>
      </c>
      <c r="M506" t="s">
        <v>1325</v>
      </c>
      <c r="N506">
        <v>50000</v>
      </c>
      <c r="O506" s="1" t="s">
        <v>1305</v>
      </c>
      <c r="P506" t="s">
        <v>1392</v>
      </c>
      <c r="Q506" t="s">
        <v>1294</v>
      </c>
      <c r="S506" t="s">
        <v>1294</v>
      </c>
      <c r="T506" t="s">
        <v>1864</v>
      </c>
      <c r="U506">
        <v>424525</v>
      </c>
      <c r="V506" t="s">
        <v>1388</v>
      </c>
    </row>
    <row r="507" spans="1:22" x14ac:dyDescent="0.25">
      <c r="A507" t="s">
        <v>1460</v>
      </c>
      <c r="B507" s="1" t="s">
        <v>1388</v>
      </c>
      <c r="C507" s="1" t="s">
        <v>1327</v>
      </c>
      <c r="D507" s="1" t="s">
        <v>1288</v>
      </c>
      <c r="E507" s="1" t="s">
        <v>1374</v>
      </c>
      <c r="F507" t="s">
        <v>1865</v>
      </c>
      <c r="G507" t="s">
        <v>1389</v>
      </c>
      <c r="H507" t="s">
        <v>381</v>
      </c>
      <c r="I507" t="s">
        <v>1285</v>
      </c>
      <c r="J507" t="s">
        <v>1201</v>
      </c>
      <c r="K507" t="s">
        <v>1390</v>
      </c>
      <c r="L507" t="s">
        <v>1391</v>
      </c>
      <c r="M507" t="s">
        <v>1325</v>
      </c>
      <c r="N507">
        <v>50000</v>
      </c>
      <c r="O507" s="1" t="s">
        <v>1305</v>
      </c>
      <c r="P507" t="s">
        <v>1392</v>
      </c>
      <c r="Q507" t="s">
        <v>1294</v>
      </c>
      <c r="S507" t="s">
        <v>1294</v>
      </c>
      <c r="T507" t="s">
        <v>1866</v>
      </c>
      <c r="U507">
        <v>58855</v>
      </c>
      <c r="V507" t="s">
        <v>1388</v>
      </c>
    </row>
    <row r="508" spans="1:22" x14ac:dyDescent="0.25">
      <c r="A508" t="s">
        <v>1871</v>
      </c>
      <c r="B508" s="1" t="s">
        <v>1388</v>
      </c>
      <c r="C508" s="1" t="s">
        <v>1530</v>
      </c>
      <c r="D508" s="1" t="s">
        <v>1288</v>
      </c>
      <c r="E508" s="1" t="s">
        <v>1378</v>
      </c>
      <c r="F508" t="s">
        <v>1958</v>
      </c>
      <c r="G508" t="s">
        <v>1389</v>
      </c>
      <c r="H508" t="s">
        <v>381</v>
      </c>
      <c r="I508" t="s">
        <v>1285</v>
      </c>
      <c r="J508" t="s">
        <v>1201</v>
      </c>
      <c r="K508" t="s">
        <v>1390</v>
      </c>
      <c r="L508" t="s">
        <v>1391</v>
      </c>
      <c r="M508" t="s">
        <v>1325</v>
      </c>
      <c r="N508">
        <v>50000</v>
      </c>
      <c r="O508" s="1" t="s">
        <v>1305</v>
      </c>
      <c r="P508" t="s">
        <v>1392</v>
      </c>
      <c r="Q508" t="s">
        <v>1294</v>
      </c>
      <c r="S508" t="s">
        <v>1294</v>
      </c>
      <c r="T508" t="s">
        <v>1959</v>
      </c>
      <c r="U508">
        <v>1945579</v>
      </c>
      <c r="V508" t="s">
        <v>1388</v>
      </c>
    </row>
    <row r="509" spans="1:22" x14ac:dyDescent="0.25">
      <c r="A509" t="s">
        <v>1871</v>
      </c>
      <c r="B509" s="1" t="s">
        <v>1388</v>
      </c>
      <c r="C509" s="1" t="s">
        <v>1530</v>
      </c>
      <c r="D509" s="1" t="s">
        <v>1288</v>
      </c>
      <c r="E509" s="1" t="s">
        <v>1358</v>
      </c>
      <c r="F509" t="s">
        <v>2016</v>
      </c>
      <c r="G509" t="s">
        <v>1389</v>
      </c>
      <c r="H509" t="s">
        <v>381</v>
      </c>
      <c r="I509" t="s">
        <v>1285</v>
      </c>
      <c r="J509" t="s">
        <v>1201</v>
      </c>
      <c r="K509" t="s">
        <v>1390</v>
      </c>
      <c r="L509" t="s">
        <v>1391</v>
      </c>
      <c r="M509" t="s">
        <v>1325</v>
      </c>
      <c r="N509">
        <v>50000</v>
      </c>
      <c r="O509" s="1" t="s">
        <v>1305</v>
      </c>
      <c r="P509" t="s">
        <v>1392</v>
      </c>
      <c r="Q509" t="s">
        <v>1294</v>
      </c>
      <c r="S509" t="s">
        <v>1294</v>
      </c>
      <c r="T509" t="s">
        <v>2017</v>
      </c>
      <c r="U509">
        <v>2276</v>
      </c>
      <c r="V509" t="s">
        <v>1388</v>
      </c>
    </row>
    <row r="510" spans="1:22" x14ac:dyDescent="0.25">
      <c r="A510" t="s">
        <v>1871</v>
      </c>
      <c r="B510" s="1" t="s">
        <v>1388</v>
      </c>
      <c r="C510" s="1" t="s">
        <v>1530</v>
      </c>
      <c r="D510" s="1" t="s">
        <v>1288</v>
      </c>
      <c r="E510" s="1" t="s">
        <v>1378</v>
      </c>
      <c r="F510" t="s">
        <v>2055</v>
      </c>
      <c r="G510" t="s">
        <v>1389</v>
      </c>
      <c r="H510" t="s">
        <v>381</v>
      </c>
      <c r="I510" t="s">
        <v>1285</v>
      </c>
      <c r="J510" t="s">
        <v>1201</v>
      </c>
      <c r="K510" t="s">
        <v>1390</v>
      </c>
      <c r="L510" t="s">
        <v>1391</v>
      </c>
      <c r="M510" t="s">
        <v>1325</v>
      </c>
      <c r="N510">
        <v>50000</v>
      </c>
      <c r="O510" s="1" t="s">
        <v>1305</v>
      </c>
      <c r="P510" t="s">
        <v>1392</v>
      </c>
      <c r="Q510" t="s">
        <v>1294</v>
      </c>
      <c r="S510" t="s">
        <v>1294</v>
      </c>
      <c r="T510" t="s">
        <v>2056</v>
      </c>
      <c r="U510">
        <v>181385</v>
      </c>
      <c r="V510" t="s">
        <v>1388</v>
      </c>
    </row>
    <row r="511" spans="1:22" ht="30" x14ac:dyDescent="0.25">
      <c r="A511" t="s">
        <v>1871</v>
      </c>
      <c r="B511" s="1" t="s">
        <v>1388</v>
      </c>
      <c r="C511" s="1" t="s">
        <v>1530</v>
      </c>
      <c r="D511" s="1" t="s">
        <v>1288</v>
      </c>
      <c r="E511" s="1" t="s">
        <v>1326</v>
      </c>
      <c r="F511" t="s">
        <v>2411</v>
      </c>
      <c r="G511" t="s">
        <v>1389</v>
      </c>
      <c r="H511" t="s">
        <v>381</v>
      </c>
      <c r="I511" t="s">
        <v>1285</v>
      </c>
      <c r="J511" t="s">
        <v>1201</v>
      </c>
      <c r="K511" t="s">
        <v>1390</v>
      </c>
      <c r="L511" t="s">
        <v>1391</v>
      </c>
      <c r="M511" t="s">
        <v>1325</v>
      </c>
      <c r="N511">
        <v>50000</v>
      </c>
      <c r="O511" s="1" t="s">
        <v>1305</v>
      </c>
      <c r="P511" t="s">
        <v>1392</v>
      </c>
      <c r="Q511" t="s">
        <v>1294</v>
      </c>
      <c r="S511" t="s">
        <v>1294</v>
      </c>
      <c r="T511" t="s">
        <v>2412</v>
      </c>
      <c r="U511">
        <v>1746</v>
      </c>
      <c r="V511" t="s">
        <v>1388</v>
      </c>
    </row>
    <row r="512" spans="1:22" x14ac:dyDescent="0.25">
      <c r="A512" t="s">
        <v>1871</v>
      </c>
      <c r="B512" s="1" t="s">
        <v>1388</v>
      </c>
      <c r="C512" s="1" t="s">
        <v>1530</v>
      </c>
      <c r="D512" s="1" t="s">
        <v>1288</v>
      </c>
      <c r="E512" s="1" t="s">
        <v>1374</v>
      </c>
      <c r="F512" t="s">
        <v>2413</v>
      </c>
      <c r="G512" t="s">
        <v>1389</v>
      </c>
      <c r="H512" t="s">
        <v>381</v>
      </c>
      <c r="I512" t="s">
        <v>1285</v>
      </c>
      <c r="J512" t="s">
        <v>1201</v>
      </c>
      <c r="K512" t="s">
        <v>1390</v>
      </c>
      <c r="L512" t="s">
        <v>1391</v>
      </c>
      <c r="M512" t="s">
        <v>1325</v>
      </c>
      <c r="N512">
        <v>50000</v>
      </c>
      <c r="O512" s="1" t="s">
        <v>1305</v>
      </c>
      <c r="P512" t="s">
        <v>1392</v>
      </c>
      <c r="Q512" t="s">
        <v>1294</v>
      </c>
      <c r="S512" t="s">
        <v>1294</v>
      </c>
      <c r="T512" t="s">
        <v>2414</v>
      </c>
      <c r="U512">
        <v>17022</v>
      </c>
      <c r="V512" t="s">
        <v>1388</v>
      </c>
    </row>
    <row r="513" spans="1:22" ht="30" x14ac:dyDescent="0.25">
      <c r="A513" t="s">
        <v>1871</v>
      </c>
      <c r="B513" s="1" t="s">
        <v>1388</v>
      </c>
      <c r="C513" s="1" t="s">
        <v>1530</v>
      </c>
      <c r="D513" s="1" t="s">
        <v>1288</v>
      </c>
      <c r="E513" s="1" t="s">
        <v>1293</v>
      </c>
      <c r="F513" t="s">
        <v>2419</v>
      </c>
      <c r="G513" t="s">
        <v>1389</v>
      </c>
      <c r="H513" t="s">
        <v>381</v>
      </c>
      <c r="I513" t="s">
        <v>1285</v>
      </c>
      <c r="J513" t="s">
        <v>1201</v>
      </c>
      <c r="K513" t="s">
        <v>1390</v>
      </c>
      <c r="L513" t="s">
        <v>1391</v>
      </c>
      <c r="M513" t="s">
        <v>1325</v>
      </c>
      <c r="N513">
        <v>50000</v>
      </c>
      <c r="O513" s="1" t="s">
        <v>1305</v>
      </c>
      <c r="P513" t="s">
        <v>1392</v>
      </c>
      <c r="Q513" t="s">
        <v>1294</v>
      </c>
      <c r="S513" t="s">
        <v>1294</v>
      </c>
      <c r="T513" t="s">
        <v>2420</v>
      </c>
      <c r="U513">
        <v>13581</v>
      </c>
      <c r="V513" t="s">
        <v>1388</v>
      </c>
    </row>
    <row r="514" spans="1:22" ht="30" x14ac:dyDescent="0.25">
      <c r="A514" t="s">
        <v>1871</v>
      </c>
      <c r="B514" s="1" t="s">
        <v>1388</v>
      </c>
      <c r="C514" s="1" t="s">
        <v>1530</v>
      </c>
      <c r="D514" s="1" t="s">
        <v>1288</v>
      </c>
      <c r="E514" s="1" t="s">
        <v>1293</v>
      </c>
      <c r="F514" t="s">
        <v>2421</v>
      </c>
      <c r="G514" t="s">
        <v>1389</v>
      </c>
      <c r="H514" t="s">
        <v>381</v>
      </c>
      <c r="I514" t="s">
        <v>1285</v>
      </c>
      <c r="J514" t="s">
        <v>1201</v>
      </c>
      <c r="K514" t="s">
        <v>1390</v>
      </c>
      <c r="L514" t="s">
        <v>1391</v>
      </c>
      <c r="M514" t="s">
        <v>1325</v>
      </c>
      <c r="N514">
        <v>50000</v>
      </c>
      <c r="O514" s="1" t="s">
        <v>1305</v>
      </c>
      <c r="P514" t="s">
        <v>1392</v>
      </c>
      <c r="Q514" t="s">
        <v>1294</v>
      </c>
      <c r="S514" t="s">
        <v>1294</v>
      </c>
      <c r="T514" t="s">
        <v>2422</v>
      </c>
      <c r="U514">
        <v>5627</v>
      </c>
      <c r="V514" t="s">
        <v>1388</v>
      </c>
    </row>
    <row r="515" spans="1:22" ht="30" x14ac:dyDescent="0.25">
      <c r="A515" t="s">
        <v>1871</v>
      </c>
      <c r="B515" s="1" t="s">
        <v>1388</v>
      </c>
      <c r="C515" s="1" t="s">
        <v>1530</v>
      </c>
      <c r="D515" s="1" t="s">
        <v>1288</v>
      </c>
      <c r="E515" s="1" t="s">
        <v>1293</v>
      </c>
      <c r="F515" t="s">
        <v>2423</v>
      </c>
      <c r="G515" t="s">
        <v>1389</v>
      </c>
      <c r="H515" t="s">
        <v>381</v>
      </c>
      <c r="I515" t="s">
        <v>1285</v>
      </c>
      <c r="J515" t="s">
        <v>1201</v>
      </c>
      <c r="K515" t="s">
        <v>1390</v>
      </c>
      <c r="L515" t="s">
        <v>1391</v>
      </c>
      <c r="M515" t="s">
        <v>1325</v>
      </c>
      <c r="N515">
        <v>50000</v>
      </c>
      <c r="O515" s="1" t="s">
        <v>1305</v>
      </c>
      <c r="P515" t="s">
        <v>1392</v>
      </c>
      <c r="Q515" t="s">
        <v>1294</v>
      </c>
      <c r="S515" t="s">
        <v>1294</v>
      </c>
      <c r="T515" t="s">
        <v>2424</v>
      </c>
      <c r="U515">
        <v>1919</v>
      </c>
      <c r="V515" t="s">
        <v>1388</v>
      </c>
    </row>
    <row r="516" spans="1:22" ht="30" x14ac:dyDescent="0.25">
      <c r="A516" t="s">
        <v>1871</v>
      </c>
      <c r="B516" s="1" t="s">
        <v>1388</v>
      </c>
      <c r="C516" s="1" t="s">
        <v>1530</v>
      </c>
      <c r="D516" s="1" t="s">
        <v>1288</v>
      </c>
      <c r="E516" s="1" t="s">
        <v>1293</v>
      </c>
      <c r="F516" t="s">
        <v>2425</v>
      </c>
      <c r="G516" t="s">
        <v>1389</v>
      </c>
      <c r="H516" t="s">
        <v>381</v>
      </c>
      <c r="I516" t="s">
        <v>1285</v>
      </c>
      <c r="J516" t="s">
        <v>1201</v>
      </c>
      <c r="K516" t="s">
        <v>1390</v>
      </c>
      <c r="L516" t="s">
        <v>1391</v>
      </c>
      <c r="M516" t="s">
        <v>1325</v>
      </c>
      <c r="N516">
        <v>50000</v>
      </c>
      <c r="O516" s="1" t="s">
        <v>1305</v>
      </c>
      <c r="P516" t="s">
        <v>1392</v>
      </c>
      <c r="Q516" t="s">
        <v>1294</v>
      </c>
      <c r="S516" t="s">
        <v>1294</v>
      </c>
      <c r="T516" t="s">
        <v>2426</v>
      </c>
      <c r="U516">
        <v>44035</v>
      </c>
      <c r="V516" t="s">
        <v>1388</v>
      </c>
    </row>
    <row r="517" spans="1:22" ht="30" x14ac:dyDescent="0.25">
      <c r="A517" t="s">
        <v>1871</v>
      </c>
      <c r="B517" s="1" t="s">
        <v>1388</v>
      </c>
      <c r="C517" s="1" t="s">
        <v>1530</v>
      </c>
      <c r="D517" s="1" t="s">
        <v>1288</v>
      </c>
      <c r="E517" s="1" t="s">
        <v>1293</v>
      </c>
      <c r="F517" t="s">
        <v>2568</v>
      </c>
      <c r="G517" t="s">
        <v>1389</v>
      </c>
      <c r="H517" t="s">
        <v>381</v>
      </c>
      <c r="I517" t="s">
        <v>1285</v>
      </c>
      <c r="J517" t="s">
        <v>1201</v>
      </c>
      <c r="K517" t="s">
        <v>1390</v>
      </c>
      <c r="L517" t="s">
        <v>1391</v>
      </c>
      <c r="M517" t="s">
        <v>1325</v>
      </c>
      <c r="N517">
        <v>50000</v>
      </c>
      <c r="O517" s="1" t="s">
        <v>1305</v>
      </c>
      <c r="P517" t="s">
        <v>1392</v>
      </c>
      <c r="Q517" t="s">
        <v>1294</v>
      </c>
      <c r="S517" t="s">
        <v>1294</v>
      </c>
      <c r="T517" t="s">
        <v>2569</v>
      </c>
      <c r="U517">
        <v>2330</v>
      </c>
      <c r="V517" t="s">
        <v>1388</v>
      </c>
    </row>
    <row r="518" spans="1:22" ht="30" x14ac:dyDescent="0.25">
      <c r="A518" t="s">
        <v>1871</v>
      </c>
      <c r="B518" s="1" t="s">
        <v>1388</v>
      </c>
      <c r="C518" s="1" t="s">
        <v>1530</v>
      </c>
      <c r="D518" s="1" t="s">
        <v>1288</v>
      </c>
      <c r="E518" s="1" t="s">
        <v>1293</v>
      </c>
      <c r="F518" t="s">
        <v>2570</v>
      </c>
      <c r="G518" t="s">
        <v>1389</v>
      </c>
      <c r="H518" t="s">
        <v>381</v>
      </c>
      <c r="I518" t="s">
        <v>1285</v>
      </c>
      <c r="J518" t="s">
        <v>1201</v>
      </c>
      <c r="K518" t="s">
        <v>1390</v>
      </c>
      <c r="L518" t="s">
        <v>1391</v>
      </c>
      <c r="M518" t="s">
        <v>1325</v>
      </c>
      <c r="N518">
        <v>50000</v>
      </c>
      <c r="O518" s="1" t="s">
        <v>1305</v>
      </c>
      <c r="P518" t="s">
        <v>1392</v>
      </c>
      <c r="Q518" t="s">
        <v>1294</v>
      </c>
      <c r="S518" t="s">
        <v>1294</v>
      </c>
      <c r="T518" t="s">
        <v>2571</v>
      </c>
      <c r="U518">
        <v>741</v>
      </c>
      <c r="V518" t="s">
        <v>1388</v>
      </c>
    </row>
    <row r="519" spans="1:22" x14ac:dyDescent="0.25">
      <c r="A519" t="s">
        <v>1871</v>
      </c>
      <c r="B519" s="1" t="s">
        <v>1388</v>
      </c>
      <c r="C519" s="1" t="s">
        <v>1530</v>
      </c>
      <c r="D519" s="1" t="s">
        <v>1288</v>
      </c>
      <c r="E519" s="1" t="s">
        <v>1504</v>
      </c>
      <c r="F519" t="s">
        <v>2574</v>
      </c>
      <c r="G519" t="s">
        <v>1389</v>
      </c>
      <c r="H519" t="s">
        <v>381</v>
      </c>
      <c r="I519" t="s">
        <v>1285</v>
      </c>
      <c r="J519" t="s">
        <v>1201</v>
      </c>
      <c r="K519" t="s">
        <v>1390</v>
      </c>
      <c r="L519" t="s">
        <v>1391</v>
      </c>
      <c r="M519" t="s">
        <v>1325</v>
      </c>
      <c r="N519">
        <v>50000</v>
      </c>
      <c r="O519" s="1" t="s">
        <v>1305</v>
      </c>
      <c r="P519" t="s">
        <v>1392</v>
      </c>
      <c r="Q519" t="s">
        <v>1294</v>
      </c>
      <c r="S519" t="s">
        <v>1294</v>
      </c>
      <c r="T519" t="s">
        <v>2575</v>
      </c>
      <c r="U519">
        <v>166924</v>
      </c>
      <c r="V519" t="s">
        <v>1388</v>
      </c>
    </row>
    <row r="520" spans="1:22" x14ac:dyDescent="0.25">
      <c r="A520" t="s">
        <v>1871</v>
      </c>
      <c r="B520" s="1" t="s">
        <v>1388</v>
      </c>
      <c r="C520" s="1" t="s">
        <v>1530</v>
      </c>
      <c r="D520" s="1" t="s">
        <v>1288</v>
      </c>
      <c r="E520" s="1" t="s">
        <v>1378</v>
      </c>
      <c r="F520" t="s">
        <v>2578</v>
      </c>
      <c r="G520" t="s">
        <v>1389</v>
      </c>
      <c r="H520" t="s">
        <v>381</v>
      </c>
      <c r="I520" t="s">
        <v>1285</v>
      </c>
      <c r="J520" t="s">
        <v>1201</v>
      </c>
      <c r="K520" t="s">
        <v>1390</v>
      </c>
      <c r="L520" t="s">
        <v>1391</v>
      </c>
      <c r="M520" t="s">
        <v>1325</v>
      </c>
      <c r="N520">
        <v>50000</v>
      </c>
      <c r="O520" s="1" t="s">
        <v>1305</v>
      </c>
      <c r="P520" t="s">
        <v>1392</v>
      </c>
      <c r="Q520" t="s">
        <v>1294</v>
      </c>
      <c r="S520" t="s">
        <v>1294</v>
      </c>
      <c r="T520" t="s">
        <v>2579</v>
      </c>
      <c r="U520">
        <v>29473</v>
      </c>
      <c r="V520" t="s">
        <v>1388</v>
      </c>
    </row>
    <row r="521" spans="1:22" x14ac:dyDescent="0.25">
      <c r="A521" t="s">
        <v>1871</v>
      </c>
      <c r="B521" s="1" t="s">
        <v>1388</v>
      </c>
      <c r="C521" s="1" t="s">
        <v>1530</v>
      </c>
      <c r="D521" s="1" t="s">
        <v>1288</v>
      </c>
      <c r="E521" s="1" t="s">
        <v>1374</v>
      </c>
      <c r="F521" t="s">
        <v>2593</v>
      </c>
      <c r="G521" t="s">
        <v>1389</v>
      </c>
      <c r="H521" t="s">
        <v>381</v>
      </c>
      <c r="I521" t="s">
        <v>1285</v>
      </c>
      <c r="J521" t="s">
        <v>1201</v>
      </c>
      <c r="K521" t="s">
        <v>1390</v>
      </c>
      <c r="L521" t="s">
        <v>1391</v>
      </c>
      <c r="M521" t="s">
        <v>1325</v>
      </c>
      <c r="N521">
        <v>50000</v>
      </c>
      <c r="O521" s="1" t="s">
        <v>1305</v>
      </c>
      <c r="P521" t="s">
        <v>1392</v>
      </c>
      <c r="Q521" t="s">
        <v>1294</v>
      </c>
      <c r="S521" t="s">
        <v>1294</v>
      </c>
      <c r="T521" t="s">
        <v>2594</v>
      </c>
      <c r="U521">
        <v>22076</v>
      </c>
      <c r="V521" t="s">
        <v>1388</v>
      </c>
    </row>
    <row r="522" spans="1:22" ht="30" x14ac:dyDescent="0.25">
      <c r="A522" t="s">
        <v>1871</v>
      </c>
      <c r="B522" s="1" t="s">
        <v>1388</v>
      </c>
      <c r="C522" s="1" t="s">
        <v>1530</v>
      </c>
      <c r="D522" s="1" t="s">
        <v>1288</v>
      </c>
      <c r="E522" s="1" t="s">
        <v>1410</v>
      </c>
      <c r="F522" t="s">
        <v>2613</v>
      </c>
      <c r="G522" t="s">
        <v>1389</v>
      </c>
      <c r="H522" t="s">
        <v>381</v>
      </c>
      <c r="I522" t="s">
        <v>1285</v>
      </c>
      <c r="J522" t="s">
        <v>1201</v>
      </c>
      <c r="K522" t="s">
        <v>1390</v>
      </c>
      <c r="L522" t="s">
        <v>1391</v>
      </c>
      <c r="M522" t="s">
        <v>1325</v>
      </c>
      <c r="N522">
        <v>50000</v>
      </c>
      <c r="O522" s="1" t="s">
        <v>1305</v>
      </c>
      <c r="P522" t="s">
        <v>1392</v>
      </c>
      <c r="Q522" t="s">
        <v>1294</v>
      </c>
      <c r="S522" t="s">
        <v>1294</v>
      </c>
      <c r="T522" t="s">
        <v>2614</v>
      </c>
      <c r="U522">
        <v>100046</v>
      </c>
      <c r="V522" t="s">
        <v>1388</v>
      </c>
    </row>
    <row r="523" spans="1:22" x14ac:dyDescent="0.25">
      <c r="A523" t="s">
        <v>1871</v>
      </c>
      <c r="B523" s="1" t="s">
        <v>1388</v>
      </c>
      <c r="C523" s="1" t="s">
        <v>1530</v>
      </c>
      <c r="D523" s="1" t="s">
        <v>1288</v>
      </c>
      <c r="E523" s="1" t="s">
        <v>1358</v>
      </c>
      <c r="F523" t="s">
        <v>2618</v>
      </c>
      <c r="G523" t="s">
        <v>1389</v>
      </c>
      <c r="H523" t="s">
        <v>381</v>
      </c>
      <c r="I523" t="s">
        <v>1285</v>
      </c>
      <c r="J523" t="s">
        <v>1201</v>
      </c>
      <c r="K523" t="s">
        <v>1390</v>
      </c>
      <c r="L523" t="s">
        <v>1391</v>
      </c>
      <c r="M523" t="s">
        <v>1325</v>
      </c>
      <c r="N523">
        <v>50000</v>
      </c>
      <c r="O523" s="1" t="s">
        <v>1305</v>
      </c>
      <c r="P523" t="s">
        <v>1392</v>
      </c>
      <c r="Q523" t="s">
        <v>1294</v>
      </c>
      <c r="S523" t="s">
        <v>1294</v>
      </c>
      <c r="T523" t="s">
        <v>2619</v>
      </c>
      <c r="U523">
        <v>95647</v>
      </c>
      <c r="V523" t="s">
        <v>1388</v>
      </c>
    </row>
    <row r="524" spans="1:22" x14ac:dyDescent="0.25">
      <c r="A524" t="s">
        <v>1871</v>
      </c>
      <c r="B524" s="1" t="s">
        <v>1388</v>
      </c>
      <c r="C524" s="1" t="s">
        <v>1530</v>
      </c>
      <c r="D524" s="1" t="s">
        <v>1288</v>
      </c>
      <c r="E524" s="1" t="s">
        <v>1504</v>
      </c>
      <c r="F524" t="s">
        <v>2669</v>
      </c>
      <c r="G524" t="s">
        <v>1389</v>
      </c>
      <c r="H524" t="s">
        <v>381</v>
      </c>
      <c r="I524" t="s">
        <v>1285</v>
      </c>
      <c r="J524" t="s">
        <v>1201</v>
      </c>
      <c r="K524" t="s">
        <v>1390</v>
      </c>
      <c r="L524" t="s">
        <v>1391</v>
      </c>
      <c r="M524" t="s">
        <v>1325</v>
      </c>
      <c r="N524">
        <v>50000</v>
      </c>
      <c r="O524" s="1" t="s">
        <v>1305</v>
      </c>
      <c r="P524" t="s">
        <v>1392</v>
      </c>
      <c r="Q524" t="s">
        <v>1294</v>
      </c>
      <c r="S524" t="s">
        <v>1294</v>
      </c>
      <c r="T524" t="s">
        <v>2670</v>
      </c>
      <c r="U524">
        <v>8970</v>
      </c>
      <c r="V524" t="s">
        <v>1388</v>
      </c>
    </row>
    <row r="525" spans="1:22" x14ac:dyDescent="0.25">
      <c r="A525" t="s">
        <v>1871</v>
      </c>
      <c r="B525" s="1" t="s">
        <v>1388</v>
      </c>
      <c r="C525" s="1" t="s">
        <v>1530</v>
      </c>
      <c r="D525" s="1" t="s">
        <v>1288</v>
      </c>
      <c r="E525" s="1" t="s">
        <v>1374</v>
      </c>
      <c r="F525" t="s">
        <v>2671</v>
      </c>
      <c r="G525" t="s">
        <v>1389</v>
      </c>
      <c r="H525" t="s">
        <v>381</v>
      </c>
      <c r="I525" t="s">
        <v>1285</v>
      </c>
      <c r="J525" t="s">
        <v>1201</v>
      </c>
      <c r="K525" t="s">
        <v>1390</v>
      </c>
      <c r="L525" t="s">
        <v>1391</v>
      </c>
      <c r="M525" t="s">
        <v>1325</v>
      </c>
      <c r="N525">
        <v>50000</v>
      </c>
      <c r="O525" s="1" t="s">
        <v>1305</v>
      </c>
      <c r="P525" t="s">
        <v>1392</v>
      </c>
      <c r="Q525" t="s">
        <v>1294</v>
      </c>
      <c r="S525" t="s">
        <v>1294</v>
      </c>
      <c r="T525" t="s">
        <v>2672</v>
      </c>
      <c r="U525">
        <v>3461</v>
      </c>
      <c r="V525" t="s">
        <v>1388</v>
      </c>
    </row>
    <row r="526" spans="1:22" x14ac:dyDescent="0.25">
      <c r="A526" t="s">
        <v>1871</v>
      </c>
      <c r="B526" s="1" t="s">
        <v>1388</v>
      </c>
      <c r="C526" s="1" t="s">
        <v>1530</v>
      </c>
      <c r="D526" s="1" t="s">
        <v>1288</v>
      </c>
      <c r="E526" s="1" t="s">
        <v>1358</v>
      </c>
      <c r="F526" t="s">
        <v>2843</v>
      </c>
      <c r="G526" t="s">
        <v>1389</v>
      </c>
      <c r="H526" t="s">
        <v>381</v>
      </c>
      <c r="I526" t="s">
        <v>1285</v>
      </c>
      <c r="J526" t="s">
        <v>1201</v>
      </c>
      <c r="K526" t="s">
        <v>1390</v>
      </c>
      <c r="L526" t="s">
        <v>1391</v>
      </c>
      <c r="M526" t="s">
        <v>1325</v>
      </c>
      <c r="N526">
        <v>50000</v>
      </c>
      <c r="O526" s="1" t="s">
        <v>1305</v>
      </c>
      <c r="P526" t="s">
        <v>1392</v>
      </c>
      <c r="Q526" t="s">
        <v>1294</v>
      </c>
      <c r="S526" t="s">
        <v>1294</v>
      </c>
      <c r="T526" t="s">
        <v>2844</v>
      </c>
      <c r="U526">
        <v>7894</v>
      </c>
      <c r="V526" t="s">
        <v>1388</v>
      </c>
    </row>
    <row r="527" spans="1:22" x14ac:dyDescent="0.25">
      <c r="A527" t="s">
        <v>1871</v>
      </c>
      <c r="B527" s="1" t="s">
        <v>1388</v>
      </c>
      <c r="C527" s="1" t="s">
        <v>1530</v>
      </c>
      <c r="D527" s="1" t="s">
        <v>1288</v>
      </c>
      <c r="E527" s="1" t="s">
        <v>1358</v>
      </c>
      <c r="F527" t="s">
        <v>2874</v>
      </c>
      <c r="G527" t="s">
        <v>1389</v>
      </c>
      <c r="H527" t="s">
        <v>381</v>
      </c>
      <c r="I527" t="s">
        <v>1285</v>
      </c>
      <c r="J527" t="s">
        <v>1201</v>
      </c>
      <c r="K527" t="s">
        <v>1390</v>
      </c>
      <c r="L527" t="s">
        <v>1391</v>
      </c>
      <c r="M527" t="s">
        <v>1325</v>
      </c>
      <c r="N527">
        <v>50000</v>
      </c>
      <c r="O527" s="1" t="s">
        <v>1305</v>
      </c>
      <c r="P527" t="s">
        <v>1392</v>
      </c>
      <c r="Q527" t="s">
        <v>1294</v>
      </c>
      <c r="S527" t="s">
        <v>1294</v>
      </c>
      <c r="T527" t="s">
        <v>2875</v>
      </c>
      <c r="U527">
        <v>216996</v>
      </c>
      <c r="V527" t="s">
        <v>1388</v>
      </c>
    </row>
    <row r="528" spans="1:22" ht="30" x14ac:dyDescent="0.25">
      <c r="A528" t="s">
        <v>1871</v>
      </c>
      <c r="B528" s="1" t="s">
        <v>1388</v>
      </c>
      <c r="C528" s="1" t="s">
        <v>1530</v>
      </c>
      <c r="D528" s="1" t="s">
        <v>1288</v>
      </c>
      <c r="E528" s="1" t="s">
        <v>1293</v>
      </c>
      <c r="F528" t="s">
        <v>2937</v>
      </c>
      <c r="G528" t="s">
        <v>1389</v>
      </c>
      <c r="H528" t="s">
        <v>381</v>
      </c>
      <c r="I528" t="s">
        <v>1285</v>
      </c>
      <c r="J528" t="s">
        <v>1201</v>
      </c>
      <c r="K528" t="s">
        <v>1390</v>
      </c>
      <c r="L528" t="s">
        <v>1391</v>
      </c>
      <c r="M528" t="s">
        <v>1325</v>
      </c>
      <c r="N528">
        <v>50000</v>
      </c>
      <c r="O528" s="1" t="s">
        <v>1305</v>
      </c>
      <c r="P528" t="s">
        <v>1392</v>
      </c>
      <c r="Q528" t="s">
        <v>1294</v>
      </c>
      <c r="S528" t="s">
        <v>1294</v>
      </c>
      <c r="T528" t="s">
        <v>2938</v>
      </c>
      <c r="U528">
        <v>61329</v>
      </c>
      <c r="V528" t="s">
        <v>1388</v>
      </c>
    </row>
    <row r="529" spans="1:22" x14ac:dyDescent="0.25">
      <c r="A529" t="s">
        <v>1871</v>
      </c>
      <c r="B529" s="1" t="s">
        <v>1388</v>
      </c>
      <c r="C529" s="1" t="s">
        <v>1530</v>
      </c>
      <c r="D529" s="1" t="s">
        <v>1288</v>
      </c>
      <c r="E529" s="1" t="s">
        <v>1374</v>
      </c>
      <c r="F529" t="s">
        <v>2977</v>
      </c>
      <c r="G529" t="s">
        <v>1389</v>
      </c>
      <c r="H529" t="s">
        <v>381</v>
      </c>
      <c r="I529" t="s">
        <v>1285</v>
      </c>
      <c r="J529" t="s">
        <v>1201</v>
      </c>
      <c r="K529" t="s">
        <v>1390</v>
      </c>
      <c r="L529" t="s">
        <v>1391</v>
      </c>
      <c r="M529" t="s">
        <v>1325</v>
      </c>
      <c r="N529">
        <v>50000</v>
      </c>
      <c r="O529" s="1" t="s">
        <v>1305</v>
      </c>
      <c r="P529" t="s">
        <v>1392</v>
      </c>
      <c r="Q529" t="s">
        <v>1294</v>
      </c>
      <c r="S529" t="s">
        <v>1294</v>
      </c>
      <c r="T529" t="s">
        <v>2978</v>
      </c>
      <c r="U529">
        <v>290393</v>
      </c>
      <c r="V529" t="s">
        <v>1388</v>
      </c>
    </row>
    <row r="530" spans="1:22" ht="30" x14ac:dyDescent="0.25">
      <c r="A530" t="s">
        <v>1871</v>
      </c>
      <c r="B530" s="1" t="s">
        <v>1388</v>
      </c>
      <c r="C530" s="1" t="s">
        <v>1530</v>
      </c>
      <c r="D530" s="1" t="s">
        <v>1288</v>
      </c>
      <c r="E530" s="1" t="s">
        <v>1293</v>
      </c>
      <c r="F530" t="s">
        <v>3003</v>
      </c>
      <c r="G530" t="s">
        <v>1389</v>
      </c>
      <c r="H530" t="s">
        <v>381</v>
      </c>
      <c r="I530" t="s">
        <v>1285</v>
      </c>
      <c r="J530" t="s">
        <v>1201</v>
      </c>
      <c r="K530" t="s">
        <v>1390</v>
      </c>
      <c r="L530" t="s">
        <v>1391</v>
      </c>
      <c r="M530" t="s">
        <v>1325</v>
      </c>
      <c r="N530">
        <v>50000</v>
      </c>
      <c r="O530" s="1" t="s">
        <v>1305</v>
      </c>
      <c r="P530" t="s">
        <v>1392</v>
      </c>
      <c r="Q530" t="s">
        <v>1294</v>
      </c>
      <c r="S530" t="s">
        <v>1294</v>
      </c>
      <c r="T530" t="s">
        <v>3004</v>
      </c>
      <c r="U530">
        <v>10867</v>
      </c>
      <c r="V530" t="s">
        <v>1388</v>
      </c>
    </row>
    <row r="531" spans="1:22" ht="30" x14ac:dyDescent="0.25">
      <c r="A531" t="s">
        <v>1871</v>
      </c>
      <c r="B531" s="1" t="s">
        <v>1388</v>
      </c>
      <c r="C531" s="1" t="s">
        <v>1530</v>
      </c>
      <c r="D531" s="1" t="s">
        <v>1288</v>
      </c>
      <c r="E531" s="1" t="s">
        <v>1293</v>
      </c>
      <c r="F531" t="s">
        <v>3005</v>
      </c>
      <c r="G531" t="s">
        <v>1389</v>
      </c>
      <c r="H531" t="s">
        <v>381</v>
      </c>
      <c r="I531" t="s">
        <v>1285</v>
      </c>
      <c r="J531" t="s">
        <v>1201</v>
      </c>
      <c r="K531" t="s">
        <v>1390</v>
      </c>
      <c r="L531" t="s">
        <v>1391</v>
      </c>
      <c r="M531" t="s">
        <v>1325</v>
      </c>
      <c r="N531">
        <v>50000</v>
      </c>
      <c r="O531" s="1" t="s">
        <v>1305</v>
      </c>
      <c r="P531" t="s">
        <v>1392</v>
      </c>
      <c r="Q531" t="s">
        <v>1294</v>
      </c>
      <c r="S531" t="s">
        <v>1294</v>
      </c>
      <c r="T531" t="s">
        <v>3006</v>
      </c>
      <c r="U531">
        <v>20897</v>
      </c>
      <c r="V531" t="s">
        <v>1388</v>
      </c>
    </row>
    <row r="532" spans="1:22" ht="30" x14ac:dyDescent="0.25">
      <c r="A532" t="s">
        <v>1871</v>
      </c>
      <c r="B532" s="1" t="s">
        <v>1388</v>
      </c>
      <c r="C532" s="1" t="s">
        <v>1530</v>
      </c>
      <c r="D532" s="1" t="s">
        <v>1288</v>
      </c>
      <c r="E532" s="1" t="s">
        <v>1293</v>
      </c>
      <c r="F532" t="s">
        <v>3007</v>
      </c>
      <c r="G532" t="s">
        <v>1389</v>
      </c>
      <c r="H532" t="s">
        <v>381</v>
      </c>
      <c r="I532" t="s">
        <v>1285</v>
      </c>
      <c r="J532" t="s">
        <v>1201</v>
      </c>
      <c r="K532" t="s">
        <v>1390</v>
      </c>
      <c r="L532" t="s">
        <v>1391</v>
      </c>
      <c r="M532" t="s">
        <v>1325</v>
      </c>
      <c r="N532">
        <v>50000</v>
      </c>
      <c r="O532" s="1" t="s">
        <v>1305</v>
      </c>
      <c r="P532" t="s">
        <v>1392</v>
      </c>
      <c r="Q532" t="s">
        <v>1294</v>
      </c>
      <c r="S532" t="s">
        <v>1294</v>
      </c>
      <c r="T532" t="s">
        <v>3008</v>
      </c>
      <c r="U532">
        <v>7975</v>
      </c>
      <c r="V532" t="s">
        <v>1388</v>
      </c>
    </row>
    <row r="533" spans="1:22" x14ac:dyDescent="0.25">
      <c r="A533" t="s">
        <v>1871</v>
      </c>
      <c r="B533" s="1" t="s">
        <v>1388</v>
      </c>
      <c r="C533" s="1" t="s">
        <v>1530</v>
      </c>
      <c r="D533" s="1" t="s">
        <v>1288</v>
      </c>
      <c r="E533" s="1" t="s">
        <v>1358</v>
      </c>
      <c r="F533" t="s">
        <v>3151</v>
      </c>
      <c r="G533" t="s">
        <v>1389</v>
      </c>
      <c r="H533" t="s">
        <v>381</v>
      </c>
      <c r="I533" t="s">
        <v>1285</v>
      </c>
      <c r="J533" t="s">
        <v>1201</v>
      </c>
      <c r="K533" t="s">
        <v>1390</v>
      </c>
      <c r="L533" t="s">
        <v>1391</v>
      </c>
      <c r="M533" t="s">
        <v>1325</v>
      </c>
      <c r="N533">
        <v>50000</v>
      </c>
      <c r="O533" s="1" t="s">
        <v>1305</v>
      </c>
      <c r="P533" t="s">
        <v>1392</v>
      </c>
      <c r="Q533" t="s">
        <v>1294</v>
      </c>
      <c r="S533" t="s">
        <v>1294</v>
      </c>
      <c r="T533" t="s">
        <v>3152</v>
      </c>
      <c r="U533">
        <v>11171</v>
      </c>
      <c r="V533" t="s">
        <v>1388</v>
      </c>
    </row>
    <row r="534" spans="1:22" x14ac:dyDescent="0.25">
      <c r="A534" t="s">
        <v>1871</v>
      </c>
      <c r="B534" s="1" t="s">
        <v>1388</v>
      </c>
      <c r="C534" s="1" t="s">
        <v>1530</v>
      </c>
      <c r="D534" s="1" t="s">
        <v>1288</v>
      </c>
      <c r="E534" s="1" t="s">
        <v>1358</v>
      </c>
      <c r="F534" t="s">
        <v>3335</v>
      </c>
      <c r="G534" t="s">
        <v>1389</v>
      </c>
      <c r="H534" t="s">
        <v>381</v>
      </c>
      <c r="I534" t="s">
        <v>1285</v>
      </c>
      <c r="J534" t="s">
        <v>1201</v>
      </c>
      <c r="K534" t="s">
        <v>1390</v>
      </c>
      <c r="L534" t="s">
        <v>1391</v>
      </c>
      <c r="M534" t="s">
        <v>1325</v>
      </c>
      <c r="N534">
        <v>50000</v>
      </c>
      <c r="O534" s="1" t="s">
        <v>1305</v>
      </c>
      <c r="P534" t="s">
        <v>1392</v>
      </c>
      <c r="Q534" t="s">
        <v>1294</v>
      </c>
      <c r="S534" t="s">
        <v>1294</v>
      </c>
      <c r="T534" t="s">
        <v>2844</v>
      </c>
      <c r="U534">
        <v>107607</v>
      </c>
      <c r="V534" t="s">
        <v>1388</v>
      </c>
    </row>
    <row r="535" spans="1:22" x14ac:dyDescent="0.25">
      <c r="A535" t="s">
        <v>1871</v>
      </c>
      <c r="B535" s="1" t="s">
        <v>1388</v>
      </c>
      <c r="C535" s="1" t="s">
        <v>1530</v>
      </c>
      <c r="D535" s="1" t="s">
        <v>1288</v>
      </c>
      <c r="E535" s="1" t="s">
        <v>1374</v>
      </c>
      <c r="F535" t="s">
        <v>3386</v>
      </c>
      <c r="G535" t="s">
        <v>1389</v>
      </c>
      <c r="H535" t="s">
        <v>381</v>
      </c>
      <c r="I535" t="s">
        <v>1285</v>
      </c>
      <c r="J535" t="s">
        <v>1201</v>
      </c>
      <c r="K535" t="s">
        <v>1390</v>
      </c>
      <c r="L535" t="s">
        <v>1391</v>
      </c>
      <c r="M535" t="s">
        <v>1325</v>
      </c>
      <c r="N535">
        <v>50000</v>
      </c>
      <c r="O535" s="1" t="s">
        <v>1305</v>
      </c>
      <c r="P535" t="s">
        <v>1392</v>
      </c>
      <c r="Q535" t="s">
        <v>1294</v>
      </c>
      <c r="S535" t="s">
        <v>1294</v>
      </c>
      <c r="T535" t="s">
        <v>3387</v>
      </c>
      <c r="U535">
        <v>10540</v>
      </c>
      <c r="V535" t="s">
        <v>1388</v>
      </c>
    </row>
    <row r="536" spans="1:22" ht="45" x14ac:dyDescent="0.25">
      <c r="A536" t="s">
        <v>1460</v>
      </c>
      <c r="B536" s="1" t="s">
        <v>1623</v>
      </c>
      <c r="C536" s="1" t="s">
        <v>1320</v>
      </c>
      <c r="D536" s="1" t="s">
        <v>1325</v>
      </c>
      <c r="E536" s="1" t="s">
        <v>1374</v>
      </c>
      <c r="F536" t="s">
        <v>1622</v>
      </c>
      <c r="G536" t="s">
        <v>1624</v>
      </c>
      <c r="H536" t="s">
        <v>381</v>
      </c>
      <c r="I536" t="s">
        <v>1285</v>
      </c>
      <c r="J536" t="s">
        <v>1361</v>
      </c>
      <c r="K536" t="s">
        <v>1625</v>
      </c>
      <c r="L536" t="s">
        <v>1626</v>
      </c>
      <c r="M536" t="s">
        <v>1325</v>
      </c>
      <c r="N536">
        <v>60000</v>
      </c>
      <c r="O536" s="1" t="s">
        <v>795</v>
      </c>
      <c r="P536" t="s">
        <v>1392</v>
      </c>
      <c r="Q536" t="s">
        <v>1294</v>
      </c>
      <c r="S536" t="s">
        <v>1294</v>
      </c>
      <c r="T536" t="s">
        <v>1296</v>
      </c>
      <c r="U536">
        <v>0</v>
      </c>
      <c r="V536" t="s">
        <v>1623</v>
      </c>
    </row>
    <row r="537" spans="1:22" ht="45" x14ac:dyDescent="0.25">
      <c r="A537" t="s">
        <v>1325</v>
      </c>
      <c r="B537" s="1" t="s">
        <v>1623</v>
      </c>
      <c r="C537" s="1" t="s">
        <v>1530</v>
      </c>
      <c r="D537" s="1" t="s">
        <v>1325</v>
      </c>
      <c r="E537" s="1" t="s">
        <v>1374</v>
      </c>
      <c r="F537" t="s">
        <v>3463</v>
      </c>
      <c r="G537" t="s">
        <v>1624</v>
      </c>
      <c r="H537" t="s">
        <v>381</v>
      </c>
      <c r="I537" t="s">
        <v>1285</v>
      </c>
      <c r="J537" t="s">
        <v>1361</v>
      </c>
      <c r="K537" t="s">
        <v>1625</v>
      </c>
      <c r="L537" t="s">
        <v>1626</v>
      </c>
      <c r="M537" t="s">
        <v>1325</v>
      </c>
      <c r="N537">
        <v>60000</v>
      </c>
      <c r="O537" s="1" t="s">
        <v>795</v>
      </c>
      <c r="P537" t="s">
        <v>1392</v>
      </c>
      <c r="Q537" t="s">
        <v>1294</v>
      </c>
      <c r="S537" t="s">
        <v>1294</v>
      </c>
      <c r="T537" t="s">
        <v>1296</v>
      </c>
      <c r="U537">
        <v>0</v>
      </c>
      <c r="V537" t="s">
        <v>1623</v>
      </c>
    </row>
    <row r="538" spans="1:22" ht="45" x14ac:dyDescent="0.25">
      <c r="A538" t="s">
        <v>1325</v>
      </c>
      <c r="B538" s="1" t="s">
        <v>1623</v>
      </c>
      <c r="C538" s="1" t="s">
        <v>1530</v>
      </c>
      <c r="D538" s="1" t="s">
        <v>1325</v>
      </c>
      <c r="E538" s="1" t="s">
        <v>1374</v>
      </c>
      <c r="F538" t="s">
        <v>3466</v>
      </c>
      <c r="G538" t="s">
        <v>1624</v>
      </c>
      <c r="H538" t="s">
        <v>381</v>
      </c>
      <c r="I538" t="s">
        <v>1285</v>
      </c>
      <c r="J538" t="s">
        <v>1361</v>
      </c>
      <c r="K538" t="s">
        <v>1625</v>
      </c>
      <c r="L538" t="s">
        <v>1626</v>
      </c>
      <c r="M538" t="s">
        <v>1325</v>
      </c>
      <c r="N538">
        <v>60000</v>
      </c>
      <c r="O538" s="1" t="s">
        <v>795</v>
      </c>
      <c r="P538" t="s">
        <v>1392</v>
      </c>
      <c r="Q538" t="s">
        <v>1294</v>
      </c>
      <c r="S538" t="s">
        <v>1294</v>
      </c>
      <c r="T538" t="s">
        <v>1296</v>
      </c>
      <c r="U538">
        <v>0</v>
      </c>
      <c r="V538" t="s">
        <v>1623</v>
      </c>
    </row>
    <row r="539" spans="1:22" ht="45" x14ac:dyDescent="0.25">
      <c r="A539" t="s">
        <v>1325</v>
      </c>
      <c r="B539" s="1" t="s">
        <v>1623</v>
      </c>
      <c r="C539" s="1" t="s">
        <v>1530</v>
      </c>
      <c r="D539" s="1" t="s">
        <v>1325</v>
      </c>
      <c r="E539" s="1" t="s">
        <v>1374</v>
      </c>
      <c r="F539" t="s">
        <v>1624</v>
      </c>
      <c r="G539" t="s">
        <v>1624</v>
      </c>
      <c r="H539" t="s">
        <v>381</v>
      </c>
      <c r="I539" t="s">
        <v>1285</v>
      </c>
      <c r="J539" t="s">
        <v>1361</v>
      </c>
      <c r="K539" t="s">
        <v>1625</v>
      </c>
      <c r="L539" t="s">
        <v>1626</v>
      </c>
      <c r="M539" t="s">
        <v>1325</v>
      </c>
      <c r="N539">
        <v>60000</v>
      </c>
      <c r="O539" s="1" t="s">
        <v>795</v>
      </c>
      <c r="P539" t="s">
        <v>1392</v>
      </c>
      <c r="Q539" t="s">
        <v>1294</v>
      </c>
      <c r="S539" t="s">
        <v>1294</v>
      </c>
      <c r="T539" t="s">
        <v>1296</v>
      </c>
      <c r="U539">
        <v>0</v>
      </c>
      <c r="V539" t="s">
        <v>1623</v>
      </c>
    </row>
    <row r="540" spans="1:22" ht="30" x14ac:dyDescent="0.25">
      <c r="A540" t="s">
        <v>1325</v>
      </c>
      <c r="B540" s="1" t="s">
        <v>3448</v>
      </c>
      <c r="C540" s="1" t="s">
        <v>1530</v>
      </c>
      <c r="D540" s="1" t="s">
        <v>3453</v>
      </c>
      <c r="E540" s="1" t="s">
        <v>1410</v>
      </c>
      <c r="F540" t="s">
        <v>3447</v>
      </c>
      <c r="G540" t="s">
        <v>3449</v>
      </c>
      <c r="H540" t="s">
        <v>381</v>
      </c>
      <c r="I540" t="s">
        <v>1285</v>
      </c>
      <c r="J540" t="s">
        <v>1361</v>
      </c>
      <c r="K540" t="s">
        <v>3450</v>
      </c>
      <c r="L540" t="s">
        <v>3451</v>
      </c>
      <c r="M540" t="s">
        <v>3452</v>
      </c>
      <c r="N540">
        <v>45000</v>
      </c>
      <c r="O540" s="1" t="s">
        <v>1305</v>
      </c>
      <c r="P540" t="s">
        <v>1392</v>
      </c>
      <c r="Q540" t="s">
        <v>1294</v>
      </c>
      <c r="S540" t="s">
        <v>1294</v>
      </c>
      <c r="T540" t="s">
        <v>1296</v>
      </c>
      <c r="U540">
        <v>187045</v>
      </c>
      <c r="V540" t="s">
        <v>3454</v>
      </c>
    </row>
    <row r="541" spans="1:22" ht="30" x14ac:dyDescent="0.25">
      <c r="A541" t="s">
        <v>1325</v>
      </c>
      <c r="B541" s="1" t="s">
        <v>3448</v>
      </c>
      <c r="C541" s="1" t="s">
        <v>1327</v>
      </c>
      <c r="D541" s="1" t="s">
        <v>3453</v>
      </c>
      <c r="E541" s="1" t="s">
        <v>1410</v>
      </c>
      <c r="F541" t="s">
        <v>3455</v>
      </c>
      <c r="G541" t="s">
        <v>3449</v>
      </c>
      <c r="H541" t="s">
        <v>381</v>
      </c>
      <c r="I541" t="s">
        <v>1285</v>
      </c>
      <c r="J541" t="s">
        <v>1361</v>
      </c>
      <c r="K541" t="s">
        <v>3450</v>
      </c>
      <c r="L541" t="s">
        <v>3451</v>
      </c>
      <c r="M541" t="s">
        <v>3452</v>
      </c>
      <c r="N541">
        <v>45000</v>
      </c>
      <c r="O541" s="1" t="s">
        <v>1305</v>
      </c>
      <c r="P541" t="s">
        <v>1392</v>
      </c>
      <c r="Q541" t="s">
        <v>1294</v>
      </c>
      <c r="S541" t="s">
        <v>1294</v>
      </c>
      <c r="T541" t="s">
        <v>1296</v>
      </c>
      <c r="U541">
        <v>71333</v>
      </c>
      <c r="V541" t="s">
        <v>3454</v>
      </c>
    </row>
    <row r="542" spans="1:22" ht="30" x14ac:dyDescent="0.25">
      <c r="A542" t="s">
        <v>1325</v>
      </c>
      <c r="B542" s="1" t="s">
        <v>3448</v>
      </c>
      <c r="C542" s="1" t="s">
        <v>1345</v>
      </c>
      <c r="D542" s="1" t="s">
        <v>3453</v>
      </c>
      <c r="E542" s="1" t="s">
        <v>1410</v>
      </c>
      <c r="F542" t="s">
        <v>3456</v>
      </c>
      <c r="G542" t="s">
        <v>3449</v>
      </c>
      <c r="H542" t="s">
        <v>381</v>
      </c>
      <c r="I542" t="s">
        <v>1285</v>
      </c>
      <c r="J542" t="s">
        <v>1361</v>
      </c>
      <c r="K542" t="s">
        <v>3457</v>
      </c>
      <c r="L542" t="s">
        <v>3458</v>
      </c>
      <c r="M542" t="s">
        <v>3459</v>
      </c>
      <c r="N542">
        <v>45000</v>
      </c>
      <c r="O542" s="1" t="s">
        <v>1305</v>
      </c>
      <c r="P542" t="s">
        <v>1392</v>
      </c>
      <c r="Q542" t="s">
        <v>1294</v>
      </c>
      <c r="S542" t="s">
        <v>1294</v>
      </c>
      <c r="T542" t="s">
        <v>1296</v>
      </c>
      <c r="U542">
        <v>18176</v>
      </c>
      <c r="V542" t="s">
        <v>3460</v>
      </c>
    </row>
    <row r="543" spans="1:22" ht="30" x14ac:dyDescent="0.25">
      <c r="A543" t="s">
        <v>1325</v>
      </c>
      <c r="B543" s="1" t="s">
        <v>3448</v>
      </c>
      <c r="C543" s="1" t="s">
        <v>1327</v>
      </c>
      <c r="D543" s="1" t="s">
        <v>3453</v>
      </c>
      <c r="E543" s="1" t="s">
        <v>1410</v>
      </c>
      <c r="F543" t="s">
        <v>3461</v>
      </c>
      <c r="G543" t="s">
        <v>3449</v>
      </c>
      <c r="H543" t="s">
        <v>381</v>
      </c>
      <c r="I543" t="s">
        <v>1285</v>
      </c>
      <c r="J543" t="s">
        <v>1361</v>
      </c>
      <c r="K543" t="s">
        <v>3457</v>
      </c>
      <c r="L543" t="s">
        <v>3458</v>
      </c>
      <c r="M543" t="s">
        <v>3459</v>
      </c>
      <c r="N543">
        <v>45000</v>
      </c>
      <c r="O543" s="1" t="s">
        <v>1305</v>
      </c>
      <c r="P543" t="s">
        <v>1392</v>
      </c>
      <c r="Q543" t="s">
        <v>1294</v>
      </c>
      <c r="S543" t="s">
        <v>1294</v>
      </c>
      <c r="T543" t="s">
        <v>1296</v>
      </c>
      <c r="U543">
        <v>50229</v>
      </c>
      <c r="V543" t="s">
        <v>3460</v>
      </c>
    </row>
    <row r="544" spans="1:22" ht="30" x14ac:dyDescent="0.25">
      <c r="A544" t="s">
        <v>1325</v>
      </c>
      <c r="B544" s="1" t="s">
        <v>3448</v>
      </c>
      <c r="C544" s="1" t="s">
        <v>1530</v>
      </c>
      <c r="D544" s="1" t="s">
        <v>3453</v>
      </c>
      <c r="E544" s="1" t="s">
        <v>1410</v>
      </c>
      <c r="F544" t="s">
        <v>3462</v>
      </c>
      <c r="G544" t="s">
        <v>3449</v>
      </c>
      <c r="H544" t="s">
        <v>381</v>
      </c>
      <c r="I544" t="s">
        <v>1285</v>
      </c>
      <c r="J544" t="s">
        <v>1361</v>
      </c>
      <c r="K544" t="s">
        <v>3457</v>
      </c>
      <c r="L544" t="s">
        <v>3458</v>
      </c>
      <c r="M544" t="s">
        <v>3459</v>
      </c>
      <c r="N544">
        <v>45000</v>
      </c>
      <c r="O544" s="1" t="s">
        <v>1305</v>
      </c>
      <c r="P544" t="s">
        <v>1392</v>
      </c>
      <c r="Q544" t="s">
        <v>1294</v>
      </c>
      <c r="S544" t="s">
        <v>1294</v>
      </c>
      <c r="T544" t="s">
        <v>1296</v>
      </c>
      <c r="U544">
        <v>36864</v>
      </c>
      <c r="V544" t="s">
        <v>3460</v>
      </c>
    </row>
    <row r="545" spans="1:22" ht="30" x14ac:dyDescent="0.25">
      <c r="A545" t="s">
        <v>1325</v>
      </c>
      <c r="B545" s="1" t="s">
        <v>3448</v>
      </c>
      <c r="C545" s="1" t="s">
        <v>1345</v>
      </c>
      <c r="D545" s="1" t="s">
        <v>3453</v>
      </c>
      <c r="E545" s="1" t="s">
        <v>1410</v>
      </c>
      <c r="F545" t="s">
        <v>3464</v>
      </c>
      <c r="G545" t="s">
        <v>3449</v>
      </c>
      <c r="H545" t="s">
        <v>381</v>
      </c>
      <c r="I545" t="s">
        <v>1285</v>
      </c>
      <c r="J545" t="s">
        <v>1361</v>
      </c>
      <c r="K545" t="s">
        <v>3457</v>
      </c>
      <c r="L545" t="s">
        <v>3458</v>
      </c>
      <c r="M545" t="s">
        <v>3459</v>
      </c>
      <c r="N545">
        <v>45000</v>
      </c>
      <c r="O545" s="1" t="s">
        <v>1305</v>
      </c>
      <c r="P545" t="s">
        <v>1392</v>
      </c>
      <c r="Q545" t="s">
        <v>1294</v>
      </c>
      <c r="S545" t="s">
        <v>1294</v>
      </c>
      <c r="T545" t="s">
        <v>1296</v>
      </c>
      <c r="U545">
        <v>28675</v>
      </c>
      <c r="V545" t="s">
        <v>3460</v>
      </c>
    </row>
    <row r="546" spans="1:22" ht="30" x14ac:dyDescent="0.25">
      <c r="A546" t="s">
        <v>1325</v>
      </c>
      <c r="B546" s="1" t="s">
        <v>3448</v>
      </c>
      <c r="C546" s="1" t="s">
        <v>1345</v>
      </c>
      <c r="D546" s="1" t="s">
        <v>3453</v>
      </c>
      <c r="E546" s="1" t="s">
        <v>1410</v>
      </c>
      <c r="F546" t="s">
        <v>3465</v>
      </c>
      <c r="G546" t="s">
        <v>3449</v>
      </c>
      <c r="H546" t="s">
        <v>381</v>
      </c>
      <c r="I546" t="s">
        <v>1285</v>
      </c>
      <c r="J546" t="s">
        <v>1361</v>
      </c>
      <c r="K546" t="s">
        <v>3450</v>
      </c>
      <c r="L546" t="s">
        <v>3451</v>
      </c>
      <c r="M546" t="s">
        <v>3452</v>
      </c>
      <c r="N546">
        <v>45000</v>
      </c>
      <c r="O546" s="1" t="s">
        <v>1305</v>
      </c>
      <c r="P546" t="s">
        <v>1392</v>
      </c>
      <c r="Q546" t="s">
        <v>1294</v>
      </c>
      <c r="S546" t="s">
        <v>1294</v>
      </c>
      <c r="T546" t="s">
        <v>1296</v>
      </c>
      <c r="U546">
        <v>39581</v>
      </c>
      <c r="V546" t="s">
        <v>3454</v>
      </c>
    </row>
    <row r="547" spans="1:22" ht="30" x14ac:dyDescent="0.25">
      <c r="A547" t="s">
        <v>1325</v>
      </c>
      <c r="B547" s="1" t="s">
        <v>3448</v>
      </c>
      <c r="C547" s="1" t="s">
        <v>1530</v>
      </c>
      <c r="D547" s="1" t="s">
        <v>3453</v>
      </c>
      <c r="E547" s="1" t="s">
        <v>1410</v>
      </c>
      <c r="F547" t="s">
        <v>3467</v>
      </c>
      <c r="G547" t="s">
        <v>3449</v>
      </c>
      <c r="H547" t="s">
        <v>381</v>
      </c>
      <c r="I547" t="s">
        <v>1285</v>
      </c>
      <c r="J547" t="s">
        <v>1361</v>
      </c>
      <c r="K547" t="s">
        <v>3450</v>
      </c>
      <c r="L547" t="s">
        <v>3451</v>
      </c>
      <c r="M547" t="s">
        <v>3452</v>
      </c>
      <c r="N547">
        <v>45000</v>
      </c>
      <c r="O547" s="1" t="s">
        <v>1305</v>
      </c>
      <c r="P547" t="s">
        <v>1392</v>
      </c>
      <c r="Q547" t="s">
        <v>1294</v>
      </c>
      <c r="S547" t="s">
        <v>1294</v>
      </c>
      <c r="T547" t="s">
        <v>1296</v>
      </c>
      <c r="U547">
        <v>41034</v>
      </c>
      <c r="V547" t="s">
        <v>3454</v>
      </c>
    </row>
    <row r="548" spans="1:22" ht="30" x14ac:dyDescent="0.25">
      <c r="A548" t="s">
        <v>1325</v>
      </c>
      <c r="B548" s="1" t="s">
        <v>3448</v>
      </c>
      <c r="C548" s="1" t="s">
        <v>1295</v>
      </c>
      <c r="D548" s="1" t="s">
        <v>3453</v>
      </c>
      <c r="E548" s="1" t="s">
        <v>1410</v>
      </c>
      <c r="F548" t="s">
        <v>3468</v>
      </c>
      <c r="G548" t="s">
        <v>3449</v>
      </c>
      <c r="H548" t="s">
        <v>381</v>
      </c>
      <c r="I548" t="s">
        <v>1285</v>
      </c>
      <c r="J548" t="s">
        <v>1361</v>
      </c>
      <c r="K548" t="s">
        <v>3450</v>
      </c>
      <c r="L548" t="s">
        <v>3451</v>
      </c>
      <c r="M548" t="s">
        <v>3452</v>
      </c>
      <c r="N548">
        <v>45000</v>
      </c>
      <c r="O548" s="1" t="s">
        <v>1305</v>
      </c>
      <c r="P548" t="s">
        <v>1392</v>
      </c>
      <c r="Q548" t="s">
        <v>1294</v>
      </c>
      <c r="S548" t="s">
        <v>1294</v>
      </c>
      <c r="T548" t="s">
        <v>1296</v>
      </c>
      <c r="U548">
        <v>11368</v>
      </c>
      <c r="V548" t="s">
        <v>3454</v>
      </c>
    </row>
    <row r="549" spans="1:22" ht="30" x14ac:dyDescent="0.25">
      <c r="A549" t="s">
        <v>1325</v>
      </c>
      <c r="B549" s="1" t="s">
        <v>3448</v>
      </c>
      <c r="C549" s="1" t="s">
        <v>1320</v>
      </c>
      <c r="D549" s="1" t="s">
        <v>3453</v>
      </c>
      <c r="E549" s="1" t="s">
        <v>1410</v>
      </c>
      <c r="F549" t="s">
        <v>3469</v>
      </c>
      <c r="G549" t="s">
        <v>3449</v>
      </c>
      <c r="H549" t="s">
        <v>381</v>
      </c>
      <c r="I549" t="s">
        <v>1285</v>
      </c>
      <c r="J549" t="s">
        <v>1361</v>
      </c>
      <c r="K549" t="s">
        <v>3457</v>
      </c>
      <c r="L549" t="s">
        <v>3458</v>
      </c>
      <c r="M549" t="s">
        <v>3459</v>
      </c>
      <c r="N549">
        <v>45000</v>
      </c>
      <c r="O549" s="1" t="s">
        <v>1305</v>
      </c>
      <c r="P549" t="s">
        <v>1392</v>
      </c>
      <c r="Q549" t="s">
        <v>1294</v>
      </c>
      <c r="S549" t="s">
        <v>1294</v>
      </c>
      <c r="T549" t="s">
        <v>1296</v>
      </c>
      <c r="U549">
        <v>134182</v>
      </c>
      <c r="V549" t="s">
        <v>3460</v>
      </c>
    </row>
    <row r="550" spans="1:22" ht="30" x14ac:dyDescent="0.25">
      <c r="A550" t="s">
        <v>1325</v>
      </c>
      <c r="B550" s="1" t="s">
        <v>3448</v>
      </c>
      <c r="C550" s="1" t="s">
        <v>1530</v>
      </c>
      <c r="D550" s="1" t="s">
        <v>3453</v>
      </c>
      <c r="E550" s="1" t="s">
        <v>1410</v>
      </c>
      <c r="F550" t="s">
        <v>3470</v>
      </c>
      <c r="G550" t="s">
        <v>3449</v>
      </c>
      <c r="H550" t="s">
        <v>381</v>
      </c>
      <c r="I550" t="s">
        <v>1285</v>
      </c>
      <c r="J550" t="s">
        <v>1361</v>
      </c>
      <c r="K550" t="s">
        <v>3450</v>
      </c>
      <c r="L550" t="s">
        <v>3451</v>
      </c>
      <c r="M550" t="s">
        <v>3452</v>
      </c>
      <c r="N550">
        <v>45000</v>
      </c>
      <c r="O550" s="1" t="s">
        <v>1305</v>
      </c>
      <c r="P550" t="s">
        <v>1392</v>
      </c>
      <c r="Q550" t="s">
        <v>1294</v>
      </c>
      <c r="S550" t="s">
        <v>1294</v>
      </c>
      <c r="T550" t="s">
        <v>1296</v>
      </c>
      <c r="U550">
        <v>5508</v>
      </c>
      <c r="V550" t="s">
        <v>3454</v>
      </c>
    </row>
    <row r="551" spans="1:22" ht="30" x14ac:dyDescent="0.25">
      <c r="A551" t="s">
        <v>1325</v>
      </c>
      <c r="B551" s="1" t="s">
        <v>3448</v>
      </c>
      <c r="C551" s="1" t="s">
        <v>1530</v>
      </c>
      <c r="D551" s="1" t="s">
        <v>3453</v>
      </c>
      <c r="E551" s="1" t="s">
        <v>1410</v>
      </c>
      <c r="F551" t="s">
        <v>3471</v>
      </c>
      <c r="G551" t="s">
        <v>3449</v>
      </c>
      <c r="H551" t="s">
        <v>381</v>
      </c>
      <c r="I551" t="s">
        <v>1285</v>
      </c>
      <c r="J551" t="s">
        <v>1361</v>
      </c>
      <c r="K551" t="s">
        <v>3457</v>
      </c>
      <c r="L551" t="s">
        <v>3458</v>
      </c>
      <c r="M551" t="s">
        <v>3459</v>
      </c>
      <c r="N551">
        <v>45000</v>
      </c>
      <c r="O551" s="1" t="s">
        <v>1305</v>
      </c>
      <c r="P551" t="s">
        <v>1392</v>
      </c>
      <c r="Q551" t="s">
        <v>1294</v>
      </c>
      <c r="S551" t="s">
        <v>1294</v>
      </c>
      <c r="T551" t="s">
        <v>1296</v>
      </c>
      <c r="U551">
        <v>6834</v>
      </c>
      <c r="V551" t="s">
        <v>3460</v>
      </c>
    </row>
    <row r="552" spans="1:22" ht="30" x14ac:dyDescent="0.25">
      <c r="A552" t="s">
        <v>1325</v>
      </c>
      <c r="B552" s="1" t="s">
        <v>3448</v>
      </c>
      <c r="C552" s="1" t="s">
        <v>1295</v>
      </c>
      <c r="D552" s="1" t="s">
        <v>3453</v>
      </c>
      <c r="E552" s="1" t="s">
        <v>1410</v>
      </c>
      <c r="F552" t="s">
        <v>3472</v>
      </c>
      <c r="G552" t="s">
        <v>3449</v>
      </c>
      <c r="H552" t="s">
        <v>381</v>
      </c>
      <c r="I552" t="s">
        <v>1285</v>
      </c>
      <c r="J552" t="s">
        <v>1361</v>
      </c>
      <c r="K552" t="s">
        <v>3457</v>
      </c>
      <c r="L552" t="s">
        <v>3458</v>
      </c>
      <c r="M552" t="s">
        <v>3459</v>
      </c>
      <c r="N552">
        <v>45000</v>
      </c>
      <c r="O552" s="1" t="s">
        <v>1305</v>
      </c>
      <c r="P552" t="s">
        <v>1392</v>
      </c>
      <c r="Q552" t="s">
        <v>1294</v>
      </c>
      <c r="S552" t="s">
        <v>1294</v>
      </c>
      <c r="T552" t="s">
        <v>1296</v>
      </c>
      <c r="U552">
        <v>19833</v>
      </c>
      <c r="V552" t="s">
        <v>3460</v>
      </c>
    </row>
    <row r="553" spans="1:22" ht="30" x14ac:dyDescent="0.25">
      <c r="A553" t="s">
        <v>1460</v>
      </c>
      <c r="B553" s="1" t="s">
        <v>1768</v>
      </c>
      <c r="C553" s="1" t="s">
        <v>1327</v>
      </c>
      <c r="D553" s="1" t="s">
        <v>1288</v>
      </c>
      <c r="E553" s="1" t="s">
        <v>1350</v>
      </c>
      <c r="F553" t="s">
        <v>1767</v>
      </c>
      <c r="G553" t="s">
        <v>178</v>
      </c>
      <c r="H553" t="s">
        <v>381</v>
      </c>
      <c r="I553" t="s">
        <v>1285</v>
      </c>
      <c r="J553" t="s">
        <v>1170</v>
      </c>
      <c r="K553" t="s">
        <v>1207</v>
      </c>
      <c r="L553" t="s">
        <v>1769</v>
      </c>
      <c r="M553" t="s">
        <v>1325</v>
      </c>
      <c r="N553" t="s">
        <v>1289</v>
      </c>
      <c r="O553" s="1" t="s">
        <v>1305</v>
      </c>
      <c r="P553" t="s">
        <v>1291</v>
      </c>
      <c r="Q553" t="s">
        <v>1294</v>
      </c>
      <c r="S553" t="s">
        <v>1294</v>
      </c>
      <c r="T553" t="s">
        <v>1770</v>
      </c>
      <c r="U553">
        <v>0</v>
      </c>
      <c r="V553" t="s">
        <v>1768</v>
      </c>
    </row>
    <row r="554" spans="1:22" ht="30" x14ac:dyDescent="0.25">
      <c r="A554" t="s">
        <v>1460</v>
      </c>
      <c r="B554" s="1" t="s">
        <v>1768</v>
      </c>
      <c r="C554" s="1" t="s">
        <v>1327</v>
      </c>
      <c r="D554" s="1" t="s">
        <v>1288</v>
      </c>
      <c r="E554" s="1" t="s">
        <v>1350</v>
      </c>
      <c r="F554" t="s">
        <v>1771</v>
      </c>
      <c r="G554" t="s">
        <v>178</v>
      </c>
      <c r="H554" t="s">
        <v>381</v>
      </c>
      <c r="I554" t="s">
        <v>1285</v>
      </c>
      <c r="J554" t="s">
        <v>1170</v>
      </c>
      <c r="K554" t="s">
        <v>1207</v>
      </c>
      <c r="L554" t="s">
        <v>1769</v>
      </c>
      <c r="M554" t="s">
        <v>1325</v>
      </c>
      <c r="N554" t="s">
        <v>1289</v>
      </c>
      <c r="O554" s="1" t="s">
        <v>1305</v>
      </c>
      <c r="P554" t="s">
        <v>1291</v>
      </c>
      <c r="Q554" t="s">
        <v>1294</v>
      </c>
      <c r="S554" t="s">
        <v>1294</v>
      </c>
      <c r="T554" t="s">
        <v>1772</v>
      </c>
      <c r="U554">
        <v>0</v>
      </c>
      <c r="V554" t="s">
        <v>1768</v>
      </c>
    </row>
    <row r="555" spans="1:22" ht="30" x14ac:dyDescent="0.25">
      <c r="A555" t="s">
        <v>1460</v>
      </c>
      <c r="B555" s="1" t="s">
        <v>1768</v>
      </c>
      <c r="C555" s="1" t="s">
        <v>1295</v>
      </c>
      <c r="D555" s="1" t="s">
        <v>1288</v>
      </c>
      <c r="E555" s="1" t="s">
        <v>1350</v>
      </c>
      <c r="F555" t="s">
        <v>1773</v>
      </c>
      <c r="G555" t="s">
        <v>178</v>
      </c>
      <c r="H555" t="s">
        <v>381</v>
      </c>
      <c r="I555" t="s">
        <v>1285</v>
      </c>
      <c r="J555" t="s">
        <v>1170</v>
      </c>
      <c r="K555" t="s">
        <v>1207</v>
      </c>
      <c r="L555" t="s">
        <v>1769</v>
      </c>
      <c r="M555" t="s">
        <v>1325</v>
      </c>
      <c r="N555" t="s">
        <v>1289</v>
      </c>
      <c r="O555" s="1" t="s">
        <v>1305</v>
      </c>
      <c r="P555" t="s">
        <v>1291</v>
      </c>
      <c r="Q555" t="s">
        <v>1294</v>
      </c>
      <c r="S555" t="s">
        <v>1294</v>
      </c>
      <c r="T555" t="s">
        <v>1774</v>
      </c>
      <c r="U555">
        <v>0</v>
      </c>
      <c r="V555" t="s">
        <v>1768</v>
      </c>
    </row>
    <row r="556" spans="1:22" ht="30" x14ac:dyDescent="0.25">
      <c r="A556" t="s">
        <v>1460</v>
      </c>
      <c r="B556" s="1" t="s">
        <v>1768</v>
      </c>
      <c r="C556" s="1" t="s">
        <v>1327</v>
      </c>
      <c r="D556" s="1" t="s">
        <v>1288</v>
      </c>
      <c r="E556" s="1" t="s">
        <v>1350</v>
      </c>
      <c r="F556" t="s">
        <v>1775</v>
      </c>
      <c r="G556" t="s">
        <v>178</v>
      </c>
      <c r="H556" t="s">
        <v>381</v>
      </c>
      <c r="I556" t="s">
        <v>1285</v>
      </c>
      <c r="J556" t="s">
        <v>1170</v>
      </c>
      <c r="K556" t="s">
        <v>1207</v>
      </c>
      <c r="L556" t="s">
        <v>1769</v>
      </c>
      <c r="M556" t="s">
        <v>1325</v>
      </c>
      <c r="N556" t="s">
        <v>1289</v>
      </c>
      <c r="O556" s="1" t="s">
        <v>1305</v>
      </c>
      <c r="P556" t="s">
        <v>1291</v>
      </c>
      <c r="Q556" t="s">
        <v>1294</v>
      </c>
      <c r="S556" t="s">
        <v>1294</v>
      </c>
      <c r="T556" t="s">
        <v>1776</v>
      </c>
      <c r="U556">
        <v>0</v>
      </c>
      <c r="V556" t="s">
        <v>1768</v>
      </c>
    </row>
    <row r="557" spans="1:22" ht="30" x14ac:dyDescent="0.25">
      <c r="A557" t="s">
        <v>1460</v>
      </c>
      <c r="B557" s="1" t="s">
        <v>1768</v>
      </c>
      <c r="C557" s="1" t="s">
        <v>1327</v>
      </c>
      <c r="D557" s="1" t="s">
        <v>1288</v>
      </c>
      <c r="E557" s="1" t="s">
        <v>1350</v>
      </c>
      <c r="F557" t="s">
        <v>1777</v>
      </c>
      <c r="G557" t="s">
        <v>178</v>
      </c>
      <c r="H557" t="s">
        <v>381</v>
      </c>
      <c r="I557" t="s">
        <v>1285</v>
      </c>
      <c r="J557" t="s">
        <v>1170</v>
      </c>
      <c r="K557" t="s">
        <v>1207</v>
      </c>
      <c r="L557" t="s">
        <v>1769</v>
      </c>
      <c r="M557" t="s">
        <v>1325</v>
      </c>
      <c r="N557" t="s">
        <v>1289</v>
      </c>
      <c r="O557" s="1" t="s">
        <v>1305</v>
      </c>
      <c r="P557" t="s">
        <v>1291</v>
      </c>
      <c r="Q557" t="s">
        <v>1294</v>
      </c>
      <c r="S557" t="s">
        <v>1294</v>
      </c>
      <c r="T557" t="s">
        <v>1778</v>
      </c>
      <c r="U557">
        <v>0</v>
      </c>
      <c r="V557" t="s">
        <v>1768</v>
      </c>
    </row>
    <row r="558" spans="1:22" ht="30" x14ac:dyDescent="0.25">
      <c r="A558" t="s">
        <v>1460</v>
      </c>
      <c r="B558" s="1" t="s">
        <v>1768</v>
      </c>
      <c r="C558" s="1" t="s">
        <v>1345</v>
      </c>
      <c r="D558" s="1" t="s">
        <v>1288</v>
      </c>
      <c r="E558" s="1" t="s">
        <v>1350</v>
      </c>
      <c r="F558" t="s">
        <v>1779</v>
      </c>
      <c r="G558" t="s">
        <v>178</v>
      </c>
      <c r="H558" t="s">
        <v>381</v>
      </c>
      <c r="I558" t="s">
        <v>1285</v>
      </c>
      <c r="J558" t="s">
        <v>1170</v>
      </c>
      <c r="K558" t="s">
        <v>1207</v>
      </c>
      <c r="L558" t="s">
        <v>1769</v>
      </c>
      <c r="M558" t="s">
        <v>1325</v>
      </c>
      <c r="N558" t="s">
        <v>1289</v>
      </c>
      <c r="O558" s="1" t="s">
        <v>1305</v>
      </c>
      <c r="P558" t="s">
        <v>1291</v>
      </c>
      <c r="Q558" t="s">
        <v>1294</v>
      </c>
      <c r="S558" t="s">
        <v>1294</v>
      </c>
      <c r="T558" t="s">
        <v>1780</v>
      </c>
      <c r="U558">
        <v>0</v>
      </c>
      <c r="V558" t="s">
        <v>1768</v>
      </c>
    </row>
    <row r="559" spans="1:22" ht="30" x14ac:dyDescent="0.25">
      <c r="A559" t="s">
        <v>1460</v>
      </c>
      <c r="B559" s="1" t="s">
        <v>1768</v>
      </c>
      <c r="C559" s="1" t="s">
        <v>1345</v>
      </c>
      <c r="D559" s="1" t="s">
        <v>1288</v>
      </c>
      <c r="E559" s="1" t="s">
        <v>1350</v>
      </c>
      <c r="F559" t="s">
        <v>1781</v>
      </c>
      <c r="G559" t="s">
        <v>178</v>
      </c>
      <c r="H559" t="s">
        <v>381</v>
      </c>
      <c r="I559" t="s">
        <v>1285</v>
      </c>
      <c r="J559" t="s">
        <v>1170</v>
      </c>
      <c r="K559" t="s">
        <v>1207</v>
      </c>
      <c r="L559" t="s">
        <v>1769</v>
      </c>
      <c r="M559" t="s">
        <v>1325</v>
      </c>
      <c r="N559" t="s">
        <v>1289</v>
      </c>
      <c r="O559" s="1" t="s">
        <v>1305</v>
      </c>
      <c r="P559" t="s">
        <v>1291</v>
      </c>
      <c r="Q559" t="s">
        <v>1294</v>
      </c>
      <c r="S559" t="s">
        <v>1294</v>
      </c>
      <c r="T559" t="s">
        <v>1782</v>
      </c>
      <c r="U559">
        <v>0</v>
      </c>
      <c r="V559" t="s">
        <v>1768</v>
      </c>
    </row>
    <row r="560" spans="1:22" ht="30" x14ac:dyDescent="0.25">
      <c r="A560" t="s">
        <v>1460</v>
      </c>
      <c r="B560" s="1" t="s">
        <v>1768</v>
      </c>
      <c r="C560" s="1" t="s">
        <v>1345</v>
      </c>
      <c r="D560" s="1" t="s">
        <v>1288</v>
      </c>
      <c r="E560" s="1" t="s">
        <v>1350</v>
      </c>
      <c r="F560" t="s">
        <v>1783</v>
      </c>
      <c r="G560" t="s">
        <v>178</v>
      </c>
      <c r="H560" t="s">
        <v>381</v>
      </c>
      <c r="I560" t="s">
        <v>1285</v>
      </c>
      <c r="J560" t="s">
        <v>1170</v>
      </c>
      <c r="K560" t="s">
        <v>1207</v>
      </c>
      <c r="L560" t="s">
        <v>1769</v>
      </c>
      <c r="M560" t="s">
        <v>1325</v>
      </c>
      <c r="N560" t="s">
        <v>1289</v>
      </c>
      <c r="O560" s="1" t="s">
        <v>1305</v>
      </c>
      <c r="P560" t="s">
        <v>1291</v>
      </c>
      <c r="Q560" t="s">
        <v>1294</v>
      </c>
      <c r="S560" t="s">
        <v>1294</v>
      </c>
      <c r="T560" t="s">
        <v>1784</v>
      </c>
      <c r="U560">
        <v>0</v>
      </c>
      <c r="V560" t="s">
        <v>1768</v>
      </c>
    </row>
    <row r="561" spans="1:22" ht="30" x14ac:dyDescent="0.25">
      <c r="A561" t="s">
        <v>1460</v>
      </c>
      <c r="B561" s="1" t="s">
        <v>1768</v>
      </c>
      <c r="C561" s="1" t="s">
        <v>1327</v>
      </c>
      <c r="D561" s="1" t="s">
        <v>1288</v>
      </c>
      <c r="E561" s="1" t="s">
        <v>1350</v>
      </c>
      <c r="F561" t="s">
        <v>1785</v>
      </c>
      <c r="G561" t="s">
        <v>178</v>
      </c>
      <c r="H561" t="s">
        <v>381</v>
      </c>
      <c r="I561" t="s">
        <v>1285</v>
      </c>
      <c r="J561" t="s">
        <v>1170</v>
      </c>
      <c r="K561" t="s">
        <v>1207</v>
      </c>
      <c r="L561" t="s">
        <v>1769</v>
      </c>
      <c r="M561" t="s">
        <v>1325</v>
      </c>
      <c r="N561" t="s">
        <v>1289</v>
      </c>
      <c r="O561" s="1" t="s">
        <v>1305</v>
      </c>
      <c r="P561" t="s">
        <v>1291</v>
      </c>
      <c r="Q561" t="s">
        <v>1294</v>
      </c>
      <c r="S561" t="s">
        <v>1294</v>
      </c>
      <c r="T561" t="s">
        <v>1786</v>
      </c>
      <c r="U561">
        <v>0</v>
      </c>
      <c r="V561" t="s">
        <v>1768</v>
      </c>
    </row>
    <row r="562" spans="1:22" ht="30" x14ac:dyDescent="0.25">
      <c r="A562" t="s">
        <v>1460</v>
      </c>
      <c r="B562" s="1" t="s">
        <v>1768</v>
      </c>
      <c r="C562" s="1" t="s">
        <v>1295</v>
      </c>
      <c r="D562" s="1" t="s">
        <v>1288</v>
      </c>
      <c r="E562" s="1" t="s">
        <v>1350</v>
      </c>
      <c r="F562" t="s">
        <v>1789</v>
      </c>
      <c r="G562" t="s">
        <v>178</v>
      </c>
      <c r="H562" t="s">
        <v>381</v>
      </c>
      <c r="I562" t="s">
        <v>1285</v>
      </c>
      <c r="J562" t="s">
        <v>1170</v>
      </c>
      <c r="K562" t="s">
        <v>1207</v>
      </c>
      <c r="L562" t="s">
        <v>1769</v>
      </c>
      <c r="M562" t="s">
        <v>1325</v>
      </c>
      <c r="N562" t="s">
        <v>1289</v>
      </c>
      <c r="O562" s="1" t="s">
        <v>1305</v>
      </c>
      <c r="P562" t="s">
        <v>1291</v>
      </c>
      <c r="Q562" t="s">
        <v>1294</v>
      </c>
      <c r="S562" t="s">
        <v>1294</v>
      </c>
      <c r="T562" t="s">
        <v>1790</v>
      </c>
      <c r="U562">
        <v>0</v>
      </c>
      <c r="V562" t="s">
        <v>1768</v>
      </c>
    </row>
    <row r="563" spans="1:22" ht="30" x14ac:dyDescent="0.25">
      <c r="A563" t="s">
        <v>1460</v>
      </c>
      <c r="B563" s="1" t="s">
        <v>1768</v>
      </c>
      <c r="C563" s="1" t="s">
        <v>1295</v>
      </c>
      <c r="D563" s="1" t="s">
        <v>1288</v>
      </c>
      <c r="E563" s="1" t="s">
        <v>1350</v>
      </c>
      <c r="F563" t="s">
        <v>1827</v>
      </c>
      <c r="G563" t="s">
        <v>178</v>
      </c>
      <c r="H563" t="s">
        <v>381</v>
      </c>
      <c r="I563" t="s">
        <v>1285</v>
      </c>
      <c r="J563" t="s">
        <v>1170</v>
      </c>
      <c r="K563" t="s">
        <v>1207</v>
      </c>
      <c r="L563" t="s">
        <v>1769</v>
      </c>
      <c r="M563" t="s">
        <v>1325</v>
      </c>
      <c r="N563" t="s">
        <v>1289</v>
      </c>
      <c r="O563" s="1" t="s">
        <v>1305</v>
      </c>
      <c r="P563" t="s">
        <v>1291</v>
      </c>
      <c r="Q563" t="s">
        <v>1294</v>
      </c>
      <c r="S563" t="s">
        <v>1294</v>
      </c>
      <c r="T563" t="s">
        <v>1828</v>
      </c>
      <c r="U563">
        <v>0</v>
      </c>
      <c r="V563" t="s">
        <v>1768</v>
      </c>
    </row>
    <row r="564" spans="1:22" ht="30" x14ac:dyDescent="0.25">
      <c r="A564" t="s">
        <v>1460</v>
      </c>
      <c r="B564" s="1" t="s">
        <v>1768</v>
      </c>
      <c r="C564" s="1" t="s">
        <v>1320</v>
      </c>
      <c r="D564" s="1" t="s">
        <v>1288</v>
      </c>
      <c r="E564" s="1" t="s">
        <v>1350</v>
      </c>
      <c r="F564" t="s">
        <v>1829</v>
      </c>
      <c r="G564" t="s">
        <v>178</v>
      </c>
      <c r="H564" t="s">
        <v>381</v>
      </c>
      <c r="I564" t="s">
        <v>1285</v>
      </c>
      <c r="J564" t="s">
        <v>1170</v>
      </c>
      <c r="K564" t="s">
        <v>1207</v>
      </c>
      <c r="L564" t="s">
        <v>1769</v>
      </c>
      <c r="M564" t="s">
        <v>1325</v>
      </c>
      <c r="N564" t="s">
        <v>1289</v>
      </c>
      <c r="O564" s="1" t="s">
        <v>1305</v>
      </c>
      <c r="P564" t="s">
        <v>1291</v>
      </c>
      <c r="Q564" t="s">
        <v>1294</v>
      </c>
      <c r="S564" t="s">
        <v>1294</v>
      </c>
      <c r="T564" t="s">
        <v>1830</v>
      </c>
      <c r="U564">
        <v>0</v>
      </c>
      <c r="V564" t="s">
        <v>1768</v>
      </c>
    </row>
    <row r="565" spans="1:22" ht="30" x14ac:dyDescent="0.25">
      <c r="A565" t="s">
        <v>1460</v>
      </c>
      <c r="B565" s="1" t="s">
        <v>1768</v>
      </c>
      <c r="C565" s="1" t="s">
        <v>1327</v>
      </c>
      <c r="D565" s="1" t="s">
        <v>1288</v>
      </c>
      <c r="E565" s="1" t="s">
        <v>1350</v>
      </c>
      <c r="F565" t="s">
        <v>1835</v>
      </c>
      <c r="G565" t="s">
        <v>178</v>
      </c>
      <c r="H565" t="s">
        <v>381</v>
      </c>
      <c r="I565" t="s">
        <v>1285</v>
      </c>
      <c r="J565" t="s">
        <v>1170</v>
      </c>
      <c r="K565" t="s">
        <v>1207</v>
      </c>
      <c r="L565" t="s">
        <v>1769</v>
      </c>
      <c r="M565" t="s">
        <v>1325</v>
      </c>
      <c r="N565" t="s">
        <v>1289</v>
      </c>
      <c r="O565" s="1" t="s">
        <v>1305</v>
      </c>
      <c r="P565" t="s">
        <v>1291</v>
      </c>
      <c r="Q565" t="s">
        <v>1294</v>
      </c>
      <c r="S565" t="s">
        <v>1294</v>
      </c>
      <c r="T565" t="s">
        <v>1836</v>
      </c>
      <c r="U565">
        <v>0</v>
      </c>
      <c r="V565" t="s">
        <v>1768</v>
      </c>
    </row>
    <row r="566" spans="1:22" ht="30" x14ac:dyDescent="0.25">
      <c r="A566" t="s">
        <v>1460</v>
      </c>
      <c r="B566" s="1" t="s">
        <v>1768</v>
      </c>
      <c r="C566" s="1" t="s">
        <v>1295</v>
      </c>
      <c r="D566" s="1" t="s">
        <v>1288</v>
      </c>
      <c r="E566" s="1" t="s">
        <v>1350</v>
      </c>
      <c r="F566" t="s">
        <v>1837</v>
      </c>
      <c r="G566" t="s">
        <v>178</v>
      </c>
      <c r="H566" t="s">
        <v>381</v>
      </c>
      <c r="I566" t="s">
        <v>1285</v>
      </c>
      <c r="J566" t="s">
        <v>1170</v>
      </c>
      <c r="K566" t="s">
        <v>1207</v>
      </c>
      <c r="L566" t="s">
        <v>1769</v>
      </c>
      <c r="M566" t="s">
        <v>1325</v>
      </c>
      <c r="N566" t="s">
        <v>1289</v>
      </c>
      <c r="O566" s="1" t="s">
        <v>1305</v>
      </c>
      <c r="P566" t="s">
        <v>1291</v>
      </c>
      <c r="Q566" t="s">
        <v>1294</v>
      </c>
      <c r="S566" t="s">
        <v>1294</v>
      </c>
      <c r="T566" t="s">
        <v>1838</v>
      </c>
      <c r="U566">
        <v>0</v>
      </c>
      <c r="V566" t="s">
        <v>1768</v>
      </c>
    </row>
    <row r="567" spans="1:22" ht="30" x14ac:dyDescent="0.25">
      <c r="A567" t="s">
        <v>1871</v>
      </c>
      <c r="B567" s="1" t="s">
        <v>1768</v>
      </c>
      <c r="C567" s="1" t="s">
        <v>1530</v>
      </c>
      <c r="D567" s="1" t="s">
        <v>1288</v>
      </c>
      <c r="E567" s="1" t="s">
        <v>1374</v>
      </c>
      <c r="F567" t="s">
        <v>2989</v>
      </c>
      <c r="G567" t="s">
        <v>178</v>
      </c>
      <c r="H567" t="s">
        <v>381</v>
      </c>
      <c r="I567" t="s">
        <v>1285</v>
      </c>
      <c r="J567" t="s">
        <v>1170</v>
      </c>
      <c r="K567" t="s">
        <v>1207</v>
      </c>
      <c r="L567" t="s">
        <v>1769</v>
      </c>
      <c r="M567" t="s">
        <v>1325</v>
      </c>
      <c r="N567" t="s">
        <v>1289</v>
      </c>
      <c r="O567" s="1" t="s">
        <v>1305</v>
      </c>
      <c r="P567" t="s">
        <v>1291</v>
      </c>
      <c r="Q567" t="s">
        <v>1294</v>
      </c>
      <c r="S567" t="s">
        <v>1294</v>
      </c>
      <c r="T567" t="s">
        <v>2990</v>
      </c>
      <c r="U567">
        <v>0</v>
      </c>
      <c r="V567" t="s">
        <v>1768</v>
      </c>
    </row>
    <row r="568" spans="1:22" ht="30" x14ac:dyDescent="0.25">
      <c r="A568" t="s">
        <v>1871</v>
      </c>
      <c r="B568" s="1" t="s">
        <v>1768</v>
      </c>
      <c r="C568" s="1" t="s">
        <v>1530</v>
      </c>
      <c r="D568" s="1" t="s">
        <v>1288</v>
      </c>
      <c r="E568" s="1" t="s">
        <v>1350</v>
      </c>
      <c r="F568" t="s">
        <v>3183</v>
      </c>
      <c r="G568" t="s">
        <v>178</v>
      </c>
      <c r="H568" t="s">
        <v>381</v>
      </c>
      <c r="I568" t="s">
        <v>1285</v>
      </c>
      <c r="J568" t="s">
        <v>1170</v>
      </c>
      <c r="K568" t="s">
        <v>1207</v>
      </c>
      <c r="L568" t="s">
        <v>1769</v>
      </c>
      <c r="M568" t="s">
        <v>1325</v>
      </c>
      <c r="N568" t="s">
        <v>1289</v>
      </c>
      <c r="O568" s="1" t="s">
        <v>1305</v>
      </c>
      <c r="P568" t="s">
        <v>1291</v>
      </c>
      <c r="Q568" t="s">
        <v>1294</v>
      </c>
      <c r="S568" t="s">
        <v>1294</v>
      </c>
      <c r="T568" t="s">
        <v>3184</v>
      </c>
      <c r="U568">
        <v>0</v>
      </c>
      <c r="V568" t="s">
        <v>1768</v>
      </c>
    </row>
    <row r="569" spans="1:22" ht="30" x14ac:dyDescent="0.25">
      <c r="A569" t="s">
        <v>1871</v>
      </c>
      <c r="B569" s="1" t="s">
        <v>1768</v>
      </c>
      <c r="C569" s="1" t="s">
        <v>1530</v>
      </c>
      <c r="D569" s="1" t="s">
        <v>1288</v>
      </c>
      <c r="E569" s="1" t="s">
        <v>1350</v>
      </c>
      <c r="F569" t="s">
        <v>3221</v>
      </c>
      <c r="G569" t="s">
        <v>178</v>
      </c>
      <c r="H569" t="s">
        <v>381</v>
      </c>
      <c r="I569" t="s">
        <v>1285</v>
      </c>
      <c r="J569" t="s">
        <v>1170</v>
      </c>
      <c r="K569" t="s">
        <v>1207</v>
      </c>
      <c r="L569" t="s">
        <v>1769</v>
      </c>
      <c r="M569" t="s">
        <v>1325</v>
      </c>
      <c r="N569" t="s">
        <v>1289</v>
      </c>
      <c r="O569" s="1" t="s">
        <v>1305</v>
      </c>
      <c r="P569" t="s">
        <v>1291</v>
      </c>
      <c r="Q569" t="s">
        <v>1294</v>
      </c>
      <c r="S569" t="s">
        <v>1294</v>
      </c>
      <c r="T569" t="s">
        <v>3222</v>
      </c>
      <c r="U569">
        <v>0</v>
      </c>
      <c r="V569" t="s">
        <v>1768</v>
      </c>
    </row>
    <row r="570" spans="1:22" ht="30" x14ac:dyDescent="0.25">
      <c r="A570" t="s">
        <v>1871</v>
      </c>
      <c r="B570" s="1" t="s">
        <v>1768</v>
      </c>
      <c r="C570" s="1" t="s">
        <v>1530</v>
      </c>
      <c r="D570" s="1" t="s">
        <v>1288</v>
      </c>
      <c r="E570" s="1" t="s">
        <v>1350</v>
      </c>
      <c r="F570" t="s">
        <v>3281</v>
      </c>
      <c r="G570" t="s">
        <v>178</v>
      </c>
      <c r="H570" t="s">
        <v>381</v>
      </c>
      <c r="I570" t="s">
        <v>1285</v>
      </c>
      <c r="J570" t="s">
        <v>1170</v>
      </c>
      <c r="K570" t="s">
        <v>1207</v>
      </c>
      <c r="L570" t="s">
        <v>1769</v>
      </c>
      <c r="M570" t="s">
        <v>1325</v>
      </c>
      <c r="N570" t="s">
        <v>1289</v>
      </c>
      <c r="O570" s="1" t="s">
        <v>1305</v>
      </c>
      <c r="P570" t="s">
        <v>1291</v>
      </c>
      <c r="Q570" t="s">
        <v>1294</v>
      </c>
      <c r="S570" t="s">
        <v>1294</v>
      </c>
      <c r="T570" t="s">
        <v>3282</v>
      </c>
      <c r="U570">
        <v>0</v>
      </c>
      <c r="V570" t="s">
        <v>1768</v>
      </c>
    </row>
    <row r="571" spans="1:22" x14ac:dyDescent="0.25">
      <c r="A571" t="s">
        <v>1281</v>
      </c>
      <c r="B571" s="1" t="s">
        <v>1354</v>
      </c>
      <c r="C571" s="1" t="s">
        <v>1320</v>
      </c>
      <c r="D571" s="1" t="s">
        <v>1288</v>
      </c>
      <c r="E571" s="1" t="s">
        <v>1358</v>
      </c>
      <c r="F571" t="s">
        <v>1353</v>
      </c>
      <c r="G571" t="s">
        <v>1355</v>
      </c>
      <c r="H571" t="s">
        <v>1356</v>
      </c>
      <c r="I571" t="s">
        <v>1285</v>
      </c>
      <c r="J571" t="s">
        <v>1312</v>
      </c>
      <c r="K571" t="s">
        <v>1210</v>
      </c>
      <c r="L571" t="s">
        <v>1357</v>
      </c>
      <c r="M571" t="s">
        <v>1325</v>
      </c>
      <c r="N571" t="s">
        <v>1289</v>
      </c>
      <c r="O571" s="1" t="s">
        <v>1305</v>
      </c>
      <c r="P571" t="s">
        <v>1291</v>
      </c>
      <c r="Q571" t="s">
        <v>1294</v>
      </c>
      <c r="S571" t="s">
        <v>1294</v>
      </c>
      <c r="T571" t="s">
        <v>1296</v>
      </c>
      <c r="U571">
        <v>0</v>
      </c>
      <c r="V571" t="s">
        <v>1354</v>
      </c>
    </row>
    <row r="572" spans="1:22" x14ac:dyDescent="0.25">
      <c r="A572" t="s">
        <v>1460</v>
      </c>
      <c r="B572" s="1" t="s">
        <v>1354</v>
      </c>
      <c r="C572" s="1" t="s">
        <v>1345</v>
      </c>
      <c r="D572" s="1" t="s">
        <v>1288</v>
      </c>
      <c r="E572" s="1" t="s">
        <v>1504</v>
      </c>
      <c r="F572" t="s">
        <v>1503</v>
      </c>
      <c r="G572" t="s">
        <v>1355</v>
      </c>
      <c r="H572" t="s">
        <v>1356</v>
      </c>
      <c r="I572" t="s">
        <v>1285</v>
      </c>
      <c r="J572" t="s">
        <v>1312</v>
      </c>
      <c r="K572" t="s">
        <v>1210</v>
      </c>
      <c r="L572" t="s">
        <v>1357</v>
      </c>
      <c r="M572" t="s">
        <v>1325</v>
      </c>
      <c r="N572" t="s">
        <v>1289</v>
      </c>
      <c r="O572" s="1" t="s">
        <v>1305</v>
      </c>
      <c r="P572" t="s">
        <v>1291</v>
      </c>
      <c r="Q572" t="s">
        <v>1294</v>
      </c>
      <c r="S572" t="s">
        <v>1294</v>
      </c>
      <c r="T572" t="s">
        <v>1296</v>
      </c>
      <c r="U572">
        <v>0</v>
      </c>
      <c r="V572" t="s">
        <v>1354</v>
      </c>
    </row>
    <row r="573" spans="1:22" ht="30" x14ac:dyDescent="0.25">
      <c r="A573" t="s">
        <v>1460</v>
      </c>
      <c r="B573" s="1" t="s">
        <v>1354</v>
      </c>
      <c r="C573" s="1" t="s">
        <v>1345</v>
      </c>
      <c r="D573" s="1" t="s">
        <v>1288</v>
      </c>
      <c r="E573" s="1" t="s">
        <v>1326</v>
      </c>
      <c r="F573" t="s">
        <v>1610</v>
      </c>
      <c r="G573" t="s">
        <v>1355</v>
      </c>
      <c r="H573" t="s">
        <v>1356</v>
      </c>
      <c r="I573" t="s">
        <v>1285</v>
      </c>
      <c r="J573" t="s">
        <v>1312</v>
      </c>
      <c r="K573" t="s">
        <v>1210</v>
      </c>
      <c r="L573" t="s">
        <v>1357</v>
      </c>
      <c r="M573" t="s">
        <v>1325</v>
      </c>
      <c r="N573" t="s">
        <v>1289</v>
      </c>
      <c r="O573" s="1" t="s">
        <v>1305</v>
      </c>
      <c r="P573" t="s">
        <v>1291</v>
      </c>
      <c r="Q573" t="s">
        <v>1294</v>
      </c>
      <c r="S573" t="s">
        <v>1294</v>
      </c>
      <c r="T573" t="s">
        <v>1296</v>
      </c>
      <c r="U573">
        <v>0</v>
      </c>
      <c r="V573" t="s">
        <v>1354</v>
      </c>
    </row>
    <row r="574" spans="1:22" x14ac:dyDescent="0.25">
      <c r="A574" t="s">
        <v>1871</v>
      </c>
      <c r="B574" s="1" t="s">
        <v>1354</v>
      </c>
      <c r="C574" s="1" t="s">
        <v>1530</v>
      </c>
      <c r="D574" s="1" t="s">
        <v>1288</v>
      </c>
      <c r="E574" s="1" t="s">
        <v>1504</v>
      </c>
      <c r="F574" t="s">
        <v>1981</v>
      </c>
      <c r="G574" t="s">
        <v>1355</v>
      </c>
      <c r="H574" t="s">
        <v>1356</v>
      </c>
      <c r="I574" t="s">
        <v>1285</v>
      </c>
      <c r="J574" t="s">
        <v>1312</v>
      </c>
      <c r="K574" t="s">
        <v>1210</v>
      </c>
      <c r="L574" t="s">
        <v>1357</v>
      </c>
      <c r="M574" t="s">
        <v>1325</v>
      </c>
      <c r="N574" t="s">
        <v>1289</v>
      </c>
      <c r="O574" s="1" t="s">
        <v>1305</v>
      </c>
      <c r="P574" t="s">
        <v>1291</v>
      </c>
      <c r="Q574" t="s">
        <v>1294</v>
      </c>
      <c r="S574" t="s">
        <v>1294</v>
      </c>
      <c r="T574" t="s">
        <v>1296</v>
      </c>
      <c r="U574">
        <v>0</v>
      </c>
      <c r="V574" t="s">
        <v>1354</v>
      </c>
    </row>
    <row r="575" spans="1:22" x14ac:dyDescent="0.25">
      <c r="A575" t="s">
        <v>1871</v>
      </c>
      <c r="B575" s="1" t="s">
        <v>1354</v>
      </c>
      <c r="C575" s="1" t="s">
        <v>1530</v>
      </c>
      <c r="D575" s="1" t="s">
        <v>1288</v>
      </c>
      <c r="E575" s="1" t="s">
        <v>1358</v>
      </c>
      <c r="F575" t="s">
        <v>2687</v>
      </c>
      <c r="G575" t="s">
        <v>1355</v>
      </c>
      <c r="H575" t="s">
        <v>1356</v>
      </c>
      <c r="I575" t="s">
        <v>1285</v>
      </c>
      <c r="J575" t="s">
        <v>1312</v>
      </c>
      <c r="K575" t="s">
        <v>1210</v>
      </c>
      <c r="L575" t="s">
        <v>1357</v>
      </c>
      <c r="M575" t="s">
        <v>1325</v>
      </c>
      <c r="N575" t="s">
        <v>1289</v>
      </c>
      <c r="O575" s="1" t="s">
        <v>1305</v>
      </c>
      <c r="P575" t="s">
        <v>1291</v>
      </c>
      <c r="Q575" t="s">
        <v>1294</v>
      </c>
      <c r="S575" t="s">
        <v>1294</v>
      </c>
      <c r="T575" t="s">
        <v>1296</v>
      </c>
      <c r="U575">
        <v>0</v>
      </c>
      <c r="V575" t="s">
        <v>1354</v>
      </c>
    </row>
    <row r="576" spans="1:22" ht="30" x14ac:dyDescent="0.25">
      <c r="A576" t="s">
        <v>1460</v>
      </c>
      <c r="B576" s="1" t="s">
        <v>1212</v>
      </c>
      <c r="C576" s="1" t="s">
        <v>1530</v>
      </c>
      <c r="D576" s="1" t="s">
        <v>1288</v>
      </c>
      <c r="E576" s="1" t="s">
        <v>1293</v>
      </c>
      <c r="F576" t="s">
        <v>1745</v>
      </c>
      <c r="G576" t="s">
        <v>1746</v>
      </c>
      <c r="H576" t="s">
        <v>381</v>
      </c>
      <c r="I576" t="s">
        <v>1285</v>
      </c>
      <c r="J576" t="s">
        <v>1361</v>
      </c>
      <c r="K576" t="s">
        <v>1213</v>
      </c>
      <c r="L576" t="s">
        <v>1747</v>
      </c>
      <c r="M576" t="s">
        <v>1325</v>
      </c>
      <c r="N576">
        <v>24000</v>
      </c>
      <c r="O576" s="1" t="s">
        <v>1336</v>
      </c>
      <c r="P576" t="s">
        <v>1306</v>
      </c>
      <c r="Q576" t="s">
        <v>1294</v>
      </c>
      <c r="S576" t="s">
        <v>1294</v>
      </c>
      <c r="T576" t="s">
        <v>1296</v>
      </c>
      <c r="U576">
        <v>32620.54</v>
      </c>
      <c r="V576" t="s">
        <v>1212</v>
      </c>
    </row>
    <row r="577" spans="1:22" ht="30" x14ac:dyDescent="0.25">
      <c r="A577" t="s">
        <v>1871</v>
      </c>
      <c r="B577" s="1" t="s">
        <v>1212</v>
      </c>
      <c r="C577" s="1" t="s">
        <v>1530</v>
      </c>
      <c r="D577" s="1" t="s">
        <v>1288</v>
      </c>
      <c r="E577" s="1" t="s">
        <v>1316</v>
      </c>
      <c r="F577" t="s">
        <v>1892</v>
      </c>
      <c r="G577" t="s">
        <v>1746</v>
      </c>
      <c r="H577" t="s">
        <v>381</v>
      </c>
      <c r="I577" t="s">
        <v>1285</v>
      </c>
      <c r="J577" t="s">
        <v>1361</v>
      </c>
      <c r="K577" t="s">
        <v>1213</v>
      </c>
      <c r="L577" t="s">
        <v>1747</v>
      </c>
      <c r="M577" t="s">
        <v>1325</v>
      </c>
      <c r="N577">
        <v>24000</v>
      </c>
      <c r="O577" s="1" t="s">
        <v>1336</v>
      </c>
      <c r="P577" t="s">
        <v>1306</v>
      </c>
      <c r="Q577" t="s">
        <v>1294</v>
      </c>
      <c r="S577" t="s">
        <v>1294</v>
      </c>
      <c r="T577" t="s">
        <v>1296</v>
      </c>
      <c r="U577">
        <v>3355.6750000000002</v>
      </c>
      <c r="V577" t="s">
        <v>1212</v>
      </c>
    </row>
    <row r="578" spans="1:22" ht="30" x14ac:dyDescent="0.25">
      <c r="A578" t="s">
        <v>1871</v>
      </c>
      <c r="B578" s="1" t="s">
        <v>1212</v>
      </c>
      <c r="C578" s="1" t="s">
        <v>1530</v>
      </c>
      <c r="D578" s="1" t="s">
        <v>1288</v>
      </c>
      <c r="E578" s="1" t="s">
        <v>1316</v>
      </c>
      <c r="F578" t="s">
        <v>2024</v>
      </c>
      <c r="G578" t="s">
        <v>1746</v>
      </c>
      <c r="H578" t="s">
        <v>381</v>
      </c>
      <c r="I578" t="s">
        <v>1285</v>
      </c>
      <c r="J578" t="s">
        <v>1361</v>
      </c>
      <c r="K578" t="s">
        <v>1213</v>
      </c>
      <c r="L578" t="s">
        <v>1747</v>
      </c>
      <c r="M578" t="s">
        <v>1325</v>
      </c>
      <c r="N578">
        <v>24000</v>
      </c>
      <c r="O578" s="1" t="s">
        <v>1336</v>
      </c>
      <c r="P578" t="s">
        <v>1306</v>
      </c>
      <c r="Q578" t="s">
        <v>1294</v>
      </c>
      <c r="S578" t="s">
        <v>1294</v>
      </c>
      <c r="T578" t="s">
        <v>1296</v>
      </c>
      <c r="U578">
        <v>3355.6750000000002</v>
      </c>
      <c r="V578" t="s">
        <v>1212</v>
      </c>
    </row>
    <row r="579" spans="1:22" ht="30" x14ac:dyDescent="0.25">
      <c r="A579" t="s">
        <v>1871</v>
      </c>
      <c r="B579" s="1" t="s">
        <v>1212</v>
      </c>
      <c r="C579" s="1" t="s">
        <v>1530</v>
      </c>
      <c r="D579" s="1" t="s">
        <v>1288</v>
      </c>
      <c r="E579" s="1" t="s">
        <v>1374</v>
      </c>
      <c r="F579" t="s">
        <v>2979</v>
      </c>
      <c r="G579" t="s">
        <v>1746</v>
      </c>
      <c r="H579" t="s">
        <v>381</v>
      </c>
      <c r="I579" t="s">
        <v>1285</v>
      </c>
      <c r="J579" t="s">
        <v>1361</v>
      </c>
      <c r="K579" t="s">
        <v>1213</v>
      </c>
      <c r="L579" t="s">
        <v>1747</v>
      </c>
      <c r="M579" t="s">
        <v>1325</v>
      </c>
      <c r="N579">
        <v>24000</v>
      </c>
      <c r="O579" s="1" t="s">
        <v>1336</v>
      </c>
      <c r="P579" t="s">
        <v>1306</v>
      </c>
      <c r="Q579" t="s">
        <v>1294</v>
      </c>
      <c r="S579" t="s">
        <v>1294</v>
      </c>
      <c r="T579" t="s">
        <v>1296</v>
      </c>
      <c r="U579">
        <v>3355.6750000000002</v>
      </c>
      <c r="V579" t="s">
        <v>1212</v>
      </c>
    </row>
    <row r="580" spans="1:22" ht="30" x14ac:dyDescent="0.25">
      <c r="A580" t="s">
        <v>1871</v>
      </c>
      <c r="B580" s="1" t="s">
        <v>1212</v>
      </c>
      <c r="C580" s="1" t="s">
        <v>1530</v>
      </c>
      <c r="D580" s="1" t="s">
        <v>1288</v>
      </c>
      <c r="E580" s="1" t="s">
        <v>1358</v>
      </c>
      <c r="F580" t="s">
        <v>3013</v>
      </c>
      <c r="G580" t="s">
        <v>1746</v>
      </c>
      <c r="H580" t="s">
        <v>381</v>
      </c>
      <c r="I580" t="s">
        <v>1285</v>
      </c>
      <c r="J580" t="s">
        <v>1361</v>
      </c>
      <c r="K580" t="s">
        <v>1213</v>
      </c>
      <c r="L580" t="s">
        <v>1747</v>
      </c>
      <c r="M580" t="s">
        <v>1325</v>
      </c>
      <c r="N580">
        <v>24000</v>
      </c>
      <c r="O580" s="1" t="s">
        <v>1336</v>
      </c>
      <c r="P580" t="s">
        <v>1306</v>
      </c>
      <c r="Q580" t="s">
        <v>1294</v>
      </c>
      <c r="S580" t="s">
        <v>1294</v>
      </c>
      <c r="T580" t="s">
        <v>1296</v>
      </c>
      <c r="U580">
        <v>3355.6750000000002</v>
      </c>
      <c r="V580" t="s">
        <v>1212</v>
      </c>
    </row>
    <row r="581" spans="1:22" ht="30" x14ac:dyDescent="0.25">
      <c r="A581" t="s">
        <v>1871</v>
      </c>
      <c r="B581" s="1" t="s">
        <v>1212</v>
      </c>
      <c r="C581" s="1" t="s">
        <v>1530</v>
      </c>
      <c r="D581" s="1" t="s">
        <v>1288</v>
      </c>
      <c r="E581" s="1" t="s">
        <v>1504</v>
      </c>
      <c r="F581" t="s">
        <v>1504</v>
      </c>
      <c r="G581" t="s">
        <v>1746</v>
      </c>
      <c r="H581" t="s">
        <v>381</v>
      </c>
      <c r="I581" t="s">
        <v>1285</v>
      </c>
      <c r="J581" t="s">
        <v>1361</v>
      </c>
      <c r="K581" t="s">
        <v>1213</v>
      </c>
      <c r="L581" t="s">
        <v>1747</v>
      </c>
      <c r="M581" t="s">
        <v>1325</v>
      </c>
      <c r="N581">
        <v>24000</v>
      </c>
      <c r="O581" s="1" t="s">
        <v>1336</v>
      </c>
      <c r="P581" t="s">
        <v>1306</v>
      </c>
      <c r="Q581" t="s">
        <v>1294</v>
      </c>
      <c r="S581" t="s">
        <v>1294</v>
      </c>
      <c r="T581" t="s">
        <v>1296</v>
      </c>
      <c r="U581">
        <v>3355.6750000000002</v>
      </c>
      <c r="V581" t="s">
        <v>1212</v>
      </c>
    </row>
    <row r="582" spans="1:22" ht="30" x14ac:dyDescent="0.25">
      <c r="A582" t="s">
        <v>1871</v>
      </c>
      <c r="B582" s="1" t="s">
        <v>1212</v>
      </c>
      <c r="C582" s="1" t="s">
        <v>1530</v>
      </c>
      <c r="D582" s="1" t="s">
        <v>1288</v>
      </c>
      <c r="E582" s="1" t="s">
        <v>1316</v>
      </c>
      <c r="F582" t="s">
        <v>3375</v>
      </c>
      <c r="G582" t="s">
        <v>1746</v>
      </c>
      <c r="H582" t="s">
        <v>381</v>
      </c>
      <c r="I582" t="s">
        <v>1285</v>
      </c>
      <c r="J582" t="s">
        <v>1361</v>
      </c>
      <c r="K582" t="s">
        <v>1213</v>
      </c>
      <c r="L582" t="s">
        <v>1747</v>
      </c>
      <c r="M582" t="s">
        <v>1325</v>
      </c>
      <c r="N582">
        <v>24000</v>
      </c>
      <c r="O582" s="1" t="s">
        <v>1336</v>
      </c>
      <c r="P582" t="s">
        <v>1306</v>
      </c>
      <c r="Q582" t="s">
        <v>1294</v>
      </c>
      <c r="S582" t="s">
        <v>1294</v>
      </c>
      <c r="T582" t="s">
        <v>1296</v>
      </c>
      <c r="U582">
        <v>3355.6750000000002</v>
      </c>
      <c r="V582" t="s">
        <v>1212</v>
      </c>
    </row>
    <row r="583" spans="1:22" ht="30" x14ac:dyDescent="0.25">
      <c r="A583" t="s">
        <v>1871</v>
      </c>
      <c r="B583" s="1" t="s">
        <v>1212</v>
      </c>
      <c r="C583" s="1" t="s">
        <v>1530</v>
      </c>
      <c r="D583" s="1" t="s">
        <v>1288</v>
      </c>
      <c r="E583" s="1" t="s">
        <v>1326</v>
      </c>
      <c r="F583" t="s">
        <v>3397</v>
      </c>
      <c r="G583" t="s">
        <v>1746</v>
      </c>
      <c r="H583" t="s">
        <v>381</v>
      </c>
      <c r="I583" t="s">
        <v>1285</v>
      </c>
      <c r="J583" t="s">
        <v>1361</v>
      </c>
      <c r="K583" t="s">
        <v>1213</v>
      </c>
      <c r="L583" t="s">
        <v>1747</v>
      </c>
      <c r="M583" t="s">
        <v>1325</v>
      </c>
      <c r="N583">
        <v>24000</v>
      </c>
      <c r="O583" s="1" t="s">
        <v>1336</v>
      </c>
      <c r="P583" t="s">
        <v>1306</v>
      </c>
      <c r="Q583" t="s">
        <v>1294</v>
      </c>
      <c r="S583" t="s">
        <v>1294</v>
      </c>
      <c r="T583" t="s">
        <v>1296</v>
      </c>
      <c r="U583">
        <v>2603.0966669999998</v>
      </c>
      <c r="V583" t="s">
        <v>1212</v>
      </c>
    </row>
    <row r="584" spans="1:22" ht="30" x14ac:dyDescent="0.25">
      <c r="A584" t="s">
        <v>1871</v>
      </c>
      <c r="B584" s="1" t="s">
        <v>1212</v>
      </c>
      <c r="C584" s="1" t="s">
        <v>1530</v>
      </c>
      <c r="D584" s="1" t="s">
        <v>1288</v>
      </c>
      <c r="E584" s="1" t="s">
        <v>1326</v>
      </c>
      <c r="F584" t="s">
        <v>3398</v>
      </c>
      <c r="G584" t="s">
        <v>1746</v>
      </c>
      <c r="H584" t="s">
        <v>381</v>
      </c>
      <c r="I584" t="s">
        <v>1285</v>
      </c>
      <c r="J584" t="s">
        <v>1361</v>
      </c>
      <c r="K584" t="s">
        <v>1213</v>
      </c>
      <c r="L584" t="s">
        <v>1747</v>
      </c>
      <c r="M584" t="s">
        <v>1325</v>
      </c>
      <c r="N584">
        <v>24000</v>
      </c>
      <c r="O584" s="1" t="s">
        <v>1336</v>
      </c>
      <c r="P584" t="s">
        <v>1306</v>
      </c>
      <c r="Q584" t="s">
        <v>1294</v>
      </c>
      <c r="S584" t="s">
        <v>1294</v>
      </c>
      <c r="T584" t="s">
        <v>1296</v>
      </c>
      <c r="U584">
        <v>2603.0966669999998</v>
      </c>
      <c r="V584" t="s">
        <v>1212</v>
      </c>
    </row>
    <row r="585" spans="1:22" ht="30" x14ac:dyDescent="0.25">
      <c r="A585" t="s">
        <v>1871</v>
      </c>
      <c r="B585" s="1" t="s">
        <v>1212</v>
      </c>
      <c r="C585" s="1" t="s">
        <v>1530</v>
      </c>
      <c r="D585" s="1" t="s">
        <v>1288</v>
      </c>
      <c r="E585" s="1" t="s">
        <v>1326</v>
      </c>
      <c r="F585" t="s">
        <v>3399</v>
      </c>
      <c r="G585" t="s">
        <v>1746</v>
      </c>
      <c r="H585" t="s">
        <v>381</v>
      </c>
      <c r="I585" t="s">
        <v>1285</v>
      </c>
      <c r="J585" t="s">
        <v>1361</v>
      </c>
      <c r="K585" t="s">
        <v>1213</v>
      </c>
      <c r="L585" t="s">
        <v>1747</v>
      </c>
      <c r="M585" t="s">
        <v>1325</v>
      </c>
      <c r="N585">
        <v>24000</v>
      </c>
      <c r="O585" s="1" t="s">
        <v>1336</v>
      </c>
      <c r="P585" t="s">
        <v>1306</v>
      </c>
      <c r="Q585" t="s">
        <v>1294</v>
      </c>
      <c r="S585" t="s">
        <v>1294</v>
      </c>
      <c r="T585" t="s">
        <v>1296</v>
      </c>
      <c r="U585">
        <v>2603.0966669999998</v>
      </c>
      <c r="V585" t="s">
        <v>1212</v>
      </c>
    </row>
    <row r="586" spans="1:22" x14ac:dyDescent="0.25">
      <c r="A586" t="s">
        <v>1460</v>
      </c>
      <c r="B586" s="1" t="s">
        <v>1215</v>
      </c>
      <c r="C586" s="1" t="s">
        <v>1327</v>
      </c>
      <c r="D586" s="1" t="s">
        <v>1288</v>
      </c>
      <c r="E586" s="1" t="s">
        <v>1358</v>
      </c>
      <c r="F586" t="s">
        <v>1499</v>
      </c>
      <c r="G586" t="s">
        <v>1500</v>
      </c>
      <c r="H586" t="s">
        <v>1356</v>
      </c>
      <c r="I586" t="s">
        <v>1285</v>
      </c>
      <c r="J586" t="s">
        <v>1170</v>
      </c>
      <c r="K586" t="s">
        <v>1170</v>
      </c>
      <c r="L586" t="s">
        <v>1501</v>
      </c>
      <c r="M586" t="s">
        <v>1502</v>
      </c>
      <c r="N586" t="s">
        <v>1289</v>
      </c>
      <c r="O586" s="1" t="s">
        <v>1305</v>
      </c>
      <c r="P586" t="s">
        <v>1291</v>
      </c>
      <c r="Q586" t="s">
        <v>1294</v>
      </c>
      <c r="S586" t="s">
        <v>1294</v>
      </c>
      <c r="T586" t="s">
        <v>1296</v>
      </c>
      <c r="U586">
        <v>0</v>
      </c>
      <c r="V586" t="s">
        <v>1215</v>
      </c>
    </row>
    <row r="587" spans="1:22" x14ac:dyDescent="0.25">
      <c r="A587" t="s">
        <v>1460</v>
      </c>
      <c r="B587" s="1" t="s">
        <v>1215</v>
      </c>
      <c r="C587" s="1" t="s">
        <v>1327</v>
      </c>
      <c r="D587" s="1" t="s">
        <v>1288</v>
      </c>
      <c r="E587" s="1" t="s">
        <v>1358</v>
      </c>
      <c r="F587" t="s">
        <v>1545</v>
      </c>
      <c r="G587" t="s">
        <v>1500</v>
      </c>
      <c r="H587" t="s">
        <v>1356</v>
      </c>
      <c r="I587" t="s">
        <v>1285</v>
      </c>
      <c r="J587" t="s">
        <v>1170</v>
      </c>
      <c r="K587" t="s">
        <v>1170</v>
      </c>
      <c r="L587" t="s">
        <v>1546</v>
      </c>
      <c r="M587" t="s">
        <v>1502</v>
      </c>
      <c r="N587" t="s">
        <v>1289</v>
      </c>
      <c r="O587" s="1" t="s">
        <v>1305</v>
      </c>
      <c r="P587" t="s">
        <v>1291</v>
      </c>
      <c r="Q587" t="s">
        <v>1294</v>
      </c>
      <c r="S587" t="s">
        <v>1294</v>
      </c>
      <c r="T587" t="s">
        <v>1296</v>
      </c>
      <c r="U587">
        <v>0</v>
      </c>
      <c r="V587" t="s">
        <v>1215</v>
      </c>
    </row>
    <row r="588" spans="1:22" x14ac:dyDescent="0.25">
      <c r="A588" t="s">
        <v>1460</v>
      </c>
      <c r="B588" s="1" t="s">
        <v>1215</v>
      </c>
      <c r="C588" s="1" t="s">
        <v>1295</v>
      </c>
      <c r="D588" s="1" t="s">
        <v>1288</v>
      </c>
      <c r="E588" s="1" t="s">
        <v>1358</v>
      </c>
      <c r="F588" t="s">
        <v>1547</v>
      </c>
      <c r="G588" t="s">
        <v>1500</v>
      </c>
      <c r="H588" t="s">
        <v>1356</v>
      </c>
      <c r="I588" t="s">
        <v>1285</v>
      </c>
      <c r="J588" t="s">
        <v>1170</v>
      </c>
      <c r="K588" t="s">
        <v>1170</v>
      </c>
      <c r="L588" t="s">
        <v>1501</v>
      </c>
      <c r="M588" t="s">
        <v>1502</v>
      </c>
      <c r="N588" t="s">
        <v>1289</v>
      </c>
      <c r="O588" s="1" t="s">
        <v>1305</v>
      </c>
      <c r="P588" t="s">
        <v>1291</v>
      </c>
      <c r="Q588" t="s">
        <v>1294</v>
      </c>
      <c r="S588" t="s">
        <v>1294</v>
      </c>
      <c r="T588" t="s">
        <v>1296</v>
      </c>
      <c r="U588">
        <v>0</v>
      </c>
      <c r="V588" t="s">
        <v>1215</v>
      </c>
    </row>
    <row r="589" spans="1:22" ht="30" x14ac:dyDescent="0.25">
      <c r="A589" t="s">
        <v>1460</v>
      </c>
      <c r="B589" s="1" t="s">
        <v>1215</v>
      </c>
      <c r="C589" s="1" t="s">
        <v>1345</v>
      </c>
      <c r="D589" s="1" t="s">
        <v>1288</v>
      </c>
      <c r="E589" s="1" t="s">
        <v>1293</v>
      </c>
      <c r="F589" t="s">
        <v>1560</v>
      </c>
      <c r="G589" t="s">
        <v>1500</v>
      </c>
      <c r="H589" t="s">
        <v>1356</v>
      </c>
      <c r="I589" t="s">
        <v>1285</v>
      </c>
      <c r="J589" t="s">
        <v>1170</v>
      </c>
      <c r="K589" t="s">
        <v>1170</v>
      </c>
      <c r="L589" t="s">
        <v>1561</v>
      </c>
      <c r="M589" t="s">
        <v>1502</v>
      </c>
      <c r="N589" t="s">
        <v>1289</v>
      </c>
      <c r="O589" s="1" t="s">
        <v>1305</v>
      </c>
      <c r="P589" t="s">
        <v>1291</v>
      </c>
      <c r="Q589" t="s">
        <v>1294</v>
      </c>
      <c r="S589" t="s">
        <v>1294</v>
      </c>
      <c r="T589" t="s">
        <v>1296</v>
      </c>
      <c r="U589">
        <v>0</v>
      </c>
      <c r="V589" t="s">
        <v>1215</v>
      </c>
    </row>
    <row r="590" spans="1:22" ht="30" x14ac:dyDescent="0.25">
      <c r="A590" t="s">
        <v>1871</v>
      </c>
      <c r="B590" s="1" t="s">
        <v>1215</v>
      </c>
      <c r="C590" s="1" t="s">
        <v>1530</v>
      </c>
      <c r="D590" s="1" t="s">
        <v>1288</v>
      </c>
      <c r="E590" s="1" t="s">
        <v>1326</v>
      </c>
      <c r="F590" t="s">
        <v>2949</v>
      </c>
      <c r="G590" t="s">
        <v>1500</v>
      </c>
      <c r="H590" t="s">
        <v>1356</v>
      </c>
      <c r="I590" t="s">
        <v>1285</v>
      </c>
      <c r="J590" t="s">
        <v>1170</v>
      </c>
      <c r="K590" t="s">
        <v>1170</v>
      </c>
      <c r="L590" t="s">
        <v>2950</v>
      </c>
      <c r="M590" t="s">
        <v>1502</v>
      </c>
      <c r="N590" t="s">
        <v>1289</v>
      </c>
      <c r="O590" s="1" t="s">
        <v>1305</v>
      </c>
      <c r="P590" t="s">
        <v>1291</v>
      </c>
      <c r="Q590" t="s">
        <v>1294</v>
      </c>
      <c r="S590" t="s">
        <v>1294</v>
      </c>
      <c r="T590" t="s">
        <v>1296</v>
      </c>
      <c r="U590">
        <v>0</v>
      </c>
      <c r="V590" t="s">
        <v>1215</v>
      </c>
    </row>
    <row r="591" spans="1:22" ht="30" x14ac:dyDescent="0.25">
      <c r="A591" t="s">
        <v>1871</v>
      </c>
      <c r="B591" s="1" t="s">
        <v>1215</v>
      </c>
      <c r="C591" s="1" t="s">
        <v>1530</v>
      </c>
      <c r="D591" s="1" t="s">
        <v>1288</v>
      </c>
      <c r="E591" s="1" t="s">
        <v>1326</v>
      </c>
      <c r="F591" t="s">
        <v>2951</v>
      </c>
      <c r="G591" t="s">
        <v>1500</v>
      </c>
      <c r="H591" t="s">
        <v>1356</v>
      </c>
      <c r="I591" t="s">
        <v>1285</v>
      </c>
      <c r="J591" t="s">
        <v>1170</v>
      </c>
      <c r="K591" t="s">
        <v>1170</v>
      </c>
      <c r="L591" t="s">
        <v>2952</v>
      </c>
      <c r="M591" t="s">
        <v>1502</v>
      </c>
      <c r="N591" t="s">
        <v>1289</v>
      </c>
      <c r="O591" s="1" t="s">
        <v>1305</v>
      </c>
      <c r="P591" t="s">
        <v>1291</v>
      </c>
      <c r="Q591" t="s">
        <v>1294</v>
      </c>
      <c r="S591" t="s">
        <v>1294</v>
      </c>
      <c r="T591" t="s">
        <v>1296</v>
      </c>
      <c r="U591">
        <v>0</v>
      </c>
      <c r="V591" t="s">
        <v>1215</v>
      </c>
    </row>
    <row r="592" spans="1:22" ht="30" x14ac:dyDescent="0.25">
      <c r="A592" t="s">
        <v>1871</v>
      </c>
      <c r="B592" s="1" t="s">
        <v>1215</v>
      </c>
      <c r="C592" s="1" t="s">
        <v>1530</v>
      </c>
      <c r="D592" s="1" t="s">
        <v>1288</v>
      </c>
      <c r="E592" s="1" t="s">
        <v>1326</v>
      </c>
      <c r="F592" t="s">
        <v>2953</v>
      </c>
      <c r="G592" t="s">
        <v>1500</v>
      </c>
      <c r="H592" t="s">
        <v>1356</v>
      </c>
      <c r="I592" t="s">
        <v>1285</v>
      </c>
      <c r="J592" t="s">
        <v>1170</v>
      </c>
      <c r="K592" t="s">
        <v>1170</v>
      </c>
      <c r="L592" t="s">
        <v>2954</v>
      </c>
      <c r="M592" t="s">
        <v>1502</v>
      </c>
      <c r="N592" t="s">
        <v>1289</v>
      </c>
      <c r="O592" s="1" t="s">
        <v>1305</v>
      </c>
      <c r="P592" t="s">
        <v>1291</v>
      </c>
      <c r="Q592" t="s">
        <v>1294</v>
      </c>
      <c r="S592" t="s">
        <v>1294</v>
      </c>
      <c r="T592" t="s">
        <v>1296</v>
      </c>
      <c r="U592">
        <v>0</v>
      </c>
      <c r="V592" t="s">
        <v>1215</v>
      </c>
    </row>
    <row r="593" spans="1:22" ht="30" x14ac:dyDescent="0.25">
      <c r="A593" t="s">
        <v>1871</v>
      </c>
      <c r="B593" s="1" t="s">
        <v>1215</v>
      </c>
      <c r="C593" s="1" t="s">
        <v>1530</v>
      </c>
      <c r="D593" s="1" t="s">
        <v>1288</v>
      </c>
      <c r="E593" s="1" t="s">
        <v>1326</v>
      </c>
      <c r="F593" t="s">
        <v>2955</v>
      </c>
      <c r="G593" t="s">
        <v>1500</v>
      </c>
      <c r="H593" t="s">
        <v>1356</v>
      </c>
      <c r="I593" t="s">
        <v>1285</v>
      </c>
      <c r="J593" t="s">
        <v>1170</v>
      </c>
      <c r="K593" t="s">
        <v>1170</v>
      </c>
      <c r="L593" t="s">
        <v>2956</v>
      </c>
      <c r="M593" t="s">
        <v>1502</v>
      </c>
      <c r="N593" t="s">
        <v>1289</v>
      </c>
      <c r="O593" s="1" t="s">
        <v>1305</v>
      </c>
      <c r="P593" t="s">
        <v>1291</v>
      </c>
      <c r="Q593" t="s">
        <v>1294</v>
      </c>
      <c r="S593" t="s">
        <v>1294</v>
      </c>
      <c r="T593" t="s">
        <v>1296</v>
      </c>
      <c r="U593">
        <v>0</v>
      </c>
      <c r="V593" t="s">
        <v>1215</v>
      </c>
    </row>
    <row r="594" spans="1:22" ht="30" x14ac:dyDescent="0.25">
      <c r="A594" t="s">
        <v>1871</v>
      </c>
      <c r="B594" s="1" t="s">
        <v>1215</v>
      </c>
      <c r="C594" s="1" t="s">
        <v>1530</v>
      </c>
      <c r="D594" s="1" t="s">
        <v>1288</v>
      </c>
      <c r="E594" s="1" t="s">
        <v>1326</v>
      </c>
      <c r="F594" t="s">
        <v>2957</v>
      </c>
      <c r="G594" t="s">
        <v>1500</v>
      </c>
      <c r="H594" t="s">
        <v>1356</v>
      </c>
      <c r="I594" t="s">
        <v>1285</v>
      </c>
      <c r="J594" t="s">
        <v>1170</v>
      </c>
      <c r="K594" t="s">
        <v>1170</v>
      </c>
      <c r="L594" t="s">
        <v>2958</v>
      </c>
      <c r="M594" t="s">
        <v>1502</v>
      </c>
      <c r="N594" t="s">
        <v>1289</v>
      </c>
      <c r="O594" s="1" t="s">
        <v>1305</v>
      </c>
      <c r="P594" t="s">
        <v>1291</v>
      </c>
      <c r="Q594" t="s">
        <v>1294</v>
      </c>
      <c r="S594" t="s">
        <v>1294</v>
      </c>
      <c r="T594" t="s">
        <v>1296</v>
      </c>
      <c r="U594">
        <v>0</v>
      </c>
      <c r="V594" t="s">
        <v>1215</v>
      </c>
    </row>
    <row r="595" spans="1:22" ht="30" x14ac:dyDescent="0.25">
      <c r="A595" t="s">
        <v>1871</v>
      </c>
      <c r="B595" s="1" t="s">
        <v>1215</v>
      </c>
      <c r="C595" s="1" t="s">
        <v>1530</v>
      </c>
      <c r="D595" s="1" t="s">
        <v>1288</v>
      </c>
      <c r="E595" s="1" t="s">
        <v>1326</v>
      </c>
      <c r="F595" t="s">
        <v>2959</v>
      </c>
      <c r="G595" t="s">
        <v>1500</v>
      </c>
      <c r="H595" t="s">
        <v>1356</v>
      </c>
      <c r="I595" t="s">
        <v>1285</v>
      </c>
      <c r="J595" t="s">
        <v>1170</v>
      </c>
      <c r="K595" t="s">
        <v>1170</v>
      </c>
      <c r="L595" t="s">
        <v>2960</v>
      </c>
      <c r="M595" t="s">
        <v>1502</v>
      </c>
      <c r="N595" t="s">
        <v>1289</v>
      </c>
      <c r="O595" s="1" t="s">
        <v>1305</v>
      </c>
      <c r="P595" t="s">
        <v>1291</v>
      </c>
      <c r="Q595" t="s">
        <v>1294</v>
      </c>
      <c r="S595" t="s">
        <v>1294</v>
      </c>
      <c r="T595" t="s">
        <v>1296</v>
      </c>
      <c r="U595">
        <v>0</v>
      </c>
      <c r="V595" t="s">
        <v>1215</v>
      </c>
    </row>
    <row r="596" spans="1:22" ht="30" x14ac:dyDescent="0.25">
      <c r="A596" t="s">
        <v>1871</v>
      </c>
      <c r="B596" s="1" t="s">
        <v>1215</v>
      </c>
      <c r="C596" s="1" t="s">
        <v>1530</v>
      </c>
      <c r="D596" s="1" t="s">
        <v>1288</v>
      </c>
      <c r="E596" s="1" t="s">
        <v>1326</v>
      </c>
      <c r="F596" t="s">
        <v>2961</v>
      </c>
      <c r="G596" t="s">
        <v>1500</v>
      </c>
      <c r="H596" t="s">
        <v>1356</v>
      </c>
      <c r="I596" t="s">
        <v>1285</v>
      </c>
      <c r="J596" t="s">
        <v>1170</v>
      </c>
      <c r="K596" t="s">
        <v>1170</v>
      </c>
      <c r="L596" t="s">
        <v>2962</v>
      </c>
      <c r="M596" t="s">
        <v>1502</v>
      </c>
      <c r="N596" t="s">
        <v>1289</v>
      </c>
      <c r="O596" s="1" t="s">
        <v>1305</v>
      </c>
      <c r="P596" t="s">
        <v>1291</v>
      </c>
      <c r="Q596" t="s">
        <v>1294</v>
      </c>
      <c r="S596" t="s">
        <v>1294</v>
      </c>
      <c r="T596" t="s">
        <v>1296</v>
      </c>
      <c r="U596">
        <v>0</v>
      </c>
      <c r="V596" t="s">
        <v>1215</v>
      </c>
    </row>
    <row r="597" spans="1:22" ht="30" x14ac:dyDescent="0.25">
      <c r="A597" t="s">
        <v>1871</v>
      </c>
      <c r="B597" s="1" t="s">
        <v>1215</v>
      </c>
      <c r="C597" s="1" t="s">
        <v>1530</v>
      </c>
      <c r="D597" s="1" t="s">
        <v>1288</v>
      </c>
      <c r="E597" s="1" t="s">
        <v>1326</v>
      </c>
      <c r="F597" t="s">
        <v>2963</v>
      </c>
      <c r="G597" t="s">
        <v>1500</v>
      </c>
      <c r="H597" t="s">
        <v>1356</v>
      </c>
      <c r="I597" t="s">
        <v>1285</v>
      </c>
      <c r="J597" t="s">
        <v>1170</v>
      </c>
      <c r="K597" t="s">
        <v>1170</v>
      </c>
      <c r="L597" t="s">
        <v>2964</v>
      </c>
      <c r="M597" t="s">
        <v>1502</v>
      </c>
      <c r="N597" t="s">
        <v>1289</v>
      </c>
      <c r="O597" s="1" t="s">
        <v>1305</v>
      </c>
      <c r="P597" t="s">
        <v>1291</v>
      </c>
      <c r="Q597" t="s">
        <v>1294</v>
      </c>
      <c r="S597" t="s">
        <v>1294</v>
      </c>
      <c r="T597" t="s">
        <v>1296</v>
      </c>
      <c r="U597">
        <v>0</v>
      </c>
      <c r="V597" t="s">
        <v>1215</v>
      </c>
    </row>
    <row r="598" spans="1:22" ht="30" x14ac:dyDescent="0.25">
      <c r="A598" t="s">
        <v>1871</v>
      </c>
      <c r="B598" s="1" t="s">
        <v>1215</v>
      </c>
      <c r="C598" s="1" t="s">
        <v>1530</v>
      </c>
      <c r="D598" s="1" t="s">
        <v>1288</v>
      </c>
      <c r="E598" s="1" t="s">
        <v>1326</v>
      </c>
      <c r="F598" t="s">
        <v>2965</v>
      </c>
      <c r="G598" t="s">
        <v>1500</v>
      </c>
      <c r="H598" t="s">
        <v>1356</v>
      </c>
      <c r="I598" t="s">
        <v>1285</v>
      </c>
      <c r="J598" t="s">
        <v>1170</v>
      </c>
      <c r="K598" t="s">
        <v>1170</v>
      </c>
      <c r="L598" t="s">
        <v>2966</v>
      </c>
      <c r="M598" t="s">
        <v>1502</v>
      </c>
      <c r="N598" t="s">
        <v>1289</v>
      </c>
      <c r="O598" s="1" t="s">
        <v>1305</v>
      </c>
      <c r="P598" t="s">
        <v>1291</v>
      </c>
      <c r="Q598" t="s">
        <v>1294</v>
      </c>
      <c r="S598" t="s">
        <v>1294</v>
      </c>
      <c r="T598" t="s">
        <v>1296</v>
      </c>
      <c r="U598">
        <v>0</v>
      </c>
      <c r="V598" t="s">
        <v>1215</v>
      </c>
    </row>
    <row r="599" spans="1:22" ht="30" x14ac:dyDescent="0.25">
      <c r="A599" t="s">
        <v>1871</v>
      </c>
      <c r="B599" s="1" t="s">
        <v>1215</v>
      </c>
      <c r="C599" s="1" t="s">
        <v>1530</v>
      </c>
      <c r="D599" s="1" t="s">
        <v>1288</v>
      </c>
      <c r="E599" s="1" t="s">
        <v>1326</v>
      </c>
      <c r="F599" t="s">
        <v>2971</v>
      </c>
      <c r="G599" t="s">
        <v>1500</v>
      </c>
      <c r="H599" t="s">
        <v>1356</v>
      </c>
      <c r="I599" t="s">
        <v>1285</v>
      </c>
      <c r="J599" t="s">
        <v>1170</v>
      </c>
      <c r="K599" t="s">
        <v>1170</v>
      </c>
      <c r="L599" t="s">
        <v>2972</v>
      </c>
      <c r="M599" t="s">
        <v>1502</v>
      </c>
      <c r="N599" t="s">
        <v>1289</v>
      </c>
      <c r="O599" s="1" t="s">
        <v>1305</v>
      </c>
      <c r="P599" t="s">
        <v>1291</v>
      </c>
      <c r="Q599" t="s">
        <v>1294</v>
      </c>
      <c r="S599" t="s">
        <v>1294</v>
      </c>
      <c r="T599" t="s">
        <v>1296</v>
      </c>
      <c r="U599">
        <v>0</v>
      </c>
      <c r="V599" t="s">
        <v>1215</v>
      </c>
    </row>
    <row r="600" spans="1:22" ht="45" x14ac:dyDescent="0.25">
      <c r="A600" t="s">
        <v>1281</v>
      </c>
      <c r="B600" s="1" t="s">
        <v>1298</v>
      </c>
      <c r="C600" s="1" t="s">
        <v>1295</v>
      </c>
      <c r="D600" s="1" t="s">
        <v>1304</v>
      </c>
      <c r="E600" s="1" t="s">
        <v>1307</v>
      </c>
      <c r="F600" t="s">
        <v>1297</v>
      </c>
      <c r="G600" t="s">
        <v>1299</v>
      </c>
      <c r="H600" t="s">
        <v>381</v>
      </c>
      <c r="I600" t="s">
        <v>1300</v>
      </c>
      <c r="J600" t="s">
        <v>1301</v>
      </c>
      <c r="K600" t="s">
        <v>1218</v>
      </c>
      <c r="L600" t="s">
        <v>1302</v>
      </c>
      <c r="M600" t="s">
        <v>1303</v>
      </c>
      <c r="N600">
        <v>55000</v>
      </c>
      <c r="O600" s="1" t="s">
        <v>1305</v>
      </c>
      <c r="P600" t="s">
        <v>1306</v>
      </c>
      <c r="Q600" t="s">
        <v>1294</v>
      </c>
      <c r="S600" t="s">
        <v>1294</v>
      </c>
      <c r="T600" t="s">
        <v>1296</v>
      </c>
      <c r="U600">
        <v>0</v>
      </c>
      <c r="V600" t="s">
        <v>1298</v>
      </c>
    </row>
    <row r="601" spans="1:22" ht="45" x14ac:dyDescent="0.25">
      <c r="A601" t="s">
        <v>1281</v>
      </c>
      <c r="B601" s="1" t="s">
        <v>1298</v>
      </c>
      <c r="C601" s="1" t="s">
        <v>1320</v>
      </c>
      <c r="D601" s="1" t="s">
        <v>1304</v>
      </c>
      <c r="E601" s="1" t="s">
        <v>1307</v>
      </c>
      <c r="F601" t="s">
        <v>1328</v>
      </c>
      <c r="G601" t="s">
        <v>1299</v>
      </c>
      <c r="H601" t="s">
        <v>381</v>
      </c>
      <c r="I601" t="s">
        <v>1300</v>
      </c>
      <c r="J601" t="s">
        <v>1301</v>
      </c>
      <c r="K601" t="s">
        <v>1218</v>
      </c>
      <c r="L601" t="s">
        <v>1302</v>
      </c>
      <c r="M601" t="s">
        <v>1303</v>
      </c>
      <c r="N601">
        <v>55000</v>
      </c>
      <c r="O601" s="1" t="s">
        <v>1305</v>
      </c>
      <c r="P601" t="s">
        <v>1306</v>
      </c>
      <c r="Q601" t="s">
        <v>1294</v>
      </c>
      <c r="S601" t="s">
        <v>1294</v>
      </c>
      <c r="T601" t="s">
        <v>1296</v>
      </c>
      <c r="U601">
        <v>0</v>
      </c>
      <c r="V601" t="s">
        <v>1298</v>
      </c>
    </row>
    <row r="602" spans="1:22" ht="45" x14ac:dyDescent="0.25">
      <c r="A602" t="s">
        <v>1281</v>
      </c>
      <c r="B602" s="1" t="s">
        <v>1298</v>
      </c>
      <c r="C602" s="1" t="s">
        <v>1327</v>
      </c>
      <c r="D602" s="1" t="s">
        <v>1304</v>
      </c>
      <c r="E602" s="1" t="s">
        <v>1307</v>
      </c>
      <c r="F602" t="s">
        <v>1351</v>
      </c>
      <c r="G602" t="s">
        <v>1299</v>
      </c>
      <c r="H602" t="s">
        <v>381</v>
      </c>
      <c r="I602" t="s">
        <v>1300</v>
      </c>
      <c r="J602" t="s">
        <v>1301</v>
      </c>
      <c r="K602" t="s">
        <v>1218</v>
      </c>
      <c r="L602" t="s">
        <v>1302</v>
      </c>
      <c r="M602" t="s">
        <v>1303</v>
      </c>
      <c r="N602">
        <v>55000</v>
      </c>
      <c r="O602" s="1" t="s">
        <v>1305</v>
      </c>
      <c r="P602" t="s">
        <v>1306</v>
      </c>
      <c r="Q602" t="s">
        <v>1294</v>
      </c>
      <c r="S602" t="s">
        <v>1294</v>
      </c>
      <c r="T602" t="s">
        <v>1296</v>
      </c>
      <c r="U602">
        <v>0</v>
      </c>
      <c r="V602" t="s">
        <v>1298</v>
      </c>
    </row>
    <row r="603" spans="1:22" ht="45" x14ac:dyDescent="0.25">
      <c r="A603" t="s">
        <v>1281</v>
      </c>
      <c r="B603" s="1" t="s">
        <v>1298</v>
      </c>
      <c r="C603" s="1" t="s">
        <v>1345</v>
      </c>
      <c r="D603" s="1" t="s">
        <v>1304</v>
      </c>
      <c r="E603" s="1" t="s">
        <v>1307</v>
      </c>
      <c r="F603" t="s">
        <v>1352</v>
      </c>
      <c r="G603" t="s">
        <v>1299</v>
      </c>
      <c r="H603" t="s">
        <v>381</v>
      </c>
      <c r="I603" t="s">
        <v>1300</v>
      </c>
      <c r="J603" t="s">
        <v>1301</v>
      </c>
      <c r="K603" t="s">
        <v>1218</v>
      </c>
      <c r="L603" t="s">
        <v>1302</v>
      </c>
      <c r="M603" t="s">
        <v>1303</v>
      </c>
      <c r="N603">
        <v>55000</v>
      </c>
      <c r="O603" s="1" t="s">
        <v>1305</v>
      </c>
      <c r="P603" t="s">
        <v>1306</v>
      </c>
      <c r="Q603" t="s">
        <v>1294</v>
      </c>
      <c r="S603" t="s">
        <v>1294</v>
      </c>
      <c r="T603" t="s">
        <v>1296</v>
      </c>
      <c r="U603">
        <v>0</v>
      </c>
      <c r="V603" t="s">
        <v>1298</v>
      </c>
    </row>
    <row r="604" spans="1:22" ht="45" x14ac:dyDescent="0.25">
      <c r="A604" t="s">
        <v>1281</v>
      </c>
      <c r="B604" s="1" t="s">
        <v>1298</v>
      </c>
      <c r="C604" s="1" t="s">
        <v>1295</v>
      </c>
      <c r="D604" s="1" t="s">
        <v>1304</v>
      </c>
      <c r="E604" s="1" t="s">
        <v>1307</v>
      </c>
      <c r="F604" t="s">
        <v>1403</v>
      </c>
      <c r="G604" t="s">
        <v>1299</v>
      </c>
      <c r="H604" t="s">
        <v>381</v>
      </c>
      <c r="I604" t="s">
        <v>1300</v>
      </c>
      <c r="J604" t="s">
        <v>1301</v>
      </c>
      <c r="K604" t="s">
        <v>1218</v>
      </c>
      <c r="L604" t="s">
        <v>1302</v>
      </c>
      <c r="M604" t="s">
        <v>1303</v>
      </c>
      <c r="N604">
        <v>55000</v>
      </c>
      <c r="O604" s="1" t="s">
        <v>1305</v>
      </c>
      <c r="P604" t="s">
        <v>1306</v>
      </c>
      <c r="Q604" t="s">
        <v>1294</v>
      </c>
      <c r="S604" t="s">
        <v>1294</v>
      </c>
      <c r="T604" t="s">
        <v>1296</v>
      </c>
      <c r="U604">
        <v>0</v>
      </c>
      <c r="V604" t="s">
        <v>1298</v>
      </c>
    </row>
    <row r="605" spans="1:22" ht="45" x14ac:dyDescent="0.25">
      <c r="A605" t="s">
        <v>1281</v>
      </c>
      <c r="B605" s="1" t="s">
        <v>1298</v>
      </c>
      <c r="C605" s="1" t="s">
        <v>1327</v>
      </c>
      <c r="D605" s="1" t="s">
        <v>1304</v>
      </c>
      <c r="E605" s="1" t="s">
        <v>1307</v>
      </c>
      <c r="F605" t="s">
        <v>1445</v>
      </c>
      <c r="G605" t="s">
        <v>1299</v>
      </c>
      <c r="H605" t="s">
        <v>381</v>
      </c>
      <c r="I605" t="s">
        <v>1300</v>
      </c>
      <c r="J605" t="s">
        <v>1301</v>
      </c>
      <c r="K605" t="s">
        <v>1218</v>
      </c>
      <c r="L605" t="s">
        <v>1302</v>
      </c>
      <c r="M605" t="s">
        <v>1303</v>
      </c>
      <c r="N605">
        <v>55000</v>
      </c>
      <c r="O605" s="1" t="s">
        <v>1305</v>
      </c>
      <c r="P605" t="s">
        <v>1306</v>
      </c>
      <c r="Q605" t="s">
        <v>1294</v>
      </c>
      <c r="S605" t="s">
        <v>1294</v>
      </c>
      <c r="T605" t="s">
        <v>1296</v>
      </c>
      <c r="U605">
        <v>0</v>
      </c>
      <c r="V605" t="s">
        <v>1298</v>
      </c>
    </row>
    <row r="606" spans="1:22" ht="45" x14ac:dyDescent="0.25">
      <c r="A606" t="s">
        <v>1281</v>
      </c>
      <c r="B606" s="1" t="s">
        <v>1298</v>
      </c>
      <c r="C606" s="1" t="s">
        <v>1320</v>
      </c>
      <c r="D606" s="1" t="s">
        <v>1304</v>
      </c>
      <c r="E606" s="1" t="s">
        <v>1307</v>
      </c>
      <c r="F606" t="s">
        <v>1446</v>
      </c>
      <c r="G606" t="s">
        <v>1299</v>
      </c>
      <c r="H606" t="s">
        <v>381</v>
      </c>
      <c r="I606" t="s">
        <v>1300</v>
      </c>
      <c r="J606" t="s">
        <v>1301</v>
      </c>
      <c r="K606" t="s">
        <v>1218</v>
      </c>
      <c r="L606" t="s">
        <v>1302</v>
      </c>
      <c r="M606" t="s">
        <v>1303</v>
      </c>
      <c r="N606">
        <v>55000</v>
      </c>
      <c r="O606" s="1" t="s">
        <v>1305</v>
      </c>
      <c r="P606" t="s">
        <v>1306</v>
      </c>
      <c r="Q606" t="s">
        <v>1294</v>
      </c>
      <c r="S606" t="s">
        <v>1294</v>
      </c>
      <c r="T606" t="s">
        <v>1296</v>
      </c>
      <c r="U606">
        <v>0</v>
      </c>
      <c r="V606" t="s">
        <v>1298</v>
      </c>
    </row>
    <row r="607" spans="1:22" ht="45" x14ac:dyDescent="0.25">
      <c r="A607" t="s">
        <v>1281</v>
      </c>
      <c r="B607" s="1" t="s">
        <v>1298</v>
      </c>
      <c r="C607" s="1" t="s">
        <v>1345</v>
      </c>
      <c r="D607" s="1" t="s">
        <v>1304</v>
      </c>
      <c r="E607" s="1" t="s">
        <v>1307</v>
      </c>
      <c r="F607" t="s">
        <v>1447</v>
      </c>
      <c r="G607" t="s">
        <v>1299</v>
      </c>
      <c r="H607" t="s">
        <v>381</v>
      </c>
      <c r="I607" t="s">
        <v>1300</v>
      </c>
      <c r="J607" t="s">
        <v>1301</v>
      </c>
      <c r="K607" t="s">
        <v>1218</v>
      </c>
      <c r="L607" t="s">
        <v>1302</v>
      </c>
      <c r="M607" t="s">
        <v>1303</v>
      </c>
      <c r="N607">
        <v>55000</v>
      </c>
      <c r="O607" s="1" t="s">
        <v>1305</v>
      </c>
      <c r="P607" t="s">
        <v>1306</v>
      </c>
      <c r="Q607" t="s">
        <v>1294</v>
      </c>
      <c r="S607" t="s">
        <v>1294</v>
      </c>
      <c r="T607" t="s">
        <v>1296</v>
      </c>
      <c r="U607">
        <v>0</v>
      </c>
      <c r="V607" t="s">
        <v>1298</v>
      </c>
    </row>
    <row r="608" spans="1:22" ht="45" x14ac:dyDescent="0.25">
      <c r="A608" t="s">
        <v>1281</v>
      </c>
      <c r="B608" s="1" t="s">
        <v>1298</v>
      </c>
      <c r="C608" s="1" t="s">
        <v>1345</v>
      </c>
      <c r="D608" s="1" t="s">
        <v>1304</v>
      </c>
      <c r="E608" s="1" t="s">
        <v>1307</v>
      </c>
      <c r="F608" t="s">
        <v>1448</v>
      </c>
      <c r="G608" t="s">
        <v>1299</v>
      </c>
      <c r="H608" t="s">
        <v>381</v>
      </c>
      <c r="I608" t="s">
        <v>1300</v>
      </c>
      <c r="J608" t="s">
        <v>1301</v>
      </c>
      <c r="K608" t="s">
        <v>1218</v>
      </c>
      <c r="L608" t="s">
        <v>1302</v>
      </c>
      <c r="M608" t="s">
        <v>1303</v>
      </c>
      <c r="N608">
        <v>55000</v>
      </c>
      <c r="O608" s="1" t="s">
        <v>1305</v>
      </c>
      <c r="P608" t="s">
        <v>1306</v>
      </c>
      <c r="Q608" t="s">
        <v>1294</v>
      </c>
      <c r="S608" t="s">
        <v>1294</v>
      </c>
      <c r="T608" t="s">
        <v>1296</v>
      </c>
      <c r="U608">
        <v>0</v>
      </c>
      <c r="V608" t="s">
        <v>1298</v>
      </c>
    </row>
    <row r="609" spans="1:22" ht="45" x14ac:dyDescent="0.25">
      <c r="A609" t="s">
        <v>1281</v>
      </c>
      <c r="B609" s="1" t="s">
        <v>1298</v>
      </c>
      <c r="C609" s="1" t="s">
        <v>1295</v>
      </c>
      <c r="D609" s="1" t="s">
        <v>1304</v>
      </c>
      <c r="E609" s="1" t="s">
        <v>1307</v>
      </c>
      <c r="F609" t="s">
        <v>1449</v>
      </c>
      <c r="G609" t="s">
        <v>1299</v>
      </c>
      <c r="H609" t="s">
        <v>381</v>
      </c>
      <c r="I609" t="s">
        <v>1300</v>
      </c>
      <c r="J609" t="s">
        <v>1301</v>
      </c>
      <c r="K609" t="s">
        <v>1218</v>
      </c>
      <c r="L609" t="s">
        <v>1302</v>
      </c>
      <c r="M609" t="s">
        <v>1303</v>
      </c>
      <c r="N609">
        <v>55000</v>
      </c>
      <c r="O609" s="1" t="s">
        <v>1305</v>
      </c>
      <c r="P609" t="s">
        <v>1306</v>
      </c>
      <c r="Q609" t="s">
        <v>1294</v>
      </c>
      <c r="S609" t="s">
        <v>1294</v>
      </c>
      <c r="T609" t="s">
        <v>1296</v>
      </c>
      <c r="U609">
        <v>0</v>
      </c>
      <c r="V609" t="s">
        <v>1298</v>
      </c>
    </row>
    <row r="610" spans="1:22" ht="45" x14ac:dyDescent="0.25">
      <c r="A610" t="s">
        <v>1281</v>
      </c>
      <c r="B610" s="1" t="s">
        <v>1298</v>
      </c>
      <c r="C610" s="1" t="s">
        <v>1345</v>
      </c>
      <c r="D610" s="1" t="s">
        <v>1304</v>
      </c>
      <c r="E610" s="1" t="s">
        <v>1307</v>
      </c>
      <c r="F610" t="s">
        <v>1450</v>
      </c>
      <c r="G610" t="s">
        <v>1299</v>
      </c>
      <c r="H610" t="s">
        <v>381</v>
      </c>
      <c r="I610" t="s">
        <v>1300</v>
      </c>
      <c r="J610" t="s">
        <v>1301</v>
      </c>
      <c r="K610" t="s">
        <v>1218</v>
      </c>
      <c r="L610" t="s">
        <v>1302</v>
      </c>
      <c r="M610" t="s">
        <v>1303</v>
      </c>
      <c r="N610">
        <v>55000</v>
      </c>
      <c r="O610" s="1" t="s">
        <v>1305</v>
      </c>
      <c r="P610" t="s">
        <v>1306</v>
      </c>
      <c r="Q610" t="s">
        <v>1294</v>
      </c>
      <c r="S610" t="s">
        <v>1294</v>
      </c>
      <c r="T610" t="s">
        <v>1296</v>
      </c>
      <c r="U610">
        <v>0</v>
      </c>
      <c r="V610" t="s">
        <v>1298</v>
      </c>
    </row>
    <row r="611" spans="1:22" ht="45" x14ac:dyDescent="0.25">
      <c r="A611" t="s">
        <v>1281</v>
      </c>
      <c r="B611" s="1" t="s">
        <v>1298</v>
      </c>
      <c r="C611" s="1" t="s">
        <v>1295</v>
      </c>
      <c r="D611" s="1" t="s">
        <v>1304</v>
      </c>
      <c r="E611" s="1" t="s">
        <v>1307</v>
      </c>
      <c r="F611" t="s">
        <v>1451</v>
      </c>
      <c r="G611" t="s">
        <v>1299</v>
      </c>
      <c r="H611" t="s">
        <v>381</v>
      </c>
      <c r="I611" t="s">
        <v>1300</v>
      </c>
      <c r="J611" t="s">
        <v>1301</v>
      </c>
      <c r="K611" t="s">
        <v>1218</v>
      </c>
      <c r="L611" t="s">
        <v>1302</v>
      </c>
      <c r="M611" t="s">
        <v>1303</v>
      </c>
      <c r="N611">
        <v>55000</v>
      </c>
      <c r="O611" s="1" t="s">
        <v>1305</v>
      </c>
      <c r="P611" t="s">
        <v>1306</v>
      </c>
      <c r="Q611" t="s">
        <v>1294</v>
      </c>
      <c r="S611" t="s">
        <v>1294</v>
      </c>
      <c r="T611" t="s">
        <v>1296</v>
      </c>
      <c r="U611">
        <v>0</v>
      </c>
      <c r="V611" t="s">
        <v>1298</v>
      </c>
    </row>
    <row r="612" spans="1:22" ht="45" x14ac:dyDescent="0.25">
      <c r="A612" t="s">
        <v>1281</v>
      </c>
      <c r="B612" s="1" t="s">
        <v>1298</v>
      </c>
      <c r="C612" s="1" t="s">
        <v>1343</v>
      </c>
      <c r="D612" s="1" t="s">
        <v>1304</v>
      </c>
      <c r="E612" s="1" t="s">
        <v>1307</v>
      </c>
      <c r="F612" t="s">
        <v>1452</v>
      </c>
      <c r="G612" t="s">
        <v>1299</v>
      </c>
      <c r="H612" t="s">
        <v>381</v>
      </c>
      <c r="I612" t="s">
        <v>1300</v>
      </c>
      <c r="J612" t="s">
        <v>1301</v>
      </c>
      <c r="K612" t="s">
        <v>1218</v>
      </c>
      <c r="L612" t="s">
        <v>1302</v>
      </c>
      <c r="M612" t="s">
        <v>1303</v>
      </c>
      <c r="N612">
        <v>55000</v>
      </c>
      <c r="O612" s="1" t="s">
        <v>1305</v>
      </c>
      <c r="P612" t="s">
        <v>1306</v>
      </c>
      <c r="Q612" t="s">
        <v>1294</v>
      </c>
      <c r="S612" t="s">
        <v>1294</v>
      </c>
      <c r="T612" t="s">
        <v>1296</v>
      </c>
      <c r="U612">
        <v>0</v>
      </c>
      <c r="V612" t="s">
        <v>1298</v>
      </c>
    </row>
    <row r="613" spans="1:22" ht="45" x14ac:dyDescent="0.25">
      <c r="A613" t="s">
        <v>1871</v>
      </c>
      <c r="B613" s="1" t="s">
        <v>1298</v>
      </c>
      <c r="C613" s="1" t="s">
        <v>1530</v>
      </c>
      <c r="D613" s="1" t="s">
        <v>1304</v>
      </c>
      <c r="E613" s="1" t="s">
        <v>1410</v>
      </c>
      <c r="F613" t="s">
        <v>1891</v>
      </c>
      <c r="G613" t="s">
        <v>1299</v>
      </c>
      <c r="H613" t="s">
        <v>381</v>
      </c>
      <c r="I613" t="s">
        <v>1300</v>
      </c>
      <c r="J613" t="s">
        <v>1301</v>
      </c>
      <c r="K613" t="s">
        <v>1218</v>
      </c>
      <c r="L613" t="s">
        <v>1302</v>
      </c>
      <c r="M613" t="s">
        <v>1303</v>
      </c>
      <c r="N613">
        <v>55000</v>
      </c>
      <c r="O613" s="1" t="s">
        <v>1305</v>
      </c>
      <c r="P613" t="s">
        <v>1306</v>
      </c>
      <c r="Q613" t="s">
        <v>1294</v>
      </c>
      <c r="S613" t="s">
        <v>1294</v>
      </c>
      <c r="T613" t="s">
        <v>1296</v>
      </c>
      <c r="U613">
        <v>1615</v>
      </c>
      <c r="V613" t="s">
        <v>1298</v>
      </c>
    </row>
    <row r="614" spans="1:22" ht="45" x14ac:dyDescent="0.25">
      <c r="A614" t="s">
        <v>1871</v>
      </c>
      <c r="B614" s="1" t="s">
        <v>1298</v>
      </c>
      <c r="C614" s="1" t="s">
        <v>1530</v>
      </c>
      <c r="D614" s="1" t="s">
        <v>1304</v>
      </c>
      <c r="E614" s="1" t="s">
        <v>1504</v>
      </c>
      <c r="F614" s="1" t="s">
        <v>2870</v>
      </c>
      <c r="G614" t="s">
        <v>1299</v>
      </c>
      <c r="H614" t="s">
        <v>381</v>
      </c>
      <c r="I614" t="s">
        <v>1300</v>
      </c>
      <c r="J614" t="s">
        <v>1301</v>
      </c>
      <c r="K614" t="s">
        <v>1218</v>
      </c>
      <c r="L614" t="s">
        <v>1302</v>
      </c>
      <c r="M614" t="s">
        <v>1303</v>
      </c>
      <c r="N614">
        <v>55000</v>
      </c>
      <c r="O614" s="1" t="s">
        <v>1305</v>
      </c>
      <c r="P614" t="s">
        <v>1306</v>
      </c>
      <c r="Q614" t="s">
        <v>1294</v>
      </c>
      <c r="S614" t="s">
        <v>1294</v>
      </c>
      <c r="T614" t="s">
        <v>1296</v>
      </c>
      <c r="U614">
        <v>179.1</v>
      </c>
      <c r="V614" t="s">
        <v>1298</v>
      </c>
    </row>
    <row r="615" spans="1:22" ht="45" x14ac:dyDescent="0.25">
      <c r="A615" t="s">
        <v>1871</v>
      </c>
      <c r="B615" s="1" t="s">
        <v>1298</v>
      </c>
      <c r="C615" s="1" t="s">
        <v>1530</v>
      </c>
      <c r="D615" s="1" t="s">
        <v>1304</v>
      </c>
      <c r="E615" s="1" t="s">
        <v>1504</v>
      </c>
      <c r="F615" s="1" t="s">
        <v>2871</v>
      </c>
      <c r="G615" t="s">
        <v>1299</v>
      </c>
      <c r="H615" t="s">
        <v>381</v>
      </c>
      <c r="I615" t="s">
        <v>1300</v>
      </c>
      <c r="J615" t="s">
        <v>1301</v>
      </c>
      <c r="K615" t="s">
        <v>1218</v>
      </c>
      <c r="L615" t="s">
        <v>1302</v>
      </c>
      <c r="M615" t="s">
        <v>1303</v>
      </c>
      <c r="N615">
        <v>55000</v>
      </c>
      <c r="O615" s="1" t="s">
        <v>1305</v>
      </c>
      <c r="P615" t="s">
        <v>1306</v>
      </c>
      <c r="Q615" t="s">
        <v>1294</v>
      </c>
      <c r="S615" t="s">
        <v>1294</v>
      </c>
      <c r="T615" t="s">
        <v>1296</v>
      </c>
      <c r="U615">
        <v>318.5</v>
      </c>
      <c r="V615" t="s">
        <v>1298</v>
      </c>
    </row>
    <row r="616" spans="1:22" ht="45" x14ac:dyDescent="0.25">
      <c r="A616" t="s">
        <v>1871</v>
      </c>
      <c r="B616" s="1" t="s">
        <v>1298</v>
      </c>
      <c r="C616" s="1" t="s">
        <v>1530</v>
      </c>
      <c r="D616" s="1" t="s">
        <v>1304</v>
      </c>
      <c r="E616" s="1" t="s">
        <v>1504</v>
      </c>
      <c r="F616" s="1" t="s">
        <v>2872</v>
      </c>
      <c r="G616" t="s">
        <v>1299</v>
      </c>
      <c r="H616" t="s">
        <v>381</v>
      </c>
      <c r="I616" t="s">
        <v>1300</v>
      </c>
      <c r="J616" t="s">
        <v>1301</v>
      </c>
      <c r="K616" t="s">
        <v>1218</v>
      </c>
      <c r="L616" t="s">
        <v>1302</v>
      </c>
      <c r="M616" t="s">
        <v>1303</v>
      </c>
      <c r="N616">
        <v>55000</v>
      </c>
      <c r="O616" s="1" t="s">
        <v>1305</v>
      </c>
      <c r="P616" t="s">
        <v>1306</v>
      </c>
      <c r="Q616" t="s">
        <v>1294</v>
      </c>
      <c r="S616" t="s">
        <v>1294</v>
      </c>
      <c r="T616" t="s">
        <v>1296</v>
      </c>
      <c r="U616">
        <v>39.799999999999997</v>
      </c>
      <c r="V616" t="s">
        <v>1298</v>
      </c>
    </row>
    <row r="617" spans="1:22" ht="45" x14ac:dyDescent="0.25">
      <c r="A617" t="s">
        <v>1871</v>
      </c>
      <c r="B617" s="1" t="s">
        <v>1298</v>
      </c>
      <c r="C617" s="1" t="s">
        <v>1530</v>
      </c>
      <c r="D617" s="1" t="s">
        <v>1304</v>
      </c>
      <c r="E617" s="1" t="s">
        <v>1504</v>
      </c>
      <c r="F617" s="1" t="s">
        <v>2873</v>
      </c>
      <c r="G617" t="s">
        <v>1299</v>
      </c>
      <c r="H617" t="s">
        <v>381</v>
      </c>
      <c r="I617" t="s">
        <v>1300</v>
      </c>
      <c r="J617" t="s">
        <v>1301</v>
      </c>
      <c r="K617" t="s">
        <v>1218</v>
      </c>
      <c r="L617" t="s">
        <v>1302</v>
      </c>
      <c r="M617" t="s">
        <v>1303</v>
      </c>
      <c r="N617">
        <v>55000</v>
      </c>
      <c r="O617" s="1" t="s">
        <v>1305</v>
      </c>
      <c r="P617" t="s">
        <v>1306</v>
      </c>
      <c r="Q617" t="s">
        <v>1294</v>
      </c>
      <c r="S617" t="s">
        <v>1294</v>
      </c>
      <c r="T617" t="s">
        <v>1296</v>
      </c>
      <c r="U617">
        <v>398.1</v>
      </c>
      <c r="V617" t="s">
        <v>1298</v>
      </c>
    </row>
    <row r="618" spans="1:22" ht="45" x14ac:dyDescent="0.25">
      <c r="A618" t="s">
        <v>1281</v>
      </c>
      <c r="B618" s="1" t="s">
        <v>1309</v>
      </c>
      <c r="C618" s="1" t="s">
        <v>1295</v>
      </c>
      <c r="D618" s="1" t="s">
        <v>1315</v>
      </c>
      <c r="E618" s="1" t="s">
        <v>1316</v>
      </c>
      <c r="F618" t="s">
        <v>1308</v>
      </c>
      <c r="G618" t="s">
        <v>1310</v>
      </c>
      <c r="H618" t="s">
        <v>1311</v>
      </c>
      <c r="I618" t="s">
        <v>1285</v>
      </c>
      <c r="J618" t="s">
        <v>1312</v>
      </c>
      <c r="K618" t="s">
        <v>1221</v>
      </c>
      <c r="L618" t="s">
        <v>1313</v>
      </c>
      <c r="M618" t="s">
        <v>1314</v>
      </c>
      <c r="N618" t="s">
        <v>1289</v>
      </c>
      <c r="O618" s="1" t="s">
        <v>1305</v>
      </c>
      <c r="P618" t="s">
        <v>1291</v>
      </c>
      <c r="Q618" t="s">
        <v>1294</v>
      </c>
      <c r="S618" t="s">
        <v>1294</v>
      </c>
      <c r="T618" t="s">
        <v>1317</v>
      </c>
      <c r="U618">
        <v>0</v>
      </c>
      <c r="V618" t="s">
        <v>1309</v>
      </c>
    </row>
    <row r="619" spans="1:22" ht="45" x14ac:dyDescent="0.25">
      <c r="A619" t="s">
        <v>1281</v>
      </c>
      <c r="B619" s="1" t="s">
        <v>1309</v>
      </c>
      <c r="C619" s="1" t="s">
        <v>1345</v>
      </c>
      <c r="D619" s="1" t="s">
        <v>1315</v>
      </c>
      <c r="E619" s="1" t="s">
        <v>1316</v>
      </c>
      <c r="F619" t="s">
        <v>1344</v>
      </c>
      <c r="G619" t="s">
        <v>1310</v>
      </c>
      <c r="H619" t="s">
        <v>1311</v>
      </c>
      <c r="I619" t="s">
        <v>1285</v>
      </c>
      <c r="J619" t="s">
        <v>1312</v>
      </c>
      <c r="K619" t="s">
        <v>1221</v>
      </c>
      <c r="L619" t="s">
        <v>1313</v>
      </c>
      <c r="M619" t="s">
        <v>1314</v>
      </c>
      <c r="N619" t="s">
        <v>1289</v>
      </c>
      <c r="O619" s="1" t="s">
        <v>1305</v>
      </c>
      <c r="P619" t="s">
        <v>1291</v>
      </c>
      <c r="Q619" t="s">
        <v>1294</v>
      </c>
      <c r="S619" t="s">
        <v>1294</v>
      </c>
      <c r="T619" t="s">
        <v>1296</v>
      </c>
      <c r="U619">
        <v>0</v>
      </c>
      <c r="V619" t="s">
        <v>1309</v>
      </c>
    </row>
    <row r="620" spans="1:22" ht="45" x14ac:dyDescent="0.25">
      <c r="A620" t="s">
        <v>1281</v>
      </c>
      <c r="B620" s="1" t="s">
        <v>1309</v>
      </c>
      <c r="C620" s="1" t="s">
        <v>1327</v>
      </c>
      <c r="D620" s="1" t="s">
        <v>1315</v>
      </c>
      <c r="E620" s="1" t="s">
        <v>1350</v>
      </c>
      <c r="F620" t="s">
        <v>1436</v>
      </c>
      <c r="G620" t="s">
        <v>1310</v>
      </c>
      <c r="H620" t="s">
        <v>1311</v>
      </c>
      <c r="I620" t="s">
        <v>1285</v>
      </c>
      <c r="J620" t="s">
        <v>1312</v>
      </c>
      <c r="K620" t="s">
        <v>1221</v>
      </c>
      <c r="L620" t="s">
        <v>1313</v>
      </c>
      <c r="M620" t="s">
        <v>1314</v>
      </c>
      <c r="N620" t="s">
        <v>1289</v>
      </c>
      <c r="O620" s="1" t="s">
        <v>1305</v>
      </c>
      <c r="P620" t="s">
        <v>1291</v>
      </c>
      <c r="Q620" t="s">
        <v>1294</v>
      </c>
      <c r="S620" t="s">
        <v>1294</v>
      </c>
      <c r="T620" t="s">
        <v>1296</v>
      </c>
      <c r="U620">
        <v>0</v>
      </c>
      <c r="V620" t="s">
        <v>1309</v>
      </c>
    </row>
    <row r="621" spans="1:22" ht="45" x14ac:dyDescent="0.25">
      <c r="A621" t="s">
        <v>1460</v>
      </c>
      <c r="B621" s="1" t="s">
        <v>1309</v>
      </c>
      <c r="C621" s="1" t="s">
        <v>1345</v>
      </c>
      <c r="D621" s="1" t="s">
        <v>1315</v>
      </c>
      <c r="E621" s="1" t="s">
        <v>1316</v>
      </c>
      <c r="F621" t="s">
        <v>1664</v>
      </c>
      <c r="G621" t="s">
        <v>1310</v>
      </c>
      <c r="H621" t="s">
        <v>1311</v>
      </c>
      <c r="I621" t="s">
        <v>1285</v>
      </c>
      <c r="J621" t="s">
        <v>1312</v>
      </c>
      <c r="K621" t="s">
        <v>1221</v>
      </c>
      <c r="L621" t="s">
        <v>1313</v>
      </c>
      <c r="M621" t="s">
        <v>1314</v>
      </c>
      <c r="N621" t="s">
        <v>1289</v>
      </c>
      <c r="O621" s="1" t="s">
        <v>1305</v>
      </c>
      <c r="P621" t="s">
        <v>1291</v>
      </c>
      <c r="Q621" t="s">
        <v>1294</v>
      </c>
      <c r="S621" t="s">
        <v>1294</v>
      </c>
      <c r="T621" t="s">
        <v>1665</v>
      </c>
      <c r="U621">
        <v>0</v>
      </c>
      <c r="V621" t="s">
        <v>1309</v>
      </c>
    </row>
    <row r="622" spans="1:22" ht="45" x14ac:dyDescent="0.25">
      <c r="A622" t="s">
        <v>1460</v>
      </c>
      <c r="B622" s="1" t="s">
        <v>1309</v>
      </c>
      <c r="C622" s="1" t="s">
        <v>1345</v>
      </c>
      <c r="D622" s="1" t="s">
        <v>1315</v>
      </c>
      <c r="E622" s="1" t="s">
        <v>1374</v>
      </c>
      <c r="F622" t="s">
        <v>1675</v>
      </c>
      <c r="G622" t="s">
        <v>1310</v>
      </c>
      <c r="H622" t="s">
        <v>1311</v>
      </c>
      <c r="I622" t="s">
        <v>1285</v>
      </c>
      <c r="J622" t="s">
        <v>1312</v>
      </c>
      <c r="K622" t="s">
        <v>1221</v>
      </c>
      <c r="L622" t="s">
        <v>1313</v>
      </c>
      <c r="M622" t="s">
        <v>1314</v>
      </c>
      <c r="N622" t="s">
        <v>1289</v>
      </c>
      <c r="O622" s="1" t="s">
        <v>1305</v>
      </c>
      <c r="P622" t="s">
        <v>1291</v>
      </c>
      <c r="Q622" t="s">
        <v>1294</v>
      </c>
      <c r="S622" t="s">
        <v>1294</v>
      </c>
      <c r="T622" t="s">
        <v>1676</v>
      </c>
      <c r="U622">
        <v>0</v>
      </c>
      <c r="V622" t="s">
        <v>1309</v>
      </c>
    </row>
    <row r="623" spans="1:22" ht="45" x14ac:dyDescent="0.25">
      <c r="A623" t="s">
        <v>1460</v>
      </c>
      <c r="B623" s="1" t="s">
        <v>1309</v>
      </c>
      <c r="C623" s="1" t="s">
        <v>1345</v>
      </c>
      <c r="D623" s="1" t="s">
        <v>1315</v>
      </c>
      <c r="E623" s="1" t="s">
        <v>1374</v>
      </c>
      <c r="F623" t="s">
        <v>1677</v>
      </c>
      <c r="G623" t="s">
        <v>1310</v>
      </c>
      <c r="H623" t="s">
        <v>1311</v>
      </c>
      <c r="I623" t="s">
        <v>1285</v>
      </c>
      <c r="J623" t="s">
        <v>1312</v>
      </c>
      <c r="K623" t="s">
        <v>1221</v>
      </c>
      <c r="L623" t="s">
        <v>1313</v>
      </c>
      <c r="M623" t="s">
        <v>1314</v>
      </c>
      <c r="N623" t="s">
        <v>1289</v>
      </c>
      <c r="O623" s="1" t="s">
        <v>1305</v>
      </c>
      <c r="P623" t="s">
        <v>1291</v>
      </c>
      <c r="Q623" t="s">
        <v>1294</v>
      </c>
      <c r="S623" t="s">
        <v>1294</v>
      </c>
      <c r="T623" t="s">
        <v>1678</v>
      </c>
      <c r="U623">
        <v>0</v>
      </c>
      <c r="V623" t="s">
        <v>1309</v>
      </c>
    </row>
    <row r="624" spans="1:22" ht="45" x14ac:dyDescent="0.25">
      <c r="A624" t="s">
        <v>1460</v>
      </c>
      <c r="B624" s="1" t="s">
        <v>1309</v>
      </c>
      <c r="C624" s="1" t="s">
        <v>1345</v>
      </c>
      <c r="D624" s="1" t="s">
        <v>1315</v>
      </c>
      <c r="E624" s="1" t="s">
        <v>1374</v>
      </c>
      <c r="F624" t="s">
        <v>1683</v>
      </c>
      <c r="G624" t="s">
        <v>1310</v>
      </c>
      <c r="H624" t="s">
        <v>1311</v>
      </c>
      <c r="I624" t="s">
        <v>1285</v>
      </c>
      <c r="J624" t="s">
        <v>1312</v>
      </c>
      <c r="K624" t="s">
        <v>1221</v>
      </c>
      <c r="L624" t="s">
        <v>1313</v>
      </c>
      <c r="M624" t="s">
        <v>1314</v>
      </c>
      <c r="N624" t="s">
        <v>1289</v>
      </c>
      <c r="O624" s="1" t="s">
        <v>1305</v>
      </c>
      <c r="P624" t="s">
        <v>1291</v>
      </c>
      <c r="Q624" t="s">
        <v>1294</v>
      </c>
      <c r="S624" t="s">
        <v>1294</v>
      </c>
      <c r="T624" t="s">
        <v>1684</v>
      </c>
      <c r="U624">
        <v>0</v>
      </c>
      <c r="V624" t="s">
        <v>1309</v>
      </c>
    </row>
    <row r="625" spans="1:22" ht="45" x14ac:dyDescent="0.25">
      <c r="A625" t="s">
        <v>1460</v>
      </c>
      <c r="B625" s="1" t="s">
        <v>1309</v>
      </c>
      <c r="C625" s="1" t="s">
        <v>1345</v>
      </c>
      <c r="D625" s="1" t="s">
        <v>1315</v>
      </c>
      <c r="E625" s="1" t="s">
        <v>1374</v>
      </c>
      <c r="F625" t="s">
        <v>1687</v>
      </c>
      <c r="G625" t="s">
        <v>1310</v>
      </c>
      <c r="H625" t="s">
        <v>1311</v>
      </c>
      <c r="I625" t="s">
        <v>1285</v>
      </c>
      <c r="J625" t="s">
        <v>1312</v>
      </c>
      <c r="K625" t="s">
        <v>1221</v>
      </c>
      <c r="L625" t="s">
        <v>1313</v>
      </c>
      <c r="M625" t="s">
        <v>1314</v>
      </c>
      <c r="N625" t="s">
        <v>1289</v>
      </c>
      <c r="O625" s="1" t="s">
        <v>1305</v>
      </c>
      <c r="P625" t="s">
        <v>1291</v>
      </c>
      <c r="Q625" t="s">
        <v>1294</v>
      </c>
      <c r="S625" t="s">
        <v>1294</v>
      </c>
      <c r="T625" t="s">
        <v>1688</v>
      </c>
      <c r="U625">
        <v>0</v>
      </c>
      <c r="V625" t="s">
        <v>1309</v>
      </c>
    </row>
    <row r="626" spans="1:22" ht="45" x14ac:dyDescent="0.25">
      <c r="A626" t="s">
        <v>1460</v>
      </c>
      <c r="B626" s="1" t="s">
        <v>1309</v>
      </c>
      <c r="C626" s="1" t="s">
        <v>1345</v>
      </c>
      <c r="D626" s="1" t="s">
        <v>1315</v>
      </c>
      <c r="E626" s="1" t="s">
        <v>1374</v>
      </c>
      <c r="F626" t="s">
        <v>1689</v>
      </c>
      <c r="G626" t="s">
        <v>1310</v>
      </c>
      <c r="H626" t="s">
        <v>1311</v>
      </c>
      <c r="I626" t="s">
        <v>1285</v>
      </c>
      <c r="J626" t="s">
        <v>1312</v>
      </c>
      <c r="K626" t="s">
        <v>1221</v>
      </c>
      <c r="L626" t="s">
        <v>1313</v>
      </c>
      <c r="M626" t="s">
        <v>1314</v>
      </c>
      <c r="N626" t="s">
        <v>1289</v>
      </c>
      <c r="O626" s="1" t="s">
        <v>1305</v>
      </c>
      <c r="P626" t="s">
        <v>1291</v>
      </c>
      <c r="Q626" t="s">
        <v>1294</v>
      </c>
      <c r="S626" t="s">
        <v>1294</v>
      </c>
      <c r="T626" t="s">
        <v>1296</v>
      </c>
      <c r="U626">
        <v>0</v>
      </c>
      <c r="V626" t="s">
        <v>1309</v>
      </c>
    </row>
    <row r="627" spans="1:22" ht="45" x14ac:dyDescent="0.25">
      <c r="A627" t="s">
        <v>1460</v>
      </c>
      <c r="B627" s="1" t="s">
        <v>1309</v>
      </c>
      <c r="C627" s="1" t="s">
        <v>1327</v>
      </c>
      <c r="D627" s="1" t="s">
        <v>1315</v>
      </c>
      <c r="E627" s="1" t="s">
        <v>1368</v>
      </c>
      <c r="F627" t="s">
        <v>1705</v>
      </c>
      <c r="G627" t="s">
        <v>1310</v>
      </c>
      <c r="H627" t="s">
        <v>1311</v>
      </c>
      <c r="I627" t="s">
        <v>1285</v>
      </c>
      <c r="J627" t="s">
        <v>1312</v>
      </c>
      <c r="K627" t="s">
        <v>1221</v>
      </c>
      <c r="L627" t="s">
        <v>1313</v>
      </c>
      <c r="M627" t="s">
        <v>1314</v>
      </c>
      <c r="N627" t="s">
        <v>1289</v>
      </c>
      <c r="O627" s="1" t="s">
        <v>1305</v>
      </c>
      <c r="P627" t="s">
        <v>1291</v>
      </c>
      <c r="Q627" t="s">
        <v>1294</v>
      </c>
      <c r="S627" t="s">
        <v>1294</v>
      </c>
      <c r="T627" t="s">
        <v>1706</v>
      </c>
      <c r="U627">
        <v>0</v>
      </c>
      <c r="V627" t="s">
        <v>1309</v>
      </c>
    </row>
    <row r="628" spans="1:22" ht="45" x14ac:dyDescent="0.25">
      <c r="A628" t="s">
        <v>1460</v>
      </c>
      <c r="B628" s="1" t="s">
        <v>1309</v>
      </c>
      <c r="C628" s="1" t="s">
        <v>1327</v>
      </c>
      <c r="D628" s="1" t="s">
        <v>1315</v>
      </c>
      <c r="E628" s="1" t="s">
        <v>1316</v>
      </c>
      <c r="F628" t="s">
        <v>1757</v>
      </c>
      <c r="G628" t="s">
        <v>1310</v>
      </c>
      <c r="H628" t="s">
        <v>1311</v>
      </c>
      <c r="I628" t="s">
        <v>1285</v>
      </c>
      <c r="J628" t="s">
        <v>1312</v>
      </c>
      <c r="K628" t="s">
        <v>1221</v>
      </c>
      <c r="L628" t="s">
        <v>1313</v>
      </c>
      <c r="M628" t="s">
        <v>1314</v>
      </c>
      <c r="N628" t="s">
        <v>1289</v>
      </c>
      <c r="O628" s="1" t="s">
        <v>1305</v>
      </c>
      <c r="P628" t="s">
        <v>1291</v>
      </c>
      <c r="Q628" t="s">
        <v>1294</v>
      </c>
      <c r="S628" t="s">
        <v>1294</v>
      </c>
      <c r="T628" t="s">
        <v>1758</v>
      </c>
      <c r="U628">
        <v>0</v>
      </c>
      <c r="V628" t="s">
        <v>1309</v>
      </c>
    </row>
    <row r="629" spans="1:22" ht="45" x14ac:dyDescent="0.25">
      <c r="A629" t="s">
        <v>1871</v>
      </c>
      <c r="B629" s="1" t="s">
        <v>1309</v>
      </c>
      <c r="C629" s="1" t="s">
        <v>1530</v>
      </c>
      <c r="D629" s="1" t="s">
        <v>1315</v>
      </c>
      <c r="E629" s="1" t="s">
        <v>1326</v>
      </c>
      <c r="F629" t="s">
        <v>1901</v>
      </c>
      <c r="G629" t="s">
        <v>1310</v>
      </c>
      <c r="H629" t="s">
        <v>1311</v>
      </c>
      <c r="I629" t="s">
        <v>1285</v>
      </c>
      <c r="J629" t="s">
        <v>1312</v>
      </c>
      <c r="K629" t="s">
        <v>1221</v>
      </c>
      <c r="L629" t="s">
        <v>1313</v>
      </c>
      <c r="M629" t="s">
        <v>1314</v>
      </c>
      <c r="N629" t="s">
        <v>1289</v>
      </c>
      <c r="O629" s="1" t="s">
        <v>1305</v>
      </c>
      <c r="P629" t="s">
        <v>1291</v>
      </c>
      <c r="Q629" t="s">
        <v>1294</v>
      </c>
      <c r="S629" t="s">
        <v>1294</v>
      </c>
      <c r="T629" t="s">
        <v>1902</v>
      </c>
      <c r="U629">
        <v>0</v>
      </c>
      <c r="V629" t="s">
        <v>1309</v>
      </c>
    </row>
    <row r="630" spans="1:22" ht="45" x14ac:dyDescent="0.25">
      <c r="A630" t="s">
        <v>1871</v>
      </c>
      <c r="B630" s="1" t="s">
        <v>1309</v>
      </c>
      <c r="C630" s="1" t="s">
        <v>1530</v>
      </c>
      <c r="D630" s="1" t="s">
        <v>1315</v>
      </c>
      <c r="E630" s="1" t="s">
        <v>1410</v>
      </c>
      <c r="F630" t="s">
        <v>2429</v>
      </c>
      <c r="G630" t="s">
        <v>1310</v>
      </c>
      <c r="H630" t="s">
        <v>1311</v>
      </c>
      <c r="I630" t="s">
        <v>1285</v>
      </c>
      <c r="J630" t="s">
        <v>1312</v>
      </c>
      <c r="K630" t="s">
        <v>1221</v>
      </c>
      <c r="L630" t="s">
        <v>1313</v>
      </c>
      <c r="M630" t="s">
        <v>1314</v>
      </c>
      <c r="N630" t="s">
        <v>1289</v>
      </c>
      <c r="O630" s="1" t="s">
        <v>1305</v>
      </c>
      <c r="P630" t="s">
        <v>1291</v>
      </c>
      <c r="Q630" t="s">
        <v>1294</v>
      </c>
      <c r="S630" t="s">
        <v>1294</v>
      </c>
      <c r="T630" t="s">
        <v>2430</v>
      </c>
      <c r="U630">
        <v>0</v>
      </c>
      <c r="V630" t="s">
        <v>1309</v>
      </c>
    </row>
    <row r="631" spans="1:22" ht="45" x14ac:dyDescent="0.25">
      <c r="A631" t="s">
        <v>1871</v>
      </c>
      <c r="B631" s="1" t="s">
        <v>1309</v>
      </c>
      <c r="C631" s="1" t="s">
        <v>1530</v>
      </c>
      <c r="D631" s="1" t="s">
        <v>1315</v>
      </c>
      <c r="E631" s="1" t="s">
        <v>1410</v>
      </c>
      <c r="F631" t="s">
        <v>2431</v>
      </c>
      <c r="G631" t="s">
        <v>1310</v>
      </c>
      <c r="H631" t="s">
        <v>1311</v>
      </c>
      <c r="I631" t="s">
        <v>1285</v>
      </c>
      <c r="J631" t="s">
        <v>1312</v>
      </c>
      <c r="K631" t="s">
        <v>1221</v>
      </c>
      <c r="L631" t="s">
        <v>1313</v>
      </c>
      <c r="M631" t="s">
        <v>1314</v>
      </c>
      <c r="N631" t="s">
        <v>1289</v>
      </c>
      <c r="O631" s="1" t="s">
        <v>1305</v>
      </c>
      <c r="P631" t="s">
        <v>1291</v>
      </c>
      <c r="Q631" t="s">
        <v>1294</v>
      </c>
      <c r="S631" t="s">
        <v>1294</v>
      </c>
      <c r="T631" t="s">
        <v>2432</v>
      </c>
      <c r="U631">
        <v>0</v>
      </c>
      <c r="V631" t="s">
        <v>1309</v>
      </c>
    </row>
    <row r="632" spans="1:22" ht="45" x14ac:dyDescent="0.25">
      <c r="A632" t="s">
        <v>1871</v>
      </c>
      <c r="B632" s="1" t="s">
        <v>1309</v>
      </c>
      <c r="C632" s="1" t="s">
        <v>1530</v>
      </c>
      <c r="D632" s="1" t="s">
        <v>1315</v>
      </c>
      <c r="E632" s="1" t="s">
        <v>1410</v>
      </c>
      <c r="F632" t="s">
        <v>2435</v>
      </c>
      <c r="G632" t="s">
        <v>1310</v>
      </c>
      <c r="H632" t="s">
        <v>1311</v>
      </c>
      <c r="I632" t="s">
        <v>1285</v>
      </c>
      <c r="J632" t="s">
        <v>1312</v>
      </c>
      <c r="K632" t="s">
        <v>1221</v>
      </c>
      <c r="L632" t="s">
        <v>1313</v>
      </c>
      <c r="M632" t="s">
        <v>1314</v>
      </c>
      <c r="N632" t="s">
        <v>1289</v>
      </c>
      <c r="O632" s="1" t="s">
        <v>1305</v>
      </c>
      <c r="P632" t="s">
        <v>1291</v>
      </c>
      <c r="Q632" t="s">
        <v>1294</v>
      </c>
      <c r="S632" t="s">
        <v>1294</v>
      </c>
      <c r="T632" t="s">
        <v>2436</v>
      </c>
      <c r="U632">
        <v>0</v>
      </c>
      <c r="V632" t="s">
        <v>1309</v>
      </c>
    </row>
    <row r="633" spans="1:22" ht="45" x14ac:dyDescent="0.25">
      <c r="A633" t="s">
        <v>1871</v>
      </c>
      <c r="B633" s="1" t="s">
        <v>1309</v>
      </c>
      <c r="C633" s="1" t="s">
        <v>1530</v>
      </c>
      <c r="D633" s="1" t="s">
        <v>1315</v>
      </c>
      <c r="E633" s="1" t="s">
        <v>1410</v>
      </c>
      <c r="F633" t="s">
        <v>2439</v>
      </c>
      <c r="G633" t="s">
        <v>1310</v>
      </c>
      <c r="H633" t="s">
        <v>1311</v>
      </c>
      <c r="I633" t="s">
        <v>1285</v>
      </c>
      <c r="J633" t="s">
        <v>1312</v>
      </c>
      <c r="K633" t="s">
        <v>1221</v>
      </c>
      <c r="L633" t="s">
        <v>1313</v>
      </c>
      <c r="M633" t="s">
        <v>1314</v>
      </c>
      <c r="N633" t="s">
        <v>1289</v>
      </c>
      <c r="O633" s="1" t="s">
        <v>1305</v>
      </c>
      <c r="P633" t="s">
        <v>1291</v>
      </c>
      <c r="Q633" t="s">
        <v>1294</v>
      </c>
      <c r="S633" t="s">
        <v>1294</v>
      </c>
      <c r="T633" t="s">
        <v>2440</v>
      </c>
      <c r="U633">
        <v>0</v>
      </c>
      <c r="V633" t="s">
        <v>1309</v>
      </c>
    </row>
    <row r="634" spans="1:22" ht="45" x14ac:dyDescent="0.25">
      <c r="A634" t="s">
        <v>1871</v>
      </c>
      <c r="B634" s="1" t="s">
        <v>1309</v>
      </c>
      <c r="C634" s="1" t="s">
        <v>1530</v>
      </c>
      <c r="D634" s="1" t="s">
        <v>1315</v>
      </c>
      <c r="E634" s="1" t="s">
        <v>1410</v>
      </c>
      <c r="F634" t="s">
        <v>2443</v>
      </c>
      <c r="G634" t="s">
        <v>1310</v>
      </c>
      <c r="H634" t="s">
        <v>1311</v>
      </c>
      <c r="I634" t="s">
        <v>1285</v>
      </c>
      <c r="J634" t="s">
        <v>1312</v>
      </c>
      <c r="K634" t="s">
        <v>1221</v>
      </c>
      <c r="L634" t="s">
        <v>1313</v>
      </c>
      <c r="M634" t="s">
        <v>1314</v>
      </c>
      <c r="N634" t="s">
        <v>1289</v>
      </c>
      <c r="O634" s="1" t="s">
        <v>1305</v>
      </c>
      <c r="P634" t="s">
        <v>1291</v>
      </c>
      <c r="Q634" t="s">
        <v>1294</v>
      </c>
      <c r="S634" t="s">
        <v>1294</v>
      </c>
      <c r="T634" t="s">
        <v>2444</v>
      </c>
      <c r="U634">
        <v>0</v>
      </c>
      <c r="V634" t="s">
        <v>1309</v>
      </c>
    </row>
    <row r="635" spans="1:22" ht="45" x14ac:dyDescent="0.25">
      <c r="A635" t="s">
        <v>1871</v>
      </c>
      <c r="B635" s="1" t="s">
        <v>1309</v>
      </c>
      <c r="C635" s="1" t="s">
        <v>1530</v>
      </c>
      <c r="D635" s="1" t="s">
        <v>1315</v>
      </c>
      <c r="E635" s="1" t="s">
        <v>1410</v>
      </c>
      <c r="F635" t="s">
        <v>2447</v>
      </c>
      <c r="G635" t="s">
        <v>1310</v>
      </c>
      <c r="H635" t="s">
        <v>1311</v>
      </c>
      <c r="I635" t="s">
        <v>1285</v>
      </c>
      <c r="J635" t="s">
        <v>1312</v>
      </c>
      <c r="K635" t="s">
        <v>1221</v>
      </c>
      <c r="L635" t="s">
        <v>1313</v>
      </c>
      <c r="M635" t="s">
        <v>1314</v>
      </c>
      <c r="N635" t="s">
        <v>1289</v>
      </c>
      <c r="O635" s="1" t="s">
        <v>1305</v>
      </c>
      <c r="P635" t="s">
        <v>1291</v>
      </c>
      <c r="Q635" t="s">
        <v>1294</v>
      </c>
      <c r="S635" t="s">
        <v>1294</v>
      </c>
      <c r="T635" t="s">
        <v>2448</v>
      </c>
      <c r="U635">
        <v>0</v>
      </c>
      <c r="V635" t="s">
        <v>1309</v>
      </c>
    </row>
    <row r="636" spans="1:22" ht="45" x14ac:dyDescent="0.25">
      <c r="A636" t="s">
        <v>1871</v>
      </c>
      <c r="B636" s="1" t="s">
        <v>1309</v>
      </c>
      <c r="C636" s="1" t="s">
        <v>1530</v>
      </c>
      <c r="D636" s="1" t="s">
        <v>1315</v>
      </c>
      <c r="E636" s="1" t="s">
        <v>1410</v>
      </c>
      <c r="F636" t="s">
        <v>2451</v>
      </c>
      <c r="G636" t="s">
        <v>1310</v>
      </c>
      <c r="H636" t="s">
        <v>1311</v>
      </c>
      <c r="I636" t="s">
        <v>1285</v>
      </c>
      <c r="J636" t="s">
        <v>1312</v>
      </c>
      <c r="K636" t="s">
        <v>1221</v>
      </c>
      <c r="L636" t="s">
        <v>1313</v>
      </c>
      <c r="M636" t="s">
        <v>1314</v>
      </c>
      <c r="N636" t="s">
        <v>1289</v>
      </c>
      <c r="O636" s="1" t="s">
        <v>1305</v>
      </c>
      <c r="P636" t="s">
        <v>1291</v>
      </c>
      <c r="Q636" t="s">
        <v>1294</v>
      </c>
      <c r="S636" t="s">
        <v>1294</v>
      </c>
      <c r="T636" t="s">
        <v>2452</v>
      </c>
      <c r="U636">
        <v>0</v>
      </c>
      <c r="V636" t="s">
        <v>1309</v>
      </c>
    </row>
    <row r="637" spans="1:22" ht="45" x14ac:dyDescent="0.25">
      <c r="A637" t="s">
        <v>1871</v>
      </c>
      <c r="B637" s="1" t="s">
        <v>1309</v>
      </c>
      <c r="C637" s="1" t="s">
        <v>1530</v>
      </c>
      <c r="D637" s="1" t="s">
        <v>1315</v>
      </c>
      <c r="E637" s="1" t="s">
        <v>1410</v>
      </c>
      <c r="F637" t="s">
        <v>2455</v>
      </c>
      <c r="G637" t="s">
        <v>1310</v>
      </c>
      <c r="H637" t="s">
        <v>1311</v>
      </c>
      <c r="I637" t="s">
        <v>1285</v>
      </c>
      <c r="J637" t="s">
        <v>1312</v>
      </c>
      <c r="K637" t="s">
        <v>1221</v>
      </c>
      <c r="L637" t="s">
        <v>1313</v>
      </c>
      <c r="M637" t="s">
        <v>1314</v>
      </c>
      <c r="N637" t="s">
        <v>1289</v>
      </c>
      <c r="O637" s="1" t="s">
        <v>1305</v>
      </c>
      <c r="P637" t="s">
        <v>1291</v>
      </c>
      <c r="Q637" t="s">
        <v>1294</v>
      </c>
      <c r="S637" t="s">
        <v>1294</v>
      </c>
      <c r="T637" t="s">
        <v>2456</v>
      </c>
      <c r="U637">
        <v>0</v>
      </c>
      <c r="V637" t="s">
        <v>1309</v>
      </c>
    </row>
    <row r="638" spans="1:22" ht="45" x14ac:dyDescent="0.25">
      <c r="A638" t="s">
        <v>1871</v>
      </c>
      <c r="B638" s="1" t="s">
        <v>1309</v>
      </c>
      <c r="C638" s="1" t="s">
        <v>1530</v>
      </c>
      <c r="D638" s="1" t="s">
        <v>1315</v>
      </c>
      <c r="E638" s="1" t="s">
        <v>1410</v>
      </c>
      <c r="F638" t="s">
        <v>2459</v>
      </c>
      <c r="G638" t="s">
        <v>1310</v>
      </c>
      <c r="H638" t="s">
        <v>1311</v>
      </c>
      <c r="I638" t="s">
        <v>1285</v>
      </c>
      <c r="J638" t="s">
        <v>1312</v>
      </c>
      <c r="K638" t="s">
        <v>1221</v>
      </c>
      <c r="L638" t="s">
        <v>1313</v>
      </c>
      <c r="M638" t="s">
        <v>1314</v>
      </c>
      <c r="N638" t="s">
        <v>1289</v>
      </c>
      <c r="O638" s="1" t="s">
        <v>1305</v>
      </c>
      <c r="P638" t="s">
        <v>1291</v>
      </c>
      <c r="Q638" t="s">
        <v>1294</v>
      </c>
      <c r="S638" t="s">
        <v>1294</v>
      </c>
      <c r="T638" t="s">
        <v>2460</v>
      </c>
      <c r="U638">
        <v>0</v>
      </c>
      <c r="V638" t="s">
        <v>1309</v>
      </c>
    </row>
    <row r="639" spans="1:22" ht="45" x14ac:dyDescent="0.25">
      <c r="A639" t="s">
        <v>1871</v>
      </c>
      <c r="B639" s="1" t="s">
        <v>1309</v>
      </c>
      <c r="C639" s="1" t="s">
        <v>1530</v>
      </c>
      <c r="D639" s="1" t="s">
        <v>1315</v>
      </c>
      <c r="E639" s="1" t="s">
        <v>1410</v>
      </c>
      <c r="F639" t="s">
        <v>2463</v>
      </c>
      <c r="G639" t="s">
        <v>1310</v>
      </c>
      <c r="H639" t="s">
        <v>1311</v>
      </c>
      <c r="I639" t="s">
        <v>1285</v>
      </c>
      <c r="J639" t="s">
        <v>1312</v>
      </c>
      <c r="K639" t="s">
        <v>1221</v>
      </c>
      <c r="L639" t="s">
        <v>1313</v>
      </c>
      <c r="M639" t="s">
        <v>1314</v>
      </c>
      <c r="N639" t="s">
        <v>1289</v>
      </c>
      <c r="O639" s="1" t="s">
        <v>1305</v>
      </c>
      <c r="P639" t="s">
        <v>1291</v>
      </c>
      <c r="Q639" t="s">
        <v>1294</v>
      </c>
      <c r="S639" t="s">
        <v>1294</v>
      </c>
      <c r="T639" t="s">
        <v>2464</v>
      </c>
      <c r="U639">
        <v>0</v>
      </c>
      <c r="V639" t="s">
        <v>1309</v>
      </c>
    </row>
    <row r="640" spans="1:22" ht="45" x14ac:dyDescent="0.25">
      <c r="A640" t="s">
        <v>1871</v>
      </c>
      <c r="B640" s="1" t="s">
        <v>1309</v>
      </c>
      <c r="C640" s="1" t="s">
        <v>1530</v>
      </c>
      <c r="D640" s="1" t="s">
        <v>1315</v>
      </c>
      <c r="E640" s="1" t="s">
        <v>1410</v>
      </c>
      <c r="F640" t="s">
        <v>2467</v>
      </c>
      <c r="G640" t="s">
        <v>1310</v>
      </c>
      <c r="H640" t="s">
        <v>1311</v>
      </c>
      <c r="I640" t="s">
        <v>1285</v>
      </c>
      <c r="J640" t="s">
        <v>1312</v>
      </c>
      <c r="K640" t="s">
        <v>1221</v>
      </c>
      <c r="L640" t="s">
        <v>1313</v>
      </c>
      <c r="M640" t="s">
        <v>1314</v>
      </c>
      <c r="N640" t="s">
        <v>1289</v>
      </c>
      <c r="O640" s="1" t="s">
        <v>1305</v>
      </c>
      <c r="P640" t="s">
        <v>1291</v>
      </c>
      <c r="Q640" t="s">
        <v>1294</v>
      </c>
      <c r="S640" t="s">
        <v>1294</v>
      </c>
      <c r="T640" t="s">
        <v>1296</v>
      </c>
      <c r="U640">
        <v>0</v>
      </c>
      <c r="V640" t="s">
        <v>1309</v>
      </c>
    </row>
    <row r="641" spans="1:22" ht="45" x14ac:dyDescent="0.25">
      <c r="A641" t="s">
        <v>1871</v>
      </c>
      <c r="B641" s="1" t="s">
        <v>1309</v>
      </c>
      <c r="C641" s="1" t="s">
        <v>1530</v>
      </c>
      <c r="D641" s="1" t="s">
        <v>1315</v>
      </c>
      <c r="E641" s="1" t="s">
        <v>1410</v>
      </c>
      <c r="F641" t="s">
        <v>2470</v>
      </c>
      <c r="G641" t="s">
        <v>1310</v>
      </c>
      <c r="H641" t="s">
        <v>1311</v>
      </c>
      <c r="I641" t="s">
        <v>1285</v>
      </c>
      <c r="J641" t="s">
        <v>1312</v>
      </c>
      <c r="K641" t="s">
        <v>1221</v>
      </c>
      <c r="L641" t="s">
        <v>1313</v>
      </c>
      <c r="M641" t="s">
        <v>1314</v>
      </c>
      <c r="N641" t="s">
        <v>1289</v>
      </c>
      <c r="O641" s="1" t="s">
        <v>1305</v>
      </c>
      <c r="P641" t="s">
        <v>1291</v>
      </c>
      <c r="Q641" t="s">
        <v>1294</v>
      </c>
      <c r="S641" t="s">
        <v>1294</v>
      </c>
      <c r="T641" t="s">
        <v>2471</v>
      </c>
      <c r="U641">
        <v>0</v>
      </c>
      <c r="V641" t="s">
        <v>1309</v>
      </c>
    </row>
    <row r="642" spans="1:22" ht="45" x14ac:dyDescent="0.25">
      <c r="A642" t="s">
        <v>1871</v>
      </c>
      <c r="B642" s="1" t="s">
        <v>1309</v>
      </c>
      <c r="C642" s="1" t="s">
        <v>1530</v>
      </c>
      <c r="D642" s="1" t="s">
        <v>1315</v>
      </c>
      <c r="E642" s="1" t="s">
        <v>1410</v>
      </c>
      <c r="F642" t="s">
        <v>2474</v>
      </c>
      <c r="G642" t="s">
        <v>1310</v>
      </c>
      <c r="H642" t="s">
        <v>1311</v>
      </c>
      <c r="I642" t="s">
        <v>1285</v>
      </c>
      <c r="J642" t="s">
        <v>1312</v>
      </c>
      <c r="K642" t="s">
        <v>1221</v>
      </c>
      <c r="L642" t="s">
        <v>1313</v>
      </c>
      <c r="M642" t="s">
        <v>1314</v>
      </c>
      <c r="N642" t="s">
        <v>1289</v>
      </c>
      <c r="O642" s="1" t="s">
        <v>1305</v>
      </c>
      <c r="P642" t="s">
        <v>1291</v>
      </c>
      <c r="Q642" t="s">
        <v>1294</v>
      </c>
      <c r="S642" t="s">
        <v>1294</v>
      </c>
      <c r="T642" t="s">
        <v>2475</v>
      </c>
      <c r="U642">
        <v>0</v>
      </c>
      <c r="V642" t="s">
        <v>1309</v>
      </c>
    </row>
    <row r="643" spans="1:22" ht="45" x14ac:dyDescent="0.25">
      <c r="A643" t="s">
        <v>1871</v>
      </c>
      <c r="B643" s="1" t="s">
        <v>1309</v>
      </c>
      <c r="C643" s="1" t="s">
        <v>1530</v>
      </c>
      <c r="D643" s="1" t="s">
        <v>1315</v>
      </c>
      <c r="E643" s="1" t="s">
        <v>1410</v>
      </c>
      <c r="F643" t="s">
        <v>2476</v>
      </c>
      <c r="G643" t="s">
        <v>1310</v>
      </c>
      <c r="H643" t="s">
        <v>1311</v>
      </c>
      <c r="I643" t="s">
        <v>1285</v>
      </c>
      <c r="J643" t="s">
        <v>1312</v>
      </c>
      <c r="K643" t="s">
        <v>1221</v>
      </c>
      <c r="L643" t="s">
        <v>1313</v>
      </c>
      <c r="M643" t="s">
        <v>1314</v>
      </c>
      <c r="N643" t="s">
        <v>1289</v>
      </c>
      <c r="O643" s="1" t="s">
        <v>1305</v>
      </c>
      <c r="P643" t="s">
        <v>1291</v>
      </c>
      <c r="Q643" t="s">
        <v>1294</v>
      </c>
      <c r="S643" t="s">
        <v>1294</v>
      </c>
      <c r="T643" t="s">
        <v>2477</v>
      </c>
      <c r="U643">
        <v>0</v>
      </c>
      <c r="V643" t="s">
        <v>1309</v>
      </c>
    </row>
    <row r="644" spans="1:22" ht="45" x14ac:dyDescent="0.25">
      <c r="A644" t="s">
        <v>1871</v>
      </c>
      <c r="B644" s="1" t="s">
        <v>1309</v>
      </c>
      <c r="C644" s="1" t="s">
        <v>1530</v>
      </c>
      <c r="D644" s="1" t="s">
        <v>1315</v>
      </c>
      <c r="E644" s="1" t="s">
        <v>1410</v>
      </c>
      <c r="F644" t="s">
        <v>2478</v>
      </c>
      <c r="G644" t="s">
        <v>1310</v>
      </c>
      <c r="H644" t="s">
        <v>1311</v>
      </c>
      <c r="I644" t="s">
        <v>1285</v>
      </c>
      <c r="J644" t="s">
        <v>1312</v>
      </c>
      <c r="K644" t="s">
        <v>1221</v>
      </c>
      <c r="L644" t="s">
        <v>1313</v>
      </c>
      <c r="M644" t="s">
        <v>1314</v>
      </c>
      <c r="N644" t="s">
        <v>1289</v>
      </c>
      <c r="O644" s="1" t="s">
        <v>1305</v>
      </c>
      <c r="P644" t="s">
        <v>1291</v>
      </c>
      <c r="Q644" t="s">
        <v>1294</v>
      </c>
      <c r="S644" t="s">
        <v>1294</v>
      </c>
      <c r="T644" t="s">
        <v>2479</v>
      </c>
      <c r="U644">
        <v>0</v>
      </c>
      <c r="V644" t="s">
        <v>1309</v>
      </c>
    </row>
    <row r="645" spans="1:22" ht="45" x14ac:dyDescent="0.25">
      <c r="A645" t="s">
        <v>1871</v>
      </c>
      <c r="B645" s="1" t="s">
        <v>1309</v>
      </c>
      <c r="C645" s="1" t="s">
        <v>1530</v>
      </c>
      <c r="D645" s="1" t="s">
        <v>1315</v>
      </c>
      <c r="E645" s="1" t="s">
        <v>1410</v>
      </c>
      <c r="F645" t="s">
        <v>2480</v>
      </c>
      <c r="G645" t="s">
        <v>1310</v>
      </c>
      <c r="H645" t="s">
        <v>1311</v>
      </c>
      <c r="I645" t="s">
        <v>1285</v>
      </c>
      <c r="J645" t="s">
        <v>1312</v>
      </c>
      <c r="K645" t="s">
        <v>1221</v>
      </c>
      <c r="L645" t="s">
        <v>1313</v>
      </c>
      <c r="M645" t="s">
        <v>1314</v>
      </c>
      <c r="N645" t="s">
        <v>1289</v>
      </c>
      <c r="O645" s="1" t="s">
        <v>1305</v>
      </c>
      <c r="P645" t="s">
        <v>1291</v>
      </c>
      <c r="Q645" t="s">
        <v>1294</v>
      </c>
      <c r="S645" t="s">
        <v>1294</v>
      </c>
      <c r="T645" t="s">
        <v>2481</v>
      </c>
      <c r="U645">
        <v>0</v>
      </c>
      <c r="V645" t="s">
        <v>1309</v>
      </c>
    </row>
    <row r="646" spans="1:22" ht="45" x14ac:dyDescent="0.25">
      <c r="A646" t="s">
        <v>1871</v>
      </c>
      <c r="B646" s="1" t="s">
        <v>1309</v>
      </c>
      <c r="C646" s="1" t="s">
        <v>1530</v>
      </c>
      <c r="D646" s="1" t="s">
        <v>1315</v>
      </c>
      <c r="E646" s="1" t="s">
        <v>1410</v>
      </c>
      <c r="F646" t="s">
        <v>2482</v>
      </c>
      <c r="G646" t="s">
        <v>1310</v>
      </c>
      <c r="H646" t="s">
        <v>1311</v>
      </c>
      <c r="I646" t="s">
        <v>1285</v>
      </c>
      <c r="J646" t="s">
        <v>1312</v>
      </c>
      <c r="K646" t="s">
        <v>1221</v>
      </c>
      <c r="L646" t="s">
        <v>1313</v>
      </c>
      <c r="M646" t="s">
        <v>1314</v>
      </c>
      <c r="N646" t="s">
        <v>1289</v>
      </c>
      <c r="O646" s="1" t="s">
        <v>1305</v>
      </c>
      <c r="P646" t="s">
        <v>1291</v>
      </c>
      <c r="Q646" t="s">
        <v>1294</v>
      </c>
      <c r="S646" t="s">
        <v>1294</v>
      </c>
      <c r="T646" t="s">
        <v>2483</v>
      </c>
      <c r="U646">
        <v>0</v>
      </c>
      <c r="V646" t="s">
        <v>1309</v>
      </c>
    </row>
    <row r="647" spans="1:22" ht="45" x14ac:dyDescent="0.25">
      <c r="A647" t="s">
        <v>1871</v>
      </c>
      <c r="B647" s="1" t="s">
        <v>1309</v>
      </c>
      <c r="C647" s="1" t="s">
        <v>1530</v>
      </c>
      <c r="D647" s="1" t="s">
        <v>1315</v>
      </c>
      <c r="E647" s="1" t="s">
        <v>1410</v>
      </c>
      <c r="F647" t="s">
        <v>2484</v>
      </c>
      <c r="G647" t="s">
        <v>1310</v>
      </c>
      <c r="H647" t="s">
        <v>1311</v>
      </c>
      <c r="I647" t="s">
        <v>1285</v>
      </c>
      <c r="J647" t="s">
        <v>1312</v>
      </c>
      <c r="K647" t="s">
        <v>1221</v>
      </c>
      <c r="L647" t="s">
        <v>1313</v>
      </c>
      <c r="M647" t="s">
        <v>1314</v>
      </c>
      <c r="N647" t="s">
        <v>1289</v>
      </c>
      <c r="O647" s="1" t="s">
        <v>1305</v>
      </c>
      <c r="P647" t="s">
        <v>1291</v>
      </c>
      <c r="Q647" t="s">
        <v>1294</v>
      </c>
      <c r="S647" t="s">
        <v>1294</v>
      </c>
      <c r="T647" t="s">
        <v>2485</v>
      </c>
      <c r="U647">
        <v>0</v>
      </c>
      <c r="V647" t="s">
        <v>1309</v>
      </c>
    </row>
    <row r="648" spans="1:22" ht="45" x14ac:dyDescent="0.25">
      <c r="A648" t="s">
        <v>1871</v>
      </c>
      <c r="B648" s="1" t="s">
        <v>1309</v>
      </c>
      <c r="C648" s="1" t="s">
        <v>1530</v>
      </c>
      <c r="D648" s="1" t="s">
        <v>1315</v>
      </c>
      <c r="E648" s="1" t="s">
        <v>1410</v>
      </c>
      <c r="F648" t="s">
        <v>2486</v>
      </c>
      <c r="G648" t="s">
        <v>1310</v>
      </c>
      <c r="H648" t="s">
        <v>1311</v>
      </c>
      <c r="I648" t="s">
        <v>1285</v>
      </c>
      <c r="J648" t="s">
        <v>1312</v>
      </c>
      <c r="K648" t="s">
        <v>1221</v>
      </c>
      <c r="L648" t="s">
        <v>1313</v>
      </c>
      <c r="M648" t="s">
        <v>1314</v>
      </c>
      <c r="N648" t="s">
        <v>1289</v>
      </c>
      <c r="O648" s="1" t="s">
        <v>1305</v>
      </c>
      <c r="P648" t="s">
        <v>1291</v>
      </c>
      <c r="Q648" t="s">
        <v>1294</v>
      </c>
      <c r="S648" t="s">
        <v>1294</v>
      </c>
      <c r="T648" t="s">
        <v>2487</v>
      </c>
      <c r="U648">
        <v>0</v>
      </c>
      <c r="V648" t="s">
        <v>1309</v>
      </c>
    </row>
    <row r="649" spans="1:22" ht="45" x14ac:dyDescent="0.25">
      <c r="A649" t="s">
        <v>1871</v>
      </c>
      <c r="B649" s="1" t="s">
        <v>1309</v>
      </c>
      <c r="C649" s="1" t="s">
        <v>1530</v>
      </c>
      <c r="D649" s="1" t="s">
        <v>1315</v>
      </c>
      <c r="E649" s="1" t="s">
        <v>1410</v>
      </c>
      <c r="F649" t="s">
        <v>2488</v>
      </c>
      <c r="G649" t="s">
        <v>1310</v>
      </c>
      <c r="H649" t="s">
        <v>1311</v>
      </c>
      <c r="I649" t="s">
        <v>1285</v>
      </c>
      <c r="J649" t="s">
        <v>1312</v>
      </c>
      <c r="K649" t="s">
        <v>1221</v>
      </c>
      <c r="L649" t="s">
        <v>1313</v>
      </c>
      <c r="M649" t="s">
        <v>1314</v>
      </c>
      <c r="N649" t="s">
        <v>1289</v>
      </c>
      <c r="O649" s="1" t="s">
        <v>1305</v>
      </c>
      <c r="P649" t="s">
        <v>1291</v>
      </c>
      <c r="Q649" t="s">
        <v>1294</v>
      </c>
      <c r="S649" t="s">
        <v>1294</v>
      </c>
      <c r="T649" t="s">
        <v>2489</v>
      </c>
      <c r="U649">
        <v>0</v>
      </c>
      <c r="V649" t="s">
        <v>1309</v>
      </c>
    </row>
    <row r="650" spans="1:22" ht="45" x14ac:dyDescent="0.25">
      <c r="A650" t="s">
        <v>1871</v>
      </c>
      <c r="B650" s="1" t="s">
        <v>1309</v>
      </c>
      <c r="C650" s="1" t="s">
        <v>1530</v>
      </c>
      <c r="D650" s="1" t="s">
        <v>1315</v>
      </c>
      <c r="E650" s="1" t="s">
        <v>1410</v>
      </c>
      <c r="F650" t="s">
        <v>2490</v>
      </c>
      <c r="G650" t="s">
        <v>1310</v>
      </c>
      <c r="H650" t="s">
        <v>1311</v>
      </c>
      <c r="I650" t="s">
        <v>1285</v>
      </c>
      <c r="J650" t="s">
        <v>1312</v>
      </c>
      <c r="K650" t="s">
        <v>1221</v>
      </c>
      <c r="L650" t="s">
        <v>1313</v>
      </c>
      <c r="M650" t="s">
        <v>1314</v>
      </c>
      <c r="N650" t="s">
        <v>1289</v>
      </c>
      <c r="O650" s="1" t="s">
        <v>1305</v>
      </c>
      <c r="P650" t="s">
        <v>1291</v>
      </c>
      <c r="Q650" t="s">
        <v>1294</v>
      </c>
      <c r="S650" t="s">
        <v>1294</v>
      </c>
      <c r="T650" t="s">
        <v>1706</v>
      </c>
      <c r="U650">
        <v>0</v>
      </c>
      <c r="V650" t="s">
        <v>1309</v>
      </c>
    </row>
    <row r="651" spans="1:22" ht="45" x14ac:dyDescent="0.25">
      <c r="A651" t="s">
        <v>1871</v>
      </c>
      <c r="B651" s="1" t="s">
        <v>1309</v>
      </c>
      <c r="C651" s="1" t="s">
        <v>1530</v>
      </c>
      <c r="D651" s="1" t="s">
        <v>1315</v>
      </c>
      <c r="E651" s="1" t="s">
        <v>1410</v>
      </c>
      <c r="F651" t="s">
        <v>2491</v>
      </c>
      <c r="G651" t="s">
        <v>1310</v>
      </c>
      <c r="H651" t="s">
        <v>1311</v>
      </c>
      <c r="I651" t="s">
        <v>1285</v>
      </c>
      <c r="J651" t="s">
        <v>1312</v>
      </c>
      <c r="K651" t="s">
        <v>1221</v>
      </c>
      <c r="L651" t="s">
        <v>1313</v>
      </c>
      <c r="M651" t="s">
        <v>1314</v>
      </c>
      <c r="N651" t="s">
        <v>1289</v>
      </c>
      <c r="O651" s="1" t="s">
        <v>1305</v>
      </c>
      <c r="P651" t="s">
        <v>1291</v>
      </c>
      <c r="Q651" t="s">
        <v>1294</v>
      </c>
      <c r="S651" t="s">
        <v>1294</v>
      </c>
      <c r="T651" t="s">
        <v>2492</v>
      </c>
      <c r="U651">
        <v>0</v>
      </c>
      <c r="V651" t="s">
        <v>1309</v>
      </c>
    </row>
    <row r="652" spans="1:22" ht="45" x14ac:dyDescent="0.25">
      <c r="A652" t="s">
        <v>1871</v>
      </c>
      <c r="B652" s="1" t="s">
        <v>1309</v>
      </c>
      <c r="C652" s="1" t="s">
        <v>1530</v>
      </c>
      <c r="D652" s="1" t="s">
        <v>1315</v>
      </c>
      <c r="E652" s="1" t="s">
        <v>1410</v>
      </c>
      <c r="F652" t="s">
        <v>2495</v>
      </c>
      <c r="G652" t="s">
        <v>1310</v>
      </c>
      <c r="H652" t="s">
        <v>1311</v>
      </c>
      <c r="I652" t="s">
        <v>1285</v>
      </c>
      <c r="J652" t="s">
        <v>1312</v>
      </c>
      <c r="K652" t="s">
        <v>1221</v>
      </c>
      <c r="L652" t="s">
        <v>1313</v>
      </c>
      <c r="M652" t="s">
        <v>1314</v>
      </c>
      <c r="N652" t="s">
        <v>1289</v>
      </c>
      <c r="O652" s="1" t="s">
        <v>1305</v>
      </c>
      <c r="P652" t="s">
        <v>1291</v>
      </c>
      <c r="Q652" t="s">
        <v>1294</v>
      </c>
      <c r="S652" t="s">
        <v>1294</v>
      </c>
      <c r="T652" t="s">
        <v>2496</v>
      </c>
      <c r="U652">
        <v>0</v>
      </c>
      <c r="V652" t="s">
        <v>1309</v>
      </c>
    </row>
    <row r="653" spans="1:22" ht="45" x14ac:dyDescent="0.25">
      <c r="A653" t="s">
        <v>1871</v>
      </c>
      <c r="B653" s="1" t="s">
        <v>1309</v>
      </c>
      <c r="C653" s="1" t="s">
        <v>1530</v>
      </c>
      <c r="D653" s="1" t="s">
        <v>1315</v>
      </c>
      <c r="E653" s="1" t="s">
        <v>1410</v>
      </c>
      <c r="F653" t="s">
        <v>2497</v>
      </c>
      <c r="G653" t="s">
        <v>1310</v>
      </c>
      <c r="H653" t="s">
        <v>1311</v>
      </c>
      <c r="I653" t="s">
        <v>1285</v>
      </c>
      <c r="J653" t="s">
        <v>1312</v>
      </c>
      <c r="K653" t="s">
        <v>1221</v>
      </c>
      <c r="L653" t="s">
        <v>1313</v>
      </c>
      <c r="M653" t="s">
        <v>1314</v>
      </c>
      <c r="N653" t="s">
        <v>1289</v>
      </c>
      <c r="O653" s="1" t="s">
        <v>1305</v>
      </c>
      <c r="P653" t="s">
        <v>1291</v>
      </c>
      <c r="Q653" t="s">
        <v>1294</v>
      </c>
      <c r="S653" t="s">
        <v>1294</v>
      </c>
      <c r="T653" t="s">
        <v>2498</v>
      </c>
      <c r="U653">
        <v>0</v>
      </c>
      <c r="V653" t="s">
        <v>1309</v>
      </c>
    </row>
    <row r="654" spans="1:22" ht="45" x14ac:dyDescent="0.25">
      <c r="A654" t="s">
        <v>1871</v>
      </c>
      <c r="B654" s="1" t="s">
        <v>1309</v>
      </c>
      <c r="C654" s="1" t="s">
        <v>1530</v>
      </c>
      <c r="D654" s="1" t="s">
        <v>1315</v>
      </c>
      <c r="E654" s="1" t="s">
        <v>1410</v>
      </c>
      <c r="F654" t="s">
        <v>2499</v>
      </c>
      <c r="G654" t="s">
        <v>1310</v>
      </c>
      <c r="H654" t="s">
        <v>1311</v>
      </c>
      <c r="I654" t="s">
        <v>1285</v>
      </c>
      <c r="J654" t="s">
        <v>1312</v>
      </c>
      <c r="K654" t="s">
        <v>1221</v>
      </c>
      <c r="L654" t="s">
        <v>1313</v>
      </c>
      <c r="M654" t="s">
        <v>1314</v>
      </c>
      <c r="N654" t="s">
        <v>1289</v>
      </c>
      <c r="O654" s="1" t="s">
        <v>1305</v>
      </c>
      <c r="P654" t="s">
        <v>1291</v>
      </c>
      <c r="Q654" t="s">
        <v>1294</v>
      </c>
      <c r="S654" t="s">
        <v>1294</v>
      </c>
      <c r="T654" t="s">
        <v>2500</v>
      </c>
      <c r="U654">
        <v>0</v>
      </c>
      <c r="V654" t="s">
        <v>1309</v>
      </c>
    </row>
    <row r="655" spans="1:22" ht="45" x14ac:dyDescent="0.25">
      <c r="A655" t="s">
        <v>1871</v>
      </c>
      <c r="B655" s="1" t="s">
        <v>1309</v>
      </c>
      <c r="C655" s="1" t="s">
        <v>1530</v>
      </c>
      <c r="D655" s="1" t="s">
        <v>1315</v>
      </c>
      <c r="E655" s="1" t="s">
        <v>1410</v>
      </c>
      <c r="F655" t="s">
        <v>2501</v>
      </c>
      <c r="G655" t="s">
        <v>1310</v>
      </c>
      <c r="H655" t="s">
        <v>1311</v>
      </c>
      <c r="I655" t="s">
        <v>1285</v>
      </c>
      <c r="J655" t="s">
        <v>1312</v>
      </c>
      <c r="K655" t="s">
        <v>1221</v>
      </c>
      <c r="L655" t="s">
        <v>1313</v>
      </c>
      <c r="M655" t="s">
        <v>1314</v>
      </c>
      <c r="N655" t="s">
        <v>1289</v>
      </c>
      <c r="O655" s="1" t="s">
        <v>1305</v>
      </c>
      <c r="P655" t="s">
        <v>1291</v>
      </c>
      <c r="Q655" t="s">
        <v>1294</v>
      </c>
      <c r="S655" t="s">
        <v>1294</v>
      </c>
      <c r="T655" t="s">
        <v>2502</v>
      </c>
      <c r="U655">
        <v>0</v>
      </c>
      <c r="V655" t="s">
        <v>1309</v>
      </c>
    </row>
    <row r="656" spans="1:22" ht="45" x14ac:dyDescent="0.25">
      <c r="A656" t="s">
        <v>1871</v>
      </c>
      <c r="B656" s="1" t="s">
        <v>1309</v>
      </c>
      <c r="C656" s="1" t="s">
        <v>1530</v>
      </c>
      <c r="D656" s="1" t="s">
        <v>1315</v>
      </c>
      <c r="E656" s="1" t="s">
        <v>1410</v>
      </c>
      <c r="F656" t="s">
        <v>2503</v>
      </c>
      <c r="G656" t="s">
        <v>1310</v>
      </c>
      <c r="H656" t="s">
        <v>1311</v>
      </c>
      <c r="I656" t="s">
        <v>1285</v>
      </c>
      <c r="J656" t="s">
        <v>1312</v>
      </c>
      <c r="K656" t="s">
        <v>1221</v>
      </c>
      <c r="L656" t="s">
        <v>1313</v>
      </c>
      <c r="M656" t="s">
        <v>1314</v>
      </c>
      <c r="N656" t="s">
        <v>1289</v>
      </c>
      <c r="O656" s="1" t="s">
        <v>1305</v>
      </c>
      <c r="P656" t="s">
        <v>1291</v>
      </c>
      <c r="Q656" t="s">
        <v>1294</v>
      </c>
      <c r="S656" t="s">
        <v>1294</v>
      </c>
      <c r="T656" t="s">
        <v>2504</v>
      </c>
      <c r="U656">
        <v>0</v>
      </c>
      <c r="V656" t="s">
        <v>1309</v>
      </c>
    </row>
    <row r="657" spans="1:22" ht="45" x14ac:dyDescent="0.25">
      <c r="A657" t="s">
        <v>1871</v>
      </c>
      <c r="B657" s="1" t="s">
        <v>1309</v>
      </c>
      <c r="C657" s="1" t="s">
        <v>1530</v>
      </c>
      <c r="D657" s="1" t="s">
        <v>1315</v>
      </c>
      <c r="E657" s="1" t="s">
        <v>1410</v>
      </c>
      <c r="F657" t="s">
        <v>2505</v>
      </c>
      <c r="G657" t="s">
        <v>1310</v>
      </c>
      <c r="H657" t="s">
        <v>1311</v>
      </c>
      <c r="I657" t="s">
        <v>1285</v>
      </c>
      <c r="J657" t="s">
        <v>1312</v>
      </c>
      <c r="K657" t="s">
        <v>1221</v>
      </c>
      <c r="L657" t="s">
        <v>1313</v>
      </c>
      <c r="M657" t="s">
        <v>1314</v>
      </c>
      <c r="N657" t="s">
        <v>1289</v>
      </c>
      <c r="O657" s="1" t="s">
        <v>1305</v>
      </c>
      <c r="P657" t="s">
        <v>1291</v>
      </c>
      <c r="Q657" t="s">
        <v>1294</v>
      </c>
      <c r="S657" t="s">
        <v>1294</v>
      </c>
      <c r="T657" t="s">
        <v>2506</v>
      </c>
      <c r="U657">
        <v>0</v>
      </c>
      <c r="V657" t="s">
        <v>1309</v>
      </c>
    </row>
    <row r="658" spans="1:22" ht="45" x14ac:dyDescent="0.25">
      <c r="A658" t="s">
        <v>1871</v>
      </c>
      <c r="B658" s="1" t="s">
        <v>1309</v>
      </c>
      <c r="C658" s="1" t="s">
        <v>1530</v>
      </c>
      <c r="D658" s="1" t="s">
        <v>1315</v>
      </c>
      <c r="E658" s="1" t="s">
        <v>1410</v>
      </c>
      <c r="F658" t="s">
        <v>2507</v>
      </c>
      <c r="G658" t="s">
        <v>1310</v>
      </c>
      <c r="H658" t="s">
        <v>1311</v>
      </c>
      <c r="I658" t="s">
        <v>1285</v>
      </c>
      <c r="J658" t="s">
        <v>1312</v>
      </c>
      <c r="K658" t="s">
        <v>1221</v>
      </c>
      <c r="L658" t="s">
        <v>1313</v>
      </c>
      <c r="M658" t="s">
        <v>1314</v>
      </c>
      <c r="N658" t="s">
        <v>1289</v>
      </c>
      <c r="O658" s="1" t="s">
        <v>1305</v>
      </c>
      <c r="P658" t="s">
        <v>1291</v>
      </c>
      <c r="Q658" t="s">
        <v>1294</v>
      </c>
      <c r="S658" t="s">
        <v>1294</v>
      </c>
      <c r="T658" t="s">
        <v>2508</v>
      </c>
      <c r="U658">
        <v>0</v>
      </c>
      <c r="V658" t="s">
        <v>1309</v>
      </c>
    </row>
    <row r="659" spans="1:22" ht="45" x14ac:dyDescent="0.25">
      <c r="A659" t="s">
        <v>1871</v>
      </c>
      <c r="B659" s="1" t="s">
        <v>1309</v>
      </c>
      <c r="C659" s="1" t="s">
        <v>1530</v>
      </c>
      <c r="D659" s="1" t="s">
        <v>1315</v>
      </c>
      <c r="E659" s="1" t="s">
        <v>1410</v>
      </c>
      <c r="F659" t="s">
        <v>2509</v>
      </c>
      <c r="G659" t="s">
        <v>1310</v>
      </c>
      <c r="H659" t="s">
        <v>1311</v>
      </c>
      <c r="I659" t="s">
        <v>1285</v>
      </c>
      <c r="J659" t="s">
        <v>1312</v>
      </c>
      <c r="K659" t="s">
        <v>1221</v>
      </c>
      <c r="L659" t="s">
        <v>1313</v>
      </c>
      <c r="M659" t="s">
        <v>1314</v>
      </c>
      <c r="N659" t="s">
        <v>1289</v>
      </c>
      <c r="O659" s="1" t="s">
        <v>1305</v>
      </c>
      <c r="P659" t="s">
        <v>1291</v>
      </c>
      <c r="Q659" t="s">
        <v>1294</v>
      </c>
      <c r="S659" t="s">
        <v>1294</v>
      </c>
      <c r="T659" t="s">
        <v>2510</v>
      </c>
      <c r="U659">
        <v>0</v>
      </c>
      <c r="V659" t="s">
        <v>1309</v>
      </c>
    </row>
    <row r="660" spans="1:22" ht="45" x14ac:dyDescent="0.25">
      <c r="A660" t="s">
        <v>1871</v>
      </c>
      <c r="B660" s="1" t="s">
        <v>1309</v>
      </c>
      <c r="C660" s="1" t="s">
        <v>1530</v>
      </c>
      <c r="D660" s="1" t="s">
        <v>1315</v>
      </c>
      <c r="E660" s="1" t="s">
        <v>1410</v>
      </c>
      <c r="F660" t="s">
        <v>2511</v>
      </c>
      <c r="G660" t="s">
        <v>1310</v>
      </c>
      <c r="H660" t="s">
        <v>1311</v>
      </c>
      <c r="I660" t="s">
        <v>1285</v>
      </c>
      <c r="J660" t="s">
        <v>1312</v>
      </c>
      <c r="K660" t="s">
        <v>1221</v>
      </c>
      <c r="L660" t="s">
        <v>1313</v>
      </c>
      <c r="M660" t="s">
        <v>1314</v>
      </c>
      <c r="N660" t="s">
        <v>1289</v>
      </c>
      <c r="O660" s="1" t="s">
        <v>1305</v>
      </c>
      <c r="P660" t="s">
        <v>1291</v>
      </c>
      <c r="Q660" t="s">
        <v>1294</v>
      </c>
      <c r="S660" t="s">
        <v>1294</v>
      </c>
      <c r="T660" t="s">
        <v>2512</v>
      </c>
      <c r="U660">
        <v>0</v>
      </c>
      <c r="V660" t="s">
        <v>1309</v>
      </c>
    </row>
    <row r="661" spans="1:22" ht="45" x14ac:dyDescent="0.25">
      <c r="A661" t="s">
        <v>1871</v>
      </c>
      <c r="B661" s="1" t="s">
        <v>1309</v>
      </c>
      <c r="C661" s="1" t="s">
        <v>1530</v>
      </c>
      <c r="D661" s="1" t="s">
        <v>1315</v>
      </c>
      <c r="E661" s="1" t="s">
        <v>1410</v>
      </c>
      <c r="F661" t="s">
        <v>2513</v>
      </c>
      <c r="G661" t="s">
        <v>1310</v>
      </c>
      <c r="H661" t="s">
        <v>1311</v>
      </c>
      <c r="I661" t="s">
        <v>1285</v>
      </c>
      <c r="J661" t="s">
        <v>1312</v>
      </c>
      <c r="K661" t="s">
        <v>1221</v>
      </c>
      <c r="L661" t="s">
        <v>1313</v>
      </c>
      <c r="M661" t="s">
        <v>1314</v>
      </c>
      <c r="N661" t="s">
        <v>1289</v>
      </c>
      <c r="O661" s="1" t="s">
        <v>1305</v>
      </c>
      <c r="P661" t="s">
        <v>1291</v>
      </c>
      <c r="Q661" t="s">
        <v>1294</v>
      </c>
      <c r="S661" t="s">
        <v>1294</v>
      </c>
      <c r="T661" t="s">
        <v>2514</v>
      </c>
      <c r="U661">
        <v>0</v>
      </c>
      <c r="V661" t="s">
        <v>1309</v>
      </c>
    </row>
    <row r="662" spans="1:22" ht="45" x14ac:dyDescent="0.25">
      <c r="A662" t="s">
        <v>1871</v>
      </c>
      <c r="B662" s="1" t="s">
        <v>1309</v>
      </c>
      <c r="C662" s="1" t="s">
        <v>1530</v>
      </c>
      <c r="D662" s="1" t="s">
        <v>1315</v>
      </c>
      <c r="E662" s="1" t="s">
        <v>1410</v>
      </c>
      <c r="F662" t="s">
        <v>2515</v>
      </c>
      <c r="G662" t="s">
        <v>1310</v>
      </c>
      <c r="H662" t="s">
        <v>1311</v>
      </c>
      <c r="I662" t="s">
        <v>1285</v>
      </c>
      <c r="J662" t="s">
        <v>1312</v>
      </c>
      <c r="K662" t="s">
        <v>1221</v>
      </c>
      <c r="L662" t="s">
        <v>1313</v>
      </c>
      <c r="M662" t="s">
        <v>1314</v>
      </c>
      <c r="N662" t="s">
        <v>1289</v>
      </c>
      <c r="O662" s="1" t="s">
        <v>1305</v>
      </c>
      <c r="P662" t="s">
        <v>1291</v>
      </c>
      <c r="Q662" t="s">
        <v>1294</v>
      </c>
      <c r="S662" t="s">
        <v>1294</v>
      </c>
      <c r="T662" t="s">
        <v>2516</v>
      </c>
      <c r="U662">
        <v>0</v>
      </c>
      <c r="V662" t="s">
        <v>1309</v>
      </c>
    </row>
    <row r="663" spans="1:22" ht="45" x14ac:dyDescent="0.25">
      <c r="A663" t="s">
        <v>1871</v>
      </c>
      <c r="B663" s="1" t="s">
        <v>1309</v>
      </c>
      <c r="C663" s="1" t="s">
        <v>1530</v>
      </c>
      <c r="D663" s="1" t="s">
        <v>1315</v>
      </c>
      <c r="E663" s="1" t="s">
        <v>1410</v>
      </c>
      <c r="F663" t="s">
        <v>2519</v>
      </c>
      <c r="G663" t="s">
        <v>1310</v>
      </c>
      <c r="H663" t="s">
        <v>1311</v>
      </c>
      <c r="I663" t="s">
        <v>1285</v>
      </c>
      <c r="J663" t="s">
        <v>1312</v>
      </c>
      <c r="K663" t="s">
        <v>1221</v>
      </c>
      <c r="L663" t="s">
        <v>1313</v>
      </c>
      <c r="M663" t="s">
        <v>1314</v>
      </c>
      <c r="N663" t="s">
        <v>1289</v>
      </c>
      <c r="O663" s="1" t="s">
        <v>1305</v>
      </c>
      <c r="P663" t="s">
        <v>1291</v>
      </c>
      <c r="Q663" t="s">
        <v>1294</v>
      </c>
      <c r="S663" t="s">
        <v>1294</v>
      </c>
      <c r="T663" t="s">
        <v>2520</v>
      </c>
      <c r="U663">
        <v>0</v>
      </c>
      <c r="V663" t="s">
        <v>1309</v>
      </c>
    </row>
    <row r="664" spans="1:22" ht="45" x14ac:dyDescent="0.25">
      <c r="A664" t="s">
        <v>1871</v>
      </c>
      <c r="B664" s="1" t="s">
        <v>1309</v>
      </c>
      <c r="C664" s="1" t="s">
        <v>1530</v>
      </c>
      <c r="D664" s="1" t="s">
        <v>1315</v>
      </c>
      <c r="E664" s="1" t="s">
        <v>1410</v>
      </c>
      <c r="F664" t="s">
        <v>2521</v>
      </c>
      <c r="G664" t="s">
        <v>1310</v>
      </c>
      <c r="H664" t="s">
        <v>1311</v>
      </c>
      <c r="I664" t="s">
        <v>1285</v>
      </c>
      <c r="J664" t="s">
        <v>1312</v>
      </c>
      <c r="K664" t="s">
        <v>1221</v>
      </c>
      <c r="L664" t="s">
        <v>1313</v>
      </c>
      <c r="M664" t="s">
        <v>1314</v>
      </c>
      <c r="N664" t="s">
        <v>1289</v>
      </c>
      <c r="O664" s="1" t="s">
        <v>1305</v>
      </c>
      <c r="P664" t="s">
        <v>1291</v>
      </c>
      <c r="Q664" t="s">
        <v>1294</v>
      </c>
      <c r="S664" t="s">
        <v>1294</v>
      </c>
      <c r="T664" t="s">
        <v>2522</v>
      </c>
      <c r="U664">
        <v>0</v>
      </c>
      <c r="V664" t="s">
        <v>1309</v>
      </c>
    </row>
    <row r="665" spans="1:22" ht="45" x14ac:dyDescent="0.25">
      <c r="A665" t="s">
        <v>1871</v>
      </c>
      <c r="B665" s="1" t="s">
        <v>1309</v>
      </c>
      <c r="C665" s="1" t="s">
        <v>1530</v>
      </c>
      <c r="D665" s="1" t="s">
        <v>1315</v>
      </c>
      <c r="E665" s="1" t="s">
        <v>1410</v>
      </c>
      <c r="F665" t="s">
        <v>2523</v>
      </c>
      <c r="G665" t="s">
        <v>1310</v>
      </c>
      <c r="H665" t="s">
        <v>1311</v>
      </c>
      <c r="I665" t="s">
        <v>1285</v>
      </c>
      <c r="J665" t="s">
        <v>1312</v>
      </c>
      <c r="K665" t="s">
        <v>1221</v>
      </c>
      <c r="L665" t="s">
        <v>1313</v>
      </c>
      <c r="M665" t="s">
        <v>1314</v>
      </c>
      <c r="N665" t="s">
        <v>1289</v>
      </c>
      <c r="O665" s="1" t="s">
        <v>1305</v>
      </c>
      <c r="P665" t="s">
        <v>1291</v>
      </c>
      <c r="Q665" t="s">
        <v>1294</v>
      </c>
      <c r="S665" t="s">
        <v>1294</v>
      </c>
      <c r="T665" t="s">
        <v>2524</v>
      </c>
      <c r="U665">
        <v>0</v>
      </c>
      <c r="V665" t="s">
        <v>1309</v>
      </c>
    </row>
    <row r="666" spans="1:22" ht="45" x14ac:dyDescent="0.25">
      <c r="A666" t="s">
        <v>1871</v>
      </c>
      <c r="B666" s="1" t="s">
        <v>1309</v>
      </c>
      <c r="C666" s="1" t="s">
        <v>1530</v>
      </c>
      <c r="D666" s="1" t="s">
        <v>1315</v>
      </c>
      <c r="E666" s="1" t="s">
        <v>1410</v>
      </c>
      <c r="F666" t="s">
        <v>2525</v>
      </c>
      <c r="G666" t="s">
        <v>1310</v>
      </c>
      <c r="H666" t="s">
        <v>1311</v>
      </c>
      <c r="I666" t="s">
        <v>1285</v>
      </c>
      <c r="J666" t="s">
        <v>1312</v>
      </c>
      <c r="K666" t="s">
        <v>1221</v>
      </c>
      <c r="L666" t="s">
        <v>1313</v>
      </c>
      <c r="M666" t="s">
        <v>1314</v>
      </c>
      <c r="N666" t="s">
        <v>1289</v>
      </c>
      <c r="O666" s="1" t="s">
        <v>1305</v>
      </c>
      <c r="P666" t="s">
        <v>1291</v>
      </c>
      <c r="Q666" t="s">
        <v>1294</v>
      </c>
      <c r="S666" t="s">
        <v>1294</v>
      </c>
      <c r="T666" t="s">
        <v>2526</v>
      </c>
      <c r="U666">
        <v>0</v>
      </c>
      <c r="V666" t="s">
        <v>1309</v>
      </c>
    </row>
    <row r="667" spans="1:22" ht="45" x14ac:dyDescent="0.25">
      <c r="A667" t="s">
        <v>1871</v>
      </c>
      <c r="B667" s="1" t="s">
        <v>1309</v>
      </c>
      <c r="C667" s="1" t="s">
        <v>1530</v>
      </c>
      <c r="D667" s="1" t="s">
        <v>1315</v>
      </c>
      <c r="E667" s="1" t="s">
        <v>1410</v>
      </c>
      <c r="F667" t="s">
        <v>2527</v>
      </c>
      <c r="G667" t="s">
        <v>1310</v>
      </c>
      <c r="H667" t="s">
        <v>1311</v>
      </c>
      <c r="I667" t="s">
        <v>1285</v>
      </c>
      <c r="J667" t="s">
        <v>1312</v>
      </c>
      <c r="K667" t="s">
        <v>1221</v>
      </c>
      <c r="L667" t="s">
        <v>1313</v>
      </c>
      <c r="M667" t="s">
        <v>1314</v>
      </c>
      <c r="N667" t="s">
        <v>1289</v>
      </c>
      <c r="O667" s="1" t="s">
        <v>1305</v>
      </c>
      <c r="P667" t="s">
        <v>1291</v>
      </c>
      <c r="Q667" t="s">
        <v>1294</v>
      </c>
      <c r="S667" t="s">
        <v>1294</v>
      </c>
      <c r="T667" t="s">
        <v>2528</v>
      </c>
      <c r="U667">
        <v>0</v>
      </c>
      <c r="V667" t="s">
        <v>1309</v>
      </c>
    </row>
    <row r="668" spans="1:22" ht="45" x14ac:dyDescent="0.25">
      <c r="A668" t="s">
        <v>1871</v>
      </c>
      <c r="B668" s="1" t="s">
        <v>1309</v>
      </c>
      <c r="C668" s="1" t="s">
        <v>1530</v>
      </c>
      <c r="D668" s="1" t="s">
        <v>1315</v>
      </c>
      <c r="E668" s="1" t="s">
        <v>1410</v>
      </c>
      <c r="F668" t="s">
        <v>2529</v>
      </c>
      <c r="G668" t="s">
        <v>1310</v>
      </c>
      <c r="H668" t="s">
        <v>1311</v>
      </c>
      <c r="I668" t="s">
        <v>1285</v>
      </c>
      <c r="J668" t="s">
        <v>1312</v>
      </c>
      <c r="K668" t="s">
        <v>1221</v>
      </c>
      <c r="L668" t="s">
        <v>1313</v>
      </c>
      <c r="M668" t="s">
        <v>1314</v>
      </c>
      <c r="N668" t="s">
        <v>1289</v>
      </c>
      <c r="O668" s="1" t="s">
        <v>1305</v>
      </c>
      <c r="P668" t="s">
        <v>1291</v>
      </c>
      <c r="Q668" t="s">
        <v>1294</v>
      </c>
      <c r="S668" t="s">
        <v>1294</v>
      </c>
      <c r="T668" t="s">
        <v>2530</v>
      </c>
      <c r="U668">
        <v>0</v>
      </c>
      <c r="V668" t="s">
        <v>1309</v>
      </c>
    </row>
    <row r="669" spans="1:22" ht="45" x14ac:dyDescent="0.25">
      <c r="A669" t="s">
        <v>1871</v>
      </c>
      <c r="B669" s="1" t="s">
        <v>1309</v>
      </c>
      <c r="C669" s="1" t="s">
        <v>1530</v>
      </c>
      <c r="D669" s="1" t="s">
        <v>1315</v>
      </c>
      <c r="E669" s="1" t="s">
        <v>1410</v>
      </c>
      <c r="F669" t="s">
        <v>2531</v>
      </c>
      <c r="G669" t="s">
        <v>1310</v>
      </c>
      <c r="H669" t="s">
        <v>1311</v>
      </c>
      <c r="I669" t="s">
        <v>1285</v>
      </c>
      <c r="J669" t="s">
        <v>1312</v>
      </c>
      <c r="K669" t="s">
        <v>1221</v>
      </c>
      <c r="L669" t="s">
        <v>1313</v>
      </c>
      <c r="M669" t="s">
        <v>1314</v>
      </c>
      <c r="N669" t="s">
        <v>1289</v>
      </c>
      <c r="O669" s="1" t="s">
        <v>1305</v>
      </c>
      <c r="P669" t="s">
        <v>1291</v>
      </c>
      <c r="Q669" t="s">
        <v>1294</v>
      </c>
      <c r="S669" t="s">
        <v>1294</v>
      </c>
      <c r="T669" t="s">
        <v>2532</v>
      </c>
      <c r="U669">
        <v>0</v>
      </c>
      <c r="V669" t="s">
        <v>1309</v>
      </c>
    </row>
    <row r="670" spans="1:22" ht="45" x14ac:dyDescent="0.25">
      <c r="A670" t="s">
        <v>1871</v>
      </c>
      <c r="B670" s="1" t="s">
        <v>1309</v>
      </c>
      <c r="C670" s="1" t="s">
        <v>1530</v>
      </c>
      <c r="D670" s="1" t="s">
        <v>1315</v>
      </c>
      <c r="E670" s="1" t="s">
        <v>1410</v>
      </c>
      <c r="F670" t="s">
        <v>2533</v>
      </c>
      <c r="G670" t="s">
        <v>1310</v>
      </c>
      <c r="H670" t="s">
        <v>1311</v>
      </c>
      <c r="I670" t="s">
        <v>1285</v>
      </c>
      <c r="J670" t="s">
        <v>1312</v>
      </c>
      <c r="K670" t="s">
        <v>1221</v>
      </c>
      <c r="L670" t="s">
        <v>1313</v>
      </c>
      <c r="M670" t="s">
        <v>1314</v>
      </c>
      <c r="N670" t="s">
        <v>1289</v>
      </c>
      <c r="O670" s="1" t="s">
        <v>1305</v>
      </c>
      <c r="P670" t="s">
        <v>1291</v>
      </c>
      <c r="Q670" t="s">
        <v>1294</v>
      </c>
      <c r="S670" t="s">
        <v>1294</v>
      </c>
      <c r="T670" t="s">
        <v>2534</v>
      </c>
      <c r="U670">
        <v>0</v>
      </c>
      <c r="V670" t="s">
        <v>1309</v>
      </c>
    </row>
    <row r="671" spans="1:22" ht="45" x14ac:dyDescent="0.25">
      <c r="A671" t="s">
        <v>1871</v>
      </c>
      <c r="B671" s="1" t="s">
        <v>1309</v>
      </c>
      <c r="C671" s="1" t="s">
        <v>1530</v>
      </c>
      <c r="D671" s="1" t="s">
        <v>1315</v>
      </c>
      <c r="E671" s="1" t="s">
        <v>1410</v>
      </c>
      <c r="F671" t="s">
        <v>2535</v>
      </c>
      <c r="G671" t="s">
        <v>1310</v>
      </c>
      <c r="H671" t="s">
        <v>1311</v>
      </c>
      <c r="I671" t="s">
        <v>1285</v>
      </c>
      <c r="J671" t="s">
        <v>1312</v>
      </c>
      <c r="K671" t="s">
        <v>1221</v>
      </c>
      <c r="L671" t="s">
        <v>1313</v>
      </c>
      <c r="M671" t="s">
        <v>1314</v>
      </c>
      <c r="N671" t="s">
        <v>1289</v>
      </c>
      <c r="O671" s="1" t="s">
        <v>1305</v>
      </c>
      <c r="P671" t="s">
        <v>1291</v>
      </c>
      <c r="Q671" t="s">
        <v>1294</v>
      </c>
      <c r="S671" t="s">
        <v>1294</v>
      </c>
      <c r="T671" t="s">
        <v>2536</v>
      </c>
      <c r="U671">
        <v>0</v>
      </c>
      <c r="V671" t="s">
        <v>1309</v>
      </c>
    </row>
    <row r="672" spans="1:22" ht="45" x14ac:dyDescent="0.25">
      <c r="A672" t="s">
        <v>1871</v>
      </c>
      <c r="B672" s="1" t="s">
        <v>1309</v>
      </c>
      <c r="C672" s="1" t="s">
        <v>1530</v>
      </c>
      <c r="D672" s="1" t="s">
        <v>1315</v>
      </c>
      <c r="E672" s="1" t="s">
        <v>1410</v>
      </c>
      <c r="F672" t="s">
        <v>2537</v>
      </c>
      <c r="G672" t="s">
        <v>1310</v>
      </c>
      <c r="H672" t="s">
        <v>1311</v>
      </c>
      <c r="I672" t="s">
        <v>1285</v>
      </c>
      <c r="J672" t="s">
        <v>1312</v>
      </c>
      <c r="K672" t="s">
        <v>1221</v>
      </c>
      <c r="L672" t="s">
        <v>1313</v>
      </c>
      <c r="M672" t="s">
        <v>1314</v>
      </c>
      <c r="N672" t="s">
        <v>1289</v>
      </c>
      <c r="O672" s="1" t="s">
        <v>1305</v>
      </c>
      <c r="P672" t="s">
        <v>1291</v>
      </c>
      <c r="Q672" t="s">
        <v>1294</v>
      </c>
      <c r="S672" t="s">
        <v>1294</v>
      </c>
      <c r="T672" t="s">
        <v>2538</v>
      </c>
      <c r="U672">
        <v>0</v>
      </c>
      <c r="V672" t="s">
        <v>1309</v>
      </c>
    </row>
    <row r="673" spans="1:22" ht="45" x14ac:dyDescent="0.25">
      <c r="A673" t="s">
        <v>1871</v>
      </c>
      <c r="B673" s="1" t="s">
        <v>1309</v>
      </c>
      <c r="C673" s="1" t="s">
        <v>1530</v>
      </c>
      <c r="D673" s="1" t="s">
        <v>1315</v>
      </c>
      <c r="E673" s="1" t="s">
        <v>1410</v>
      </c>
      <c r="F673" t="s">
        <v>2541</v>
      </c>
      <c r="G673" t="s">
        <v>1310</v>
      </c>
      <c r="H673" t="s">
        <v>1311</v>
      </c>
      <c r="I673" t="s">
        <v>1285</v>
      </c>
      <c r="J673" t="s">
        <v>1312</v>
      </c>
      <c r="K673" t="s">
        <v>1221</v>
      </c>
      <c r="L673" t="s">
        <v>1313</v>
      </c>
      <c r="M673" t="s">
        <v>1314</v>
      </c>
      <c r="N673" t="s">
        <v>1289</v>
      </c>
      <c r="O673" s="1" t="s">
        <v>1305</v>
      </c>
      <c r="P673" t="s">
        <v>1291</v>
      </c>
      <c r="Q673" t="s">
        <v>1294</v>
      </c>
      <c r="S673" t="s">
        <v>1294</v>
      </c>
      <c r="T673" t="s">
        <v>2542</v>
      </c>
      <c r="U673">
        <v>0</v>
      </c>
      <c r="V673" t="s">
        <v>1309</v>
      </c>
    </row>
    <row r="674" spans="1:22" ht="45" x14ac:dyDescent="0.25">
      <c r="A674" t="s">
        <v>1871</v>
      </c>
      <c r="B674" s="1" t="s">
        <v>1309</v>
      </c>
      <c r="C674" s="1" t="s">
        <v>1530</v>
      </c>
      <c r="D674" s="1" t="s">
        <v>1315</v>
      </c>
      <c r="E674" s="1" t="s">
        <v>1410</v>
      </c>
      <c r="F674" t="s">
        <v>2543</v>
      </c>
      <c r="G674" t="s">
        <v>1310</v>
      </c>
      <c r="H674" t="s">
        <v>1311</v>
      </c>
      <c r="I674" t="s">
        <v>1285</v>
      </c>
      <c r="J674" t="s">
        <v>1312</v>
      </c>
      <c r="K674" t="s">
        <v>1221</v>
      </c>
      <c r="L674" t="s">
        <v>1313</v>
      </c>
      <c r="M674" t="s">
        <v>1314</v>
      </c>
      <c r="N674" t="s">
        <v>1289</v>
      </c>
      <c r="O674" s="1" t="s">
        <v>1305</v>
      </c>
      <c r="P674" t="s">
        <v>1291</v>
      </c>
      <c r="Q674" t="s">
        <v>1294</v>
      </c>
      <c r="S674" t="s">
        <v>1294</v>
      </c>
      <c r="T674" t="s">
        <v>1688</v>
      </c>
      <c r="U674">
        <v>0</v>
      </c>
      <c r="V674" t="s">
        <v>1309</v>
      </c>
    </row>
    <row r="675" spans="1:22" ht="45" x14ac:dyDescent="0.25">
      <c r="A675" t="s">
        <v>1871</v>
      </c>
      <c r="B675" s="1" t="s">
        <v>1309</v>
      </c>
      <c r="C675" s="1" t="s">
        <v>1530</v>
      </c>
      <c r="D675" s="1" t="s">
        <v>1315</v>
      </c>
      <c r="E675" s="1" t="s">
        <v>1410</v>
      </c>
      <c r="F675" t="s">
        <v>2546</v>
      </c>
      <c r="G675" t="s">
        <v>1310</v>
      </c>
      <c r="H675" t="s">
        <v>1311</v>
      </c>
      <c r="I675" t="s">
        <v>1285</v>
      </c>
      <c r="J675" t="s">
        <v>1312</v>
      </c>
      <c r="K675" t="s">
        <v>1221</v>
      </c>
      <c r="L675" t="s">
        <v>1313</v>
      </c>
      <c r="M675" t="s">
        <v>1314</v>
      </c>
      <c r="N675" t="s">
        <v>1289</v>
      </c>
      <c r="O675" s="1" t="s">
        <v>1305</v>
      </c>
      <c r="P675" t="s">
        <v>1291</v>
      </c>
      <c r="Q675" t="s">
        <v>1294</v>
      </c>
      <c r="S675" t="s">
        <v>1294</v>
      </c>
      <c r="T675" t="s">
        <v>2547</v>
      </c>
      <c r="U675">
        <v>0</v>
      </c>
      <c r="V675" t="s">
        <v>1309</v>
      </c>
    </row>
    <row r="676" spans="1:22" ht="45" x14ac:dyDescent="0.25">
      <c r="A676" t="s">
        <v>1871</v>
      </c>
      <c r="B676" s="1" t="s">
        <v>1309</v>
      </c>
      <c r="C676" s="1" t="s">
        <v>1530</v>
      </c>
      <c r="D676" s="1" t="s">
        <v>1315</v>
      </c>
      <c r="E676" s="1" t="s">
        <v>1410</v>
      </c>
      <c r="F676" t="s">
        <v>2550</v>
      </c>
      <c r="G676" t="s">
        <v>1310</v>
      </c>
      <c r="H676" t="s">
        <v>1311</v>
      </c>
      <c r="I676" t="s">
        <v>1285</v>
      </c>
      <c r="J676" t="s">
        <v>1312</v>
      </c>
      <c r="K676" t="s">
        <v>1221</v>
      </c>
      <c r="L676" t="s">
        <v>1313</v>
      </c>
      <c r="M676" t="s">
        <v>1314</v>
      </c>
      <c r="N676" t="s">
        <v>1289</v>
      </c>
      <c r="O676" s="1" t="s">
        <v>1305</v>
      </c>
      <c r="P676" t="s">
        <v>1291</v>
      </c>
      <c r="Q676" t="s">
        <v>1294</v>
      </c>
      <c r="S676" t="s">
        <v>1294</v>
      </c>
      <c r="T676" t="s">
        <v>2551</v>
      </c>
      <c r="U676">
        <v>0</v>
      </c>
      <c r="V676" t="s">
        <v>1309</v>
      </c>
    </row>
    <row r="677" spans="1:22" ht="45" x14ac:dyDescent="0.25">
      <c r="A677" t="s">
        <v>1871</v>
      </c>
      <c r="B677" s="1" t="s">
        <v>1309</v>
      </c>
      <c r="C677" s="1" t="s">
        <v>1530</v>
      </c>
      <c r="D677" s="1" t="s">
        <v>1315</v>
      </c>
      <c r="E677" s="1" t="s">
        <v>1410</v>
      </c>
      <c r="F677" t="s">
        <v>2554</v>
      </c>
      <c r="G677" t="s">
        <v>1310</v>
      </c>
      <c r="H677" t="s">
        <v>1311</v>
      </c>
      <c r="I677" t="s">
        <v>1285</v>
      </c>
      <c r="J677" t="s">
        <v>1312</v>
      </c>
      <c r="K677" t="s">
        <v>1221</v>
      </c>
      <c r="L677" t="s">
        <v>1313</v>
      </c>
      <c r="M677" t="s">
        <v>1314</v>
      </c>
      <c r="N677" t="s">
        <v>1289</v>
      </c>
      <c r="O677" s="1" t="s">
        <v>1305</v>
      </c>
      <c r="P677" t="s">
        <v>1291</v>
      </c>
      <c r="Q677" t="s">
        <v>1294</v>
      </c>
      <c r="S677" t="s">
        <v>1294</v>
      </c>
      <c r="T677" t="s">
        <v>2555</v>
      </c>
      <c r="U677">
        <v>0</v>
      </c>
      <c r="V677" t="s">
        <v>1309</v>
      </c>
    </row>
    <row r="678" spans="1:22" ht="45" x14ac:dyDescent="0.25">
      <c r="A678" t="s">
        <v>1871</v>
      </c>
      <c r="B678" s="1" t="s">
        <v>1309</v>
      </c>
      <c r="C678" s="1" t="s">
        <v>1530</v>
      </c>
      <c r="D678" s="1" t="s">
        <v>1315</v>
      </c>
      <c r="E678" s="1" t="s">
        <v>1410</v>
      </c>
      <c r="F678" t="s">
        <v>2558</v>
      </c>
      <c r="G678" t="s">
        <v>1310</v>
      </c>
      <c r="H678" t="s">
        <v>1311</v>
      </c>
      <c r="I678" t="s">
        <v>1285</v>
      </c>
      <c r="J678" t="s">
        <v>1312</v>
      </c>
      <c r="K678" t="s">
        <v>1221</v>
      </c>
      <c r="L678" t="s">
        <v>1313</v>
      </c>
      <c r="M678" t="s">
        <v>1314</v>
      </c>
      <c r="N678" t="s">
        <v>1289</v>
      </c>
      <c r="O678" s="1" t="s">
        <v>1305</v>
      </c>
      <c r="P678" t="s">
        <v>1291</v>
      </c>
      <c r="Q678" t="s">
        <v>1294</v>
      </c>
      <c r="S678" t="s">
        <v>1294</v>
      </c>
      <c r="T678" t="s">
        <v>1758</v>
      </c>
      <c r="U678">
        <v>0</v>
      </c>
      <c r="V678" t="s">
        <v>1309</v>
      </c>
    </row>
    <row r="679" spans="1:22" ht="45" x14ac:dyDescent="0.25">
      <c r="A679" t="s">
        <v>1871</v>
      </c>
      <c r="B679" s="1" t="s">
        <v>1309</v>
      </c>
      <c r="C679" s="1" t="s">
        <v>1530</v>
      </c>
      <c r="D679" s="1" t="s">
        <v>1315</v>
      </c>
      <c r="E679" s="1" t="s">
        <v>1374</v>
      </c>
      <c r="F679" t="s">
        <v>2993</v>
      </c>
      <c r="G679" t="s">
        <v>1310</v>
      </c>
      <c r="H679" t="s">
        <v>1311</v>
      </c>
      <c r="I679" t="s">
        <v>1285</v>
      </c>
      <c r="J679" t="s">
        <v>1312</v>
      </c>
      <c r="K679" t="s">
        <v>1221</v>
      </c>
      <c r="L679" t="s">
        <v>1313</v>
      </c>
      <c r="M679" t="s">
        <v>1314</v>
      </c>
      <c r="N679" t="s">
        <v>1289</v>
      </c>
      <c r="O679" s="1" t="s">
        <v>1305</v>
      </c>
      <c r="P679" t="s">
        <v>1291</v>
      </c>
      <c r="Q679" t="s">
        <v>1294</v>
      </c>
      <c r="S679" t="s">
        <v>1294</v>
      </c>
      <c r="T679" t="s">
        <v>2994</v>
      </c>
      <c r="U679">
        <v>0</v>
      </c>
      <c r="V679" t="s">
        <v>1309</v>
      </c>
    </row>
    <row r="680" spans="1:22" ht="45" x14ac:dyDescent="0.25">
      <c r="A680" t="s">
        <v>1871</v>
      </c>
      <c r="B680" s="1" t="s">
        <v>1309</v>
      </c>
      <c r="C680" s="1" t="s">
        <v>1530</v>
      </c>
      <c r="D680" s="1" t="s">
        <v>1315</v>
      </c>
      <c r="E680" s="1" t="s">
        <v>1350</v>
      </c>
      <c r="F680" t="s">
        <v>3292</v>
      </c>
      <c r="G680" t="s">
        <v>1310</v>
      </c>
      <c r="H680" t="s">
        <v>1311</v>
      </c>
      <c r="I680" t="s">
        <v>1285</v>
      </c>
      <c r="J680" t="s">
        <v>1312</v>
      </c>
      <c r="K680" t="s">
        <v>1221</v>
      </c>
      <c r="L680" t="s">
        <v>1313</v>
      </c>
      <c r="M680" t="s">
        <v>1314</v>
      </c>
      <c r="N680" t="s">
        <v>1289</v>
      </c>
      <c r="O680" s="1" t="s">
        <v>1305</v>
      </c>
      <c r="P680" t="s">
        <v>1291</v>
      </c>
      <c r="Q680" t="s">
        <v>1294</v>
      </c>
      <c r="S680" t="s">
        <v>1294</v>
      </c>
      <c r="T680" t="s">
        <v>3293</v>
      </c>
      <c r="U680">
        <v>0</v>
      </c>
      <c r="V680" t="s">
        <v>1309</v>
      </c>
    </row>
    <row r="681" spans="1:22" ht="45" x14ac:dyDescent="0.25">
      <c r="A681" t="s">
        <v>1871</v>
      </c>
      <c r="B681" s="1" t="s">
        <v>1309</v>
      </c>
      <c r="C681" s="1" t="s">
        <v>1530</v>
      </c>
      <c r="D681" s="1" t="s">
        <v>1315</v>
      </c>
      <c r="E681" s="1" t="s">
        <v>1350</v>
      </c>
      <c r="F681" t="s">
        <v>3305</v>
      </c>
      <c r="G681" t="s">
        <v>1310</v>
      </c>
      <c r="H681" t="s">
        <v>1311</v>
      </c>
      <c r="I681" t="s">
        <v>1285</v>
      </c>
      <c r="J681" t="s">
        <v>1312</v>
      </c>
      <c r="K681" t="s">
        <v>1221</v>
      </c>
      <c r="L681" t="s">
        <v>1313</v>
      </c>
      <c r="M681" t="s">
        <v>1314</v>
      </c>
      <c r="N681" t="s">
        <v>1289</v>
      </c>
      <c r="O681" s="1" t="s">
        <v>1305</v>
      </c>
      <c r="P681" t="s">
        <v>1291</v>
      </c>
      <c r="Q681" t="s">
        <v>1294</v>
      </c>
      <c r="S681" t="s">
        <v>1294</v>
      </c>
      <c r="T681" t="s">
        <v>3306</v>
      </c>
      <c r="U681">
        <v>0</v>
      </c>
      <c r="V681" t="s">
        <v>1309</v>
      </c>
    </row>
    <row r="682" spans="1:22" ht="45" x14ac:dyDescent="0.25">
      <c r="A682" t="s">
        <v>1871</v>
      </c>
      <c r="B682" s="1" t="s">
        <v>1309</v>
      </c>
      <c r="C682" s="1" t="s">
        <v>1530</v>
      </c>
      <c r="D682" s="1" t="s">
        <v>1315</v>
      </c>
      <c r="E682" s="1" t="s">
        <v>1316</v>
      </c>
      <c r="F682" t="s">
        <v>3376</v>
      </c>
      <c r="G682" t="s">
        <v>1310</v>
      </c>
      <c r="H682" t="s">
        <v>1311</v>
      </c>
      <c r="I682" t="s">
        <v>1285</v>
      </c>
      <c r="J682" t="s">
        <v>1312</v>
      </c>
      <c r="K682" t="s">
        <v>1221</v>
      </c>
      <c r="L682" t="s">
        <v>1313</v>
      </c>
      <c r="M682" t="s">
        <v>1314</v>
      </c>
      <c r="N682" t="s">
        <v>1289</v>
      </c>
      <c r="O682" s="1" t="s">
        <v>1305</v>
      </c>
      <c r="P682" t="s">
        <v>1291</v>
      </c>
      <c r="Q682" t="s">
        <v>1294</v>
      </c>
      <c r="S682" t="s">
        <v>1294</v>
      </c>
      <c r="T682" t="s">
        <v>3377</v>
      </c>
      <c r="U682">
        <v>0</v>
      </c>
      <c r="V682" t="s">
        <v>1309</v>
      </c>
    </row>
    <row r="683" spans="1:22" ht="45" x14ac:dyDescent="0.25">
      <c r="A683" t="s">
        <v>1871</v>
      </c>
      <c r="B683" s="1" t="s">
        <v>1309</v>
      </c>
      <c r="C683" s="1" t="s">
        <v>1530</v>
      </c>
      <c r="D683" s="1" t="s">
        <v>1315</v>
      </c>
      <c r="E683" s="1" t="s">
        <v>1374</v>
      </c>
      <c r="F683" t="s">
        <v>1311</v>
      </c>
      <c r="G683" t="s">
        <v>1310</v>
      </c>
      <c r="H683" t="s">
        <v>1311</v>
      </c>
      <c r="I683" t="s">
        <v>1285</v>
      </c>
      <c r="J683" t="s">
        <v>1312</v>
      </c>
      <c r="K683" t="s">
        <v>1221</v>
      </c>
      <c r="L683" t="s">
        <v>1313</v>
      </c>
      <c r="M683" t="s">
        <v>1314</v>
      </c>
      <c r="N683" t="s">
        <v>1289</v>
      </c>
      <c r="O683" s="1" t="s">
        <v>1305</v>
      </c>
      <c r="P683" t="s">
        <v>1291</v>
      </c>
      <c r="Q683" t="s">
        <v>1294</v>
      </c>
      <c r="S683" t="s">
        <v>1294</v>
      </c>
      <c r="T683" t="s">
        <v>3388</v>
      </c>
      <c r="U683">
        <v>0</v>
      </c>
      <c r="V683" t="s">
        <v>1309</v>
      </c>
    </row>
    <row r="684" spans="1:22" ht="45" x14ac:dyDescent="0.25">
      <c r="A684" t="s">
        <v>1871</v>
      </c>
      <c r="B684" s="1" t="s">
        <v>1309</v>
      </c>
      <c r="C684" s="1" t="s">
        <v>1530</v>
      </c>
      <c r="D684" s="1" t="s">
        <v>1315</v>
      </c>
      <c r="E684" s="1" t="s">
        <v>1374</v>
      </c>
      <c r="F684" t="s">
        <v>3421</v>
      </c>
      <c r="G684" t="s">
        <v>1310</v>
      </c>
      <c r="H684" t="s">
        <v>1311</v>
      </c>
      <c r="I684" t="s">
        <v>1285</v>
      </c>
      <c r="J684" t="s">
        <v>1312</v>
      </c>
      <c r="K684" t="s">
        <v>1221</v>
      </c>
      <c r="L684" t="s">
        <v>1313</v>
      </c>
      <c r="M684" t="s">
        <v>1314</v>
      </c>
      <c r="N684" t="s">
        <v>1289</v>
      </c>
      <c r="O684" s="1" t="s">
        <v>1305</v>
      </c>
      <c r="P684" t="s">
        <v>1291</v>
      </c>
      <c r="Q684" t="s">
        <v>1294</v>
      </c>
      <c r="S684" t="s">
        <v>1294</v>
      </c>
      <c r="T684" t="s">
        <v>3422</v>
      </c>
      <c r="U684">
        <v>0</v>
      </c>
      <c r="V684" t="s">
        <v>1309</v>
      </c>
    </row>
    <row r="685" spans="1:22" ht="45" x14ac:dyDescent="0.25">
      <c r="A685" t="s">
        <v>1871</v>
      </c>
      <c r="B685" s="1" t="s">
        <v>1309</v>
      </c>
      <c r="C685" s="1" t="s">
        <v>1530</v>
      </c>
      <c r="D685" s="1" t="s">
        <v>1315</v>
      </c>
      <c r="E685" s="1" t="s">
        <v>1350</v>
      </c>
      <c r="F685" t="s">
        <v>3423</v>
      </c>
      <c r="G685" t="s">
        <v>1310</v>
      </c>
      <c r="H685" t="s">
        <v>1311</v>
      </c>
      <c r="I685" t="s">
        <v>1285</v>
      </c>
      <c r="J685" t="s">
        <v>1312</v>
      </c>
      <c r="K685" t="s">
        <v>1221</v>
      </c>
      <c r="L685" t="s">
        <v>1313</v>
      </c>
      <c r="M685" t="s">
        <v>1314</v>
      </c>
      <c r="N685" t="s">
        <v>1289</v>
      </c>
      <c r="O685" s="1" t="s">
        <v>1305</v>
      </c>
      <c r="P685" t="s">
        <v>1291</v>
      </c>
      <c r="Q685" t="s">
        <v>1294</v>
      </c>
      <c r="S685" t="s">
        <v>1294</v>
      </c>
      <c r="T685" t="s">
        <v>3424</v>
      </c>
      <c r="U685">
        <v>0</v>
      </c>
      <c r="V685" t="s">
        <v>1309</v>
      </c>
    </row>
    <row r="686" spans="1:22" ht="45" x14ac:dyDescent="0.25">
      <c r="A686" t="s">
        <v>1281</v>
      </c>
      <c r="B686" s="1" t="s">
        <v>1405</v>
      </c>
      <c r="C686" s="1" t="s">
        <v>1320</v>
      </c>
      <c r="D686" s="1" t="s">
        <v>1288</v>
      </c>
      <c r="E686" s="1" t="s">
        <v>1410</v>
      </c>
      <c r="F686" t="s">
        <v>1404</v>
      </c>
      <c r="G686" t="s">
        <v>1406</v>
      </c>
      <c r="H686" t="s">
        <v>1311</v>
      </c>
      <c r="I686" t="s">
        <v>1285</v>
      </c>
      <c r="J686" t="s">
        <v>1170</v>
      </c>
      <c r="K686" t="s">
        <v>1407</v>
      </c>
      <c r="L686" t="s">
        <v>1408</v>
      </c>
      <c r="M686" t="s">
        <v>1409</v>
      </c>
      <c r="N686" t="s">
        <v>1289</v>
      </c>
      <c r="O686" s="1" t="s">
        <v>1305</v>
      </c>
      <c r="P686" t="s">
        <v>1291</v>
      </c>
      <c r="Q686" t="s">
        <v>1294</v>
      </c>
      <c r="S686" t="s">
        <v>1294</v>
      </c>
      <c r="T686" t="s">
        <v>1296</v>
      </c>
      <c r="U686">
        <v>0</v>
      </c>
      <c r="V686" t="s">
        <v>1405</v>
      </c>
    </row>
    <row r="687" spans="1:22" ht="45" x14ac:dyDescent="0.25">
      <c r="A687" t="s">
        <v>1871</v>
      </c>
      <c r="B687" s="1" t="s">
        <v>1405</v>
      </c>
      <c r="C687" s="1" t="s">
        <v>1530</v>
      </c>
      <c r="D687" s="1" t="s">
        <v>1288</v>
      </c>
      <c r="E687" s="1" t="s">
        <v>1374</v>
      </c>
      <c r="F687" t="s">
        <v>1908</v>
      </c>
      <c r="G687" t="s">
        <v>1406</v>
      </c>
      <c r="H687" t="s">
        <v>1311</v>
      </c>
      <c r="I687" t="s">
        <v>1285</v>
      </c>
      <c r="J687" t="s">
        <v>1170</v>
      </c>
      <c r="K687" t="s">
        <v>1407</v>
      </c>
      <c r="L687" t="s">
        <v>1408</v>
      </c>
      <c r="M687" t="s">
        <v>1409</v>
      </c>
      <c r="N687" t="s">
        <v>1289</v>
      </c>
      <c r="O687" s="1" t="s">
        <v>1305</v>
      </c>
      <c r="P687" t="s">
        <v>1291</v>
      </c>
      <c r="Q687" t="s">
        <v>1294</v>
      </c>
      <c r="S687" t="s">
        <v>1294</v>
      </c>
      <c r="T687" t="s">
        <v>1909</v>
      </c>
      <c r="U687">
        <v>0</v>
      </c>
      <c r="V687" t="s">
        <v>1405</v>
      </c>
    </row>
    <row r="688" spans="1:22" ht="45" x14ac:dyDescent="0.25">
      <c r="A688" t="s">
        <v>1871</v>
      </c>
      <c r="B688" s="1" t="s">
        <v>1405</v>
      </c>
      <c r="C688" s="1" t="s">
        <v>1530</v>
      </c>
      <c r="D688" s="1" t="s">
        <v>1288</v>
      </c>
      <c r="E688" s="1" t="s">
        <v>1393</v>
      </c>
      <c r="F688" t="s">
        <v>1928</v>
      </c>
      <c r="G688" t="s">
        <v>1406</v>
      </c>
      <c r="H688" t="s">
        <v>1311</v>
      </c>
      <c r="I688" t="s">
        <v>1285</v>
      </c>
      <c r="J688" t="s">
        <v>1170</v>
      </c>
      <c r="K688" t="s">
        <v>1407</v>
      </c>
      <c r="L688" t="s">
        <v>1408</v>
      </c>
      <c r="M688" t="s">
        <v>1409</v>
      </c>
      <c r="N688" t="s">
        <v>1289</v>
      </c>
      <c r="O688" s="1" t="s">
        <v>1305</v>
      </c>
      <c r="P688" t="s">
        <v>1291</v>
      </c>
      <c r="Q688" t="s">
        <v>1294</v>
      </c>
      <c r="S688" t="s">
        <v>1294</v>
      </c>
      <c r="T688" t="s">
        <v>1929</v>
      </c>
      <c r="U688">
        <v>0</v>
      </c>
      <c r="V688" t="s">
        <v>1405</v>
      </c>
    </row>
    <row r="689" spans="1:22" ht="45" x14ac:dyDescent="0.25">
      <c r="A689" t="s">
        <v>1871</v>
      </c>
      <c r="B689" s="1" t="s">
        <v>1405</v>
      </c>
      <c r="C689" s="1" t="s">
        <v>1530</v>
      </c>
      <c r="D689" s="1" t="s">
        <v>1288</v>
      </c>
      <c r="E689" s="1" t="s">
        <v>1393</v>
      </c>
      <c r="F689" t="s">
        <v>1930</v>
      </c>
      <c r="G689" t="s">
        <v>1406</v>
      </c>
      <c r="H689" t="s">
        <v>1311</v>
      </c>
      <c r="I689" t="s">
        <v>1285</v>
      </c>
      <c r="J689" t="s">
        <v>1170</v>
      </c>
      <c r="K689" t="s">
        <v>1407</v>
      </c>
      <c r="L689" t="s">
        <v>1408</v>
      </c>
      <c r="M689" t="s">
        <v>1409</v>
      </c>
      <c r="N689" t="s">
        <v>1289</v>
      </c>
      <c r="O689" s="1" t="s">
        <v>1305</v>
      </c>
      <c r="P689" t="s">
        <v>1291</v>
      </c>
      <c r="Q689" t="s">
        <v>1294</v>
      </c>
      <c r="S689" t="s">
        <v>1294</v>
      </c>
      <c r="T689" t="s">
        <v>1931</v>
      </c>
      <c r="U689">
        <v>0</v>
      </c>
      <c r="V689" t="s">
        <v>1405</v>
      </c>
    </row>
    <row r="690" spans="1:22" ht="45" x14ac:dyDescent="0.25">
      <c r="A690" t="s">
        <v>1871</v>
      </c>
      <c r="B690" s="1" t="s">
        <v>1405</v>
      </c>
      <c r="C690" s="1" t="s">
        <v>1530</v>
      </c>
      <c r="D690" s="1" t="s">
        <v>1288</v>
      </c>
      <c r="E690" s="1" t="s">
        <v>1393</v>
      </c>
      <c r="F690" t="s">
        <v>1938</v>
      </c>
      <c r="G690" t="s">
        <v>1406</v>
      </c>
      <c r="H690" t="s">
        <v>1311</v>
      </c>
      <c r="I690" t="s">
        <v>1285</v>
      </c>
      <c r="J690" t="s">
        <v>1170</v>
      </c>
      <c r="K690" t="s">
        <v>1407</v>
      </c>
      <c r="L690" t="s">
        <v>1408</v>
      </c>
      <c r="M690" t="s">
        <v>1409</v>
      </c>
      <c r="N690" t="s">
        <v>1289</v>
      </c>
      <c r="O690" s="1" t="s">
        <v>1305</v>
      </c>
      <c r="P690" t="s">
        <v>1291</v>
      </c>
      <c r="Q690" t="s">
        <v>1294</v>
      </c>
      <c r="S690" t="s">
        <v>1294</v>
      </c>
      <c r="T690" t="s">
        <v>1939</v>
      </c>
      <c r="U690">
        <v>0</v>
      </c>
      <c r="V690" t="s">
        <v>1405</v>
      </c>
    </row>
    <row r="691" spans="1:22" ht="45" x14ac:dyDescent="0.25">
      <c r="A691" t="s">
        <v>1871</v>
      </c>
      <c r="B691" s="1" t="s">
        <v>1405</v>
      </c>
      <c r="C691" s="1" t="s">
        <v>1530</v>
      </c>
      <c r="D691" s="1" t="s">
        <v>1288</v>
      </c>
      <c r="E691" s="1" t="s">
        <v>1374</v>
      </c>
      <c r="F691" t="s">
        <v>1942</v>
      </c>
      <c r="G691" t="s">
        <v>1406</v>
      </c>
      <c r="H691" t="s">
        <v>1311</v>
      </c>
      <c r="I691" t="s">
        <v>1285</v>
      </c>
      <c r="J691" t="s">
        <v>1170</v>
      </c>
      <c r="K691" t="s">
        <v>1407</v>
      </c>
      <c r="L691" t="s">
        <v>1408</v>
      </c>
      <c r="M691" t="s">
        <v>1409</v>
      </c>
      <c r="N691" t="s">
        <v>1289</v>
      </c>
      <c r="O691" s="1" t="s">
        <v>1305</v>
      </c>
      <c r="P691" t="s">
        <v>1291</v>
      </c>
      <c r="Q691" t="s">
        <v>1294</v>
      </c>
      <c r="S691" t="s">
        <v>1294</v>
      </c>
      <c r="T691" t="s">
        <v>1943</v>
      </c>
      <c r="U691">
        <v>0</v>
      </c>
      <c r="V691" t="s">
        <v>1405</v>
      </c>
    </row>
    <row r="692" spans="1:22" ht="45" x14ac:dyDescent="0.25">
      <c r="A692" t="s">
        <v>1871</v>
      </c>
      <c r="B692" s="1" t="s">
        <v>1405</v>
      </c>
      <c r="C692" s="1" t="s">
        <v>1530</v>
      </c>
      <c r="D692" s="1" t="s">
        <v>1288</v>
      </c>
      <c r="E692" s="1" t="s">
        <v>1293</v>
      </c>
      <c r="F692" t="s">
        <v>2004</v>
      </c>
      <c r="G692" t="s">
        <v>1406</v>
      </c>
      <c r="H692" t="s">
        <v>1311</v>
      </c>
      <c r="I692" t="s">
        <v>1285</v>
      </c>
      <c r="J692" t="s">
        <v>1170</v>
      </c>
      <c r="K692" t="s">
        <v>1407</v>
      </c>
      <c r="L692" t="s">
        <v>1408</v>
      </c>
      <c r="M692" t="s">
        <v>1409</v>
      </c>
      <c r="N692" t="s">
        <v>1289</v>
      </c>
      <c r="O692" s="1" t="s">
        <v>1305</v>
      </c>
      <c r="P692" t="s">
        <v>1291</v>
      </c>
      <c r="Q692" t="s">
        <v>1294</v>
      </c>
      <c r="S692" t="s">
        <v>1294</v>
      </c>
      <c r="T692" t="s">
        <v>2005</v>
      </c>
      <c r="U692">
        <v>0</v>
      </c>
      <c r="V692" t="s">
        <v>1405</v>
      </c>
    </row>
    <row r="693" spans="1:22" ht="45" x14ac:dyDescent="0.25">
      <c r="A693" t="s">
        <v>1871</v>
      </c>
      <c r="B693" s="1" t="s">
        <v>1405</v>
      </c>
      <c r="C693" s="1" t="s">
        <v>1530</v>
      </c>
      <c r="D693" s="1" t="s">
        <v>1288</v>
      </c>
      <c r="E693" s="1" t="s">
        <v>1368</v>
      </c>
      <c r="F693" t="s">
        <v>2037</v>
      </c>
      <c r="G693" t="s">
        <v>1406</v>
      </c>
      <c r="H693" t="s">
        <v>1311</v>
      </c>
      <c r="I693" t="s">
        <v>1285</v>
      </c>
      <c r="J693" t="s">
        <v>1170</v>
      </c>
      <c r="K693" t="s">
        <v>1407</v>
      </c>
      <c r="L693" t="s">
        <v>1408</v>
      </c>
      <c r="M693" t="s">
        <v>1409</v>
      </c>
      <c r="N693" t="s">
        <v>1289</v>
      </c>
      <c r="O693" s="1" t="s">
        <v>1305</v>
      </c>
      <c r="P693" t="s">
        <v>1291</v>
      </c>
      <c r="Q693" t="s">
        <v>1294</v>
      </c>
      <c r="S693" t="s">
        <v>1294</v>
      </c>
      <c r="T693" t="s">
        <v>2038</v>
      </c>
      <c r="U693">
        <v>0</v>
      </c>
      <c r="V693" t="s">
        <v>1405</v>
      </c>
    </row>
    <row r="694" spans="1:22" ht="45" x14ac:dyDescent="0.25">
      <c r="A694" t="s">
        <v>1871</v>
      </c>
      <c r="B694" s="1" t="s">
        <v>1405</v>
      </c>
      <c r="C694" s="1" t="s">
        <v>1530</v>
      </c>
      <c r="D694" s="1" t="s">
        <v>1288</v>
      </c>
      <c r="E694" s="1" t="s">
        <v>1293</v>
      </c>
      <c r="F694" t="s">
        <v>2090</v>
      </c>
      <c r="G694" t="s">
        <v>1406</v>
      </c>
      <c r="H694" t="s">
        <v>1311</v>
      </c>
      <c r="I694" t="s">
        <v>1285</v>
      </c>
      <c r="J694" t="s">
        <v>1170</v>
      </c>
      <c r="K694" t="s">
        <v>1407</v>
      </c>
      <c r="L694" t="s">
        <v>1408</v>
      </c>
      <c r="M694" t="s">
        <v>1409</v>
      </c>
      <c r="N694" t="s">
        <v>1289</v>
      </c>
      <c r="O694" s="1" t="s">
        <v>1305</v>
      </c>
      <c r="P694" t="s">
        <v>1291</v>
      </c>
      <c r="Q694" t="s">
        <v>1294</v>
      </c>
      <c r="S694" t="s">
        <v>1294</v>
      </c>
      <c r="T694" t="s">
        <v>2091</v>
      </c>
      <c r="U694">
        <v>0</v>
      </c>
      <c r="V694" t="s">
        <v>1405</v>
      </c>
    </row>
    <row r="695" spans="1:22" ht="45" x14ac:dyDescent="0.25">
      <c r="A695" t="s">
        <v>1871</v>
      </c>
      <c r="B695" s="1" t="s">
        <v>1405</v>
      </c>
      <c r="C695" s="1" t="s">
        <v>1530</v>
      </c>
      <c r="D695" s="1" t="s">
        <v>1288</v>
      </c>
      <c r="E695" s="1" t="s">
        <v>1293</v>
      </c>
      <c r="F695" t="s">
        <v>2096</v>
      </c>
      <c r="G695" t="s">
        <v>1406</v>
      </c>
      <c r="H695" t="s">
        <v>1311</v>
      </c>
      <c r="I695" t="s">
        <v>1285</v>
      </c>
      <c r="J695" t="s">
        <v>1170</v>
      </c>
      <c r="K695" t="s">
        <v>1407</v>
      </c>
      <c r="L695" t="s">
        <v>1408</v>
      </c>
      <c r="M695" t="s">
        <v>1409</v>
      </c>
      <c r="N695" t="s">
        <v>1289</v>
      </c>
      <c r="O695" s="1" t="s">
        <v>1305</v>
      </c>
      <c r="P695" t="s">
        <v>1291</v>
      </c>
      <c r="Q695" t="s">
        <v>1294</v>
      </c>
      <c r="S695" t="s">
        <v>1294</v>
      </c>
      <c r="T695" t="s">
        <v>2097</v>
      </c>
      <c r="U695">
        <v>0</v>
      </c>
      <c r="V695" t="s">
        <v>1405</v>
      </c>
    </row>
    <row r="696" spans="1:22" ht="45" x14ac:dyDescent="0.25">
      <c r="A696" t="s">
        <v>1871</v>
      </c>
      <c r="B696" s="1" t="s">
        <v>1405</v>
      </c>
      <c r="C696" s="1" t="s">
        <v>1530</v>
      </c>
      <c r="D696" s="1" t="s">
        <v>1288</v>
      </c>
      <c r="E696" s="1" t="s">
        <v>1368</v>
      </c>
      <c r="F696" t="s">
        <v>2102</v>
      </c>
      <c r="G696" t="s">
        <v>1406</v>
      </c>
      <c r="H696" t="s">
        <v>1311</v>
      </c>
      <c r="I696" t="s">
        <v>1285</v>
      </c>
      <c r="J696" t="s">
        <v>1170</v>
      </c>
      <c r="K696" t="s">
        <v>1407</v>
      </c>
      <c r="L696" t="s">
        <v>1408</v>
      </c>
      <c r="M696" t="s">
        <v>1409</v>
      </c>
      <c r="N696" t="s">
        <v>1289</v>
      </c>
      <c r="O696" s="1" t="s">
        <v>1305</v>
      </c>
      <c r="P696" t="s">
        <v>1291</v>
      </c>
      <c r="Q696" t="s">
        <v>1294</v>
      </c>
      <c r="S696" t="s">
        <v>1294</v>
      </c>
      <c r="T696" t="s">
        <v>2103</v>
      </c>
      <c r="U696">
        <v>0</v>
      </c>
      <c r="V696" t="s">
        <v>1405</v>
      </c>
    </row>
    <row r="697" spans="1:22" ht="45" x14ac:dyDescent="0.25">
      <c r="A697" t="s">
        <v>1871</v>
      </c>
      <c r="B697" s="1" t="s">
        <v>1405</v>
      </c>
      <c r="C697" s="1" t="s">
        <v>1530</v>
      </c>
      <c r="D697" s="1" t="s">
        <v>1288</v>
      </c>
      <c r="E697" s="1" t="s">
        <v>1293</v>
      </c>
      <c r="F697" t="s">
        <v>2105</v>
      </c>
      <c r="G697" t="s">
        <v>1406</v>
      </c>
      <c r="H697" t="s">
        <v>1311</v>
      </c>
      <c r="I697" t="s">
        <v>1285</v>
      </c>
      <c r="J697" t="s">
        <v>1170</v>
      </c>
      <c r="K697" t="s">
        <v>1407</v>
      </c>
      <c r="L697" t="s">
        <v>1408</v>
      </c>
      <c r="M697" t="s">
        <v>1409</v>
      </c>
      <c r="N697" t="s">
        <v>1289</v>
      </c>
      <c r="O697" s="1" t="s">
        <v>1305</v>
      </c>
      <c r="P697" t="s">
        <v>1291</v>
      </c>
      <c r="Q697" t="s">
        <v>1294</v>
      </c>
      <c r="S697" t="s">
        <v>1294</v>
      </c>
      <c r="T697" t="s">
        <v>2106</v>
      </c>
      <c r="U697">
        <v>0</v>
      </c>
      <c r="V697" t="s">
        <v>1405</v>
      </c>
    </row>
    <row r="698" spans="1:22" ht="45" x14ac:dyDescent="0.25">
      <c r="A698" t="s">
        <v>1871</v>
      </c>
      <c r="B698" s="1" t="s">
        <v>1405</v>
      </c>
      <c r="C698" s="1" t="s">
        <v>1530</v>
      </c>
      <c r="D698" s="1" t="s">
        <v>1288</v>
      </c>
      <c r="E698" s="1" t="s">
        <v>1319</v>
      </c>
      <c r="F698" t="s">
        <v>2152</v>
      </c>
      <c r="G698" t="s">
        <v>1406</v>
      </c>
      <c r="H698" t="s">
        <v>1311</v>
      </c>
      <c r="I698" t="s">
        <v>1285</v>
      </c>
      <c r="J698" t="s">
        <v>1170</v>
      </c>
      <c r="K698" t="s">
        <v>1407</v>
      </c>
      <c r="L698" t="s">
        <v>1408</v>
      </c>
      <c r="M698" t="s">
        <v>1409</v>
      </c>
      <c r="N698" t="s">
        <v>1289</v>
      </c>
      <c r="O698" s="1" t="s">
        <v>1305</v>
      </c>
      <c r="P698" t="s">
        <v>1291</v>
      </c>
      <c r="Q698" t="s">
        <v>1294</v>
      </c>
      <c r="S698" t="s">
        <v>1294</v>
      </c>
      <c r="T698" t="s">
        <v>2153</v>
      </c>
      <c r="U698">
        <v>0</v>
      </c>
      <c r="V698" t="s">
        <v>1405</v>
      </c>
    </row>
    <row r="699" spans="1:22" ht="45" x14ac:dyDescent="0.25">
      <c r="A699" t="s">
        <v>1871</v>
      </c>
      <c r="B699" s="1" t="s">
        <v>1405</v>
      </c>
      <c r="C699" s="1" t="s">
        <v>1530</v>
      </c>
      <c r="D699" s="1" t="s">
        <v>1288</v>
      </c>
      <c r="E699" s="1" t="s">
        <v>1319</v>
      </c>
      <c r="F699" t="s">
        <v>2162</v>
      </c>
      <c r="G699" t="s">
        <v>1406</v>
      </c>
      <c r="H699" t="s">
        <v>1311</v>
      </c>
      <c r="I699" t="s">
        <v>1285</v>
      </c>
      <c r="J699" t="s">
        <v>1170</v>
      </c>
      <c r="K699" t="s">
        <v>1407</v>
      </c>
      <c r="L699" t="s">
        <v>1408</v>
      </c>
      <c r="M699" t="s">
        <v>1409</v>
      </c>
      <c r="N699" t="s">
        <v>1289</v>
      </c>
      <c r="O699" s="1" t="s">
        <v>1305</v>
      </c>
      <c r="P699" t="s">
        <v>1291</v>
      </c>
      <c r="Q699" t="s">
        <v>1294</v>
      </c>
      <c r="S699" t="s">
        <v>1294</v>
      </c>
      <c r="T699" t="s">
        <v>2163</v>
      </c>
      <c r="U699">
        <v>0</v>
      </c>
      <c r="V699" t="s">
        <v>1405</v>
      </c>
    </row>
    <row r="700" spans="1:22" ht="45" x14ac:dyDescent="0.25">
      <c r="A700" t="s">
        <v>1871</v>
      </c>
      <c r="B700" s="1" t="s">
        <v>1405</v>
      </c>
      <c r="C700" s="1" t="s">
        <v>1530</v>
      </c>
      <c r="D700" s="1" t="s">
        <v>1288</v>
      </c>
      <c r="E700" s="1" t="s">
        <v>1316</v>
      </c>
      <c r="F700" t="s">
        <v>2597</v>
      </c>
      <c r="G700" t="s">
        <v>1406</v>
      </c>
      <c r="H700" t="s">
        <v>1311</v>
      </c>
      <c r="I700" t="s">
        <v>1285</v>
      </c>
      <c r="J700" t="s">
        <v>1170</v>
      </c>
      <c r="K700" t="s">
        <v>1407</v>
      </c>
      <c r="L700" t="s">
        <v>1408</v>
      </c>
      <c r="M700" t="s">
        <v>1409</v>
      </c>
      <c r="N700" t="s">
        <v>1289</v>
      </c>
      <c r="O700" s="1" t="s">
        <v>1305</v>
      </c>
      <c r="P700" t="s">
        <v>1291</v>
      </c>
      <c r="Q700" t="s">
        <v>1294</v>
      </c>
      <c r="S700" t="s">
        <v>1294</v>
      </c>
      <c r="T700" t="s">
        <v>2598</v>
      </c>
      <c r="U700">
        <v>0</v>
      </c>
      <c r="V700" t="s">
        <v>1405</v>
      </c>
    </row>
    <row r="701" spans="1:22" ht="45" x14ac:dyDescent="0.25">
      <c r="A701" t="s">
        <v>1871</v>
      </c>
      <c r="B701" s="1" t="s">
        <v>1405</v>
      </c>
      <c r="C701" s="1" t="s">
        <v>1530</v>
      </c>
      <c r="D701" s="1" t="s">
        <v>1288</v>
      </c>
      <c r="E701" s="1" t="s">
        <v>1293</v>
      </c>
      <c r="F701" t="s">
        <v>2627</v>
      </c>
      <c r="G701" t="s">
        <v>1406</v>
      </c>
      <c r="H701" t="s">
        <v>1311</v>
      </c>
      <c r="I701" t="s">
        <v>1285</v>
      </c>
      <c r="J701" t="s">
        <v>1170</v>
      </c>
      <c r="K701" t="s">
        <v>1407</v>
      </c>
      <c r="L701" t="s">
        <v>1408</v>
      </c>
      <c r="M701" t="s">
        <v>1409</v>
      </c>
      <c r="N701" t="s">
        <v>1289</v>
      </c>
      <c r="O701" s="1" t="s">
        <v>1305</v>
      </c>
      <c r="P701" t="s">
        <v>1291</v>
      </c>
      <c r="Q701" t="s">
        <v>1294</v>
      </c>
      <c r="S701" t="s">
        <v>1294</v>
      </c>
      <c r="T701" t="s">
        <v>2628</v>
      </c>
      <c r="U701">
        <v>0</v>
      </c>
      <c r="V701" t="s">
        <v>1405</v>
      </c>
    </row>
    <row r="702" spans="1:22" ht="45" x14ac:dyDescent="0.25">
      <c r="A702" t="s">
        <v>1871</v>
      </c>
      <c r="B702" s="1" t="s">
        <v>1405</v>
      </c>
      <c r="C702" s="1" t="s">
        <v>1530</v>
      </c>
      <c r="D702" s="1" t="s">
        <v>1288</v>
      </c>
      <c r="E702" s="1" t="s">
        <v>1293</v>
      </c>
      <c r="F702" t="s">
        <v>2629</v>
      </c>
      <c r="G702" t="s">
        <v>1406</v>
      </c>
      <c r="H702" t="s">
        <v>1311</v>
      </c>
      <c r="I702" t="s">
        <v>1285</v>
      </c>
      <c r="J702" t="s">
        <v>1170</v>
      </c>
      <c r="K702" t="s">
        <v>1407</v>
      </c>
      <c r="L702" t="s">
        <v>1408</v>
      </c>
      <c r="M702" t="s">
        <v>1409</v>
      </c>
      <c r="N702" t="s">
        <v>1289</v>
      </c>
      <c r="O702" s="1" t="s">
        <v>1305</v>
      </c>
      <c r="P702" t="s">
        <v>1291</v>
      </c>
      <c r="Q702" t="s">
        <v>1294</v>
      </c>
      <c r="S702" t="s">
        <v>1294</v>
      </c>
      <c r="T702" t="s">
        <v>2630</v>
      </c>
      <c r="U702">
        <v>0</v>
      </c>
      <c r="V702" t="s">
        <v>1405</v>
      </c>
    </row>
    <row r="703" spans="1:22" ht="45" x14ac:dyDescent="0.25">
      <c r="A703" t="s">
        <v>1871</v>
      </c>
      <c r="B703" s="1" t="s">
        <v>1405</v>
      </c>
      <c r="C703" s="1" t="s">
        <v>1530</v>
      </c>
      <c r="D703" s="1" t="s">
        <v>1288</v>
      </c>
      <c r="E703" s="1" t="s">
        <v>1293</v>
      </c>
      <c r="F703" t="s">
        <v>2631</v>
      </c>
      <c r="G703" t="s">
        <v>1406</v>
      </c>
      <c r="H703" t="s">
        <v>1311</v>
      </c>
      <c r="I703" t="s">
        <v>1285</v>
      </c>
      <c r="J703" t="s">
        <v>1170</v>
      </c>
      <c r="K703" t="s">
        <v>1407</v>
      </c>
      <c r="L703" t="s">
        <v>1408</v>
      </c>
      <c r="M703" t="s">
        <v>1409</v>
      </c>
      <c r="N703" t="s">
        <v>1289</v>
      </c>
      <c r="O703" s="1" t="s">
        <v>1305</v>
      </c>
      <c r="P703" t="s">
        <v>1291</v>
      </c>
      <c r="Q703" t="s">
        <v>1294</v>
      </c>
      <c r="S703" t="s">
        <v>1294</v>
      </c>
      <c r="T703" t="s">
        <v>2632</v>
      </c>
      <c r="U703">
        <v>0</v>
      </c>
      <c r="V703" t="s">
        <v>1405</v>
      </c>
    </row>
    <row r="704" spans="1:22" ht="45" x14ac:dyDescent="0.25">
      <c r="A704" t="s">
        <v>1871</v>
      </c>
      <c r="B704" s="1" t="s">
        <v>1405</v>
      </c>
      <c r="C704" s="1" t="s">
        <v>1530</v>
      </c>
      <c r="D704" s="1" t="s">
        <v>1288</v>
      </c>
      <c r="E704" s="1" t="s">
        <v>1293</v>
      </c>
      <c r="F704" t="s">
        <v>2633</v>
      </c>
      <c r="G704" t="s">
        <v>1406</v>
      </c>
      <c r="H704" t="s">
        <v>1311</v>
      </c>
      <c r="I704" t="s">
        <v>1285</v>
      </c>
      <c r="J704" t="s">
        <v>1170</v>
      </c>
      <c r="K704" t="s">
        <v>1407</v>
      </c>
      <c r="L704" t="s">
        <v>1408</v>
      </c>
      <c r="M704" t="s">
        <v>1409</v>
      </c>
      <c r="N704" t="s">
        <v>1289</v>
      </c>
      <c r="O704" s="1" t="s">
        <v>1305</v>
      </c>
      <c r="P704" t="s">
        <v>1291</v>
      </c>
      <c r="Q704" t="s">
        <v>1294</v>
      </c>
      <c r="S704" t="s">
        <v>1294</v>
      </c>
      <c r="T704" t="s">
        <v>2634</v>
      </c>
      <c r="U704">
        <v>0</v>
      </c>
      <c r="V704" t="s">
        <v>1405</v>
      </c>
    </row>
    <row r="705" spans="1:22" ht="45" x14ac:dyDescent="0.25">
      <c r="A705" t="s">
        <v>1871</v>
      </c>
      <c r="B705" s="1" t="s">
        <v>1405</v>
      </c>
      <c r="C705" s="1" t="s">
        <v>1530</v>
      </c>
      <c r="D705" s="1" t="s">
        <v>1288</v>
      </c>
      <c r="E705" s="1" t="s">
        <v>1293</v>
      </c>
      <c r="F705" t="s">
        <v>2635</v>
      </c>
      <c r="G705" t="s">
        <v>1406</v>
      </c>
      <c r="H705" t="s">
        <v>1311</v>
      </c>
      <c r="I705" t="s">
        <v>1285</v>
      </c>
      <c r="J705" t="s">
        <v>1170</v>
      </c>
      <c r="K705" t="s">
        <v>1407</v>
      </c>
      <c r="L705" t="s">
        <v>1408</v>
      </c>
      <c r="M705" t="s">
        <v>1409</v>
      </c>
      <c r="N705" t="s">
        <v>1289</v>
      </c>
      <c r="O705" s="1" t="s">
        <v>1305</v>
      </c>
      <c r="P705" t="s">
        <v>1291</v>
      </c>
      <c r="Q705" t="s">
        <v>1294</v>
      </c>
      <c r="S705" t="s">
        <v>1294</v>
      </c>
      <c r="T705" t="s">
        <v>2636</v>
      </c>
      <c r="U705">
        <v>0</v>
      </c>
      <c r="V705" t="s">
        <v>1405</v>
      </c>
    </row>
    <row r="706" spans="1:22" ht="45" x14ac:dyDescent="0.25">
      <c r="A706" t="s">
        <v>1871</v>
      </c>
      <c r="B706" s="1" t="s">
        <v>1405</v>
      </c>
      <c r="C706" s="1" t="s">
        <v>1530</v>
      </c>
      <c r="D706" s="1" t="s">
        <v>1288</v>
      </c>
      <c r="E706" s="1" t="s">
        <v>1293</v>
      </c>
      <c r="F706" t="s">
        <v>2649</v>
      </c>
      <c r="G706" t="s">
        <v>1406</v>
      </c>
      <c r="H706" t="s">
        <v>1311</v>
      </c>
      <c r="I706" t="s">
        <v>1285</v>
      </c>
      <c r="J706" t="s">
        <v>1170</v>
      </c>
      <c r="K706" t="s">
        <v>1407</v>
      </c>
      <c r="L706" t="s">
        <v>1408</v>
      </c>
      <c r="M706" t="s">
        <v>1409</v>
      </c>
      <c r="N706" t="s">
        <v>1289</v>
      </c>
      <c r="O706" s="1" t="s">
        <v>1305</v>
      </c>
      <c r="P706" t="s">
        <v>1291</v>
      </c>
      <c r="Q706" t="s">
        <v>1294</v>
      </c>
      <c r="S706" t="s">
        <v>1294</v>
      </c>
      <c r="T706" t="s">
        <v>2650</v>
      </c>
      <c r="U706">
        <v>0</v>
      </c>
      <c r="V706" t="s">
        <v>1405</v>
      </c>
    </row>
    <row r="707" spans="1:22" ht="45" x14ac:dyDescent="0.25">
      <c r="A707" t="s">
        <v>1871</v>
      </c>
      <c r="B707" s="1" t="s">
        <v>1405</v>
      </c>
      <c r="C707" s="1" t="s">
        <v>1530</v>
      </c>
      <c r="D707" s="1" t="s">
        <v>1288</v>
      </c>
      <c r="E707" s="1" t="s">
        <v>1649</v>
      </c>
      <c r="F707" t="s">
        <v>2690</v>
      </c>
      <c r="G707" t="s">
        <v>1406</v>
      </c>
      <c r="H707" t="s">
        <v>1311</v>
      </c>
      <c r="I707" t="s">
        <v>1285</v>
      </c>
      <c r="J707" t="s">
        <v>1170</v>
      </c>
      <c r="K707" t="s">
        <v>1407</v>
      </c>
      <c r="L707" t="s">
        <v>1408</v>
      </c>
      <c r="M707" t="s">
        <v>1409</v>
      </c>
      <c r="N707" t="s">
        <v>1289</v>
      </c>
      <c r="O707" s="1" t="s">
        <v>1305</v>
      </c>
      <c r="P707" t="s">
        <v>1291</v>
      </c>
      <c r="Q707" t="s">
        <v>1294</v>
      </c>
      <c r="S707" t="s">
        <v>1294</v>
      </c>
      <c r="T707" t="s">
        <v>2691</v>
      </c>
      <c r="U707">
        <v>0</v>
      </c>
      <c r="V707" t="s">
        <v>1405</v>
      </c>
    </row>
    <row r="708" spans="1:22" ht="45" x14ac:dyDescent="0.25">
      <c r="A708" t="s">
        <v>1871</v>
      </c>
      <c r="B708" s="1" t="s">
        <v>1405</v>
      </c>
      <c r="C708" s="1" t="s">
        <v>1530</v>
      </c>
      <c r="D708" s="1" t="s">
        <v>1288</v>
      </c>
      <c r="E708" s="1" t="s">
        <v>1649</v>
      </c>
      <c r="F708" t="s">
        <v>2692</v>
      </c>
      <c r="G708" t="s">
        <v>1406</v>
      </c>
      <c r="H708" t="s">
        <v>1311</v>
      </c>
      <c r="I708" t="s">
        <v>1285</v>
      </c>
      <c r="J708" t="s">
        <v>1170</v>
      </c>
      <c r="K708" t="s">
        <v>1407</v>
      </c>
      <c r="L708" t="s">
        <v>1408</v>
      </c>
      <c r="M708" t="s">
        <v>1409</v>
      </c>
      <c r="N708" t="s">
        <v>1289</v>
      </c>
      <c r="O708" s="1" t="s">
        <v>1305</v>
      </c>
      <c r="P708" t="s">
        <v>1291</v>
      </c>
      <c r="Q708" t="s">
        <v>1294</v>
      </c>
      <c r="S708" t="s">
        <v>1294</v>
      </c>
      <c r="T708" t="s">
        <v>2693</v>
      </c>
      <c r="U708">
        <v>0</v>
      </c>
      <c r="V708" t="s">
        <v>1405</v>
      </c>
    </row>
    <row r="709" spans="1:22" ht="45" x14ac:dyDescent="0.25">
      <c r="A709" t="s">
        <v>1871</v>
      </c>
      <c r="B709" s="1" t="s">
        <v>1405</v>
      </c>
      <c r="C709" s="1" t="s">
        <v>1530</v>
      </c>
      <c r="D709" s="1" t="s">
        <v>1288</v>
      </c>
      <c r="E709" s="1" t="s">
        <v>1649</v>
      </c>
      <c r="F709" t="s">
        <v>2694</v>
      </c>
      <c r="G709" t="s">
        <v>1406</v>
      </c>
      <c r="H709" t="s">
        <v>1311</v>
      </c>
      <c r="I709" t="s">
        <v>1285</v>
      </c>
      <c r="J709" t="s">
        <v>1170</v>
      </c>
      <c r="K709" t="s">
        <v>1407</v>
      </c>
      <c r="L709" t="s">
        <v>1408</v>
      </c>
      <c r="M709" t="s">
        <v>1409</v>
      </c>
      <c r="N709" t="s">
        <v>1289</v>
      </c>
      <c r="O709" s="1" t="s">
        <v>1305</v>
      </c>
      <c r="P709" t="s">
        <v>1291</v>
      </c>
      <c r="Q709" t="s">
        <v>1294</v>
      </c>
      <c r="S709" t="s">
        <v>1294</v>
      </c>
      <c r="T709" t="s">
        <v>2695</v>
      </c>
      <c r="U709">
        <v>0</v>
      </c>
      <c r="V709" t="s">
        <v>1405</v>
      </c>
    </row>
    <row r="710" spans="1:22" ht="45" x14ac:dyDescent="0.25">
      <c r="A710" t="s">
        <v>1871</v>
      </c>
      <c r="B710" s="1" t="s">
        <v>1405</v>
      </c>
      <c r="C710" s="1" t="s">
        <v>1530</v>
      </c>
      <c r="D710" s="1" t="s">
        <v>1288</v>
      </c>
      <c r="E710" s="1" t="s">
        <v>1649</v>
      </c>
      <c r="F710" t="s">
        <v>2702</v>
      </c>
      <c r="G710" t="s">
        <v>1406</v>
      </c>
      <c r="H710" t="s">
        <v>1311</v>
      </c>
      <c r="I710" t="s">
        <v>1285</v>
      </c>
      <c r="J710" t="s">
        <v>1170</v>
      </c>
      <c r="K710" t="s">
        <v>1407</v>
      </c>
      <c r="L710" t="s">
        <v>1408</v>
      </c>
      <c r="M710" t="s">
        <v>1409</v>
      </c>
      <c r="N710" t="s">
        <v>1289</v>
      </c>
      <c r="O710" s="1" t="s">
        <v>1305</v>
      </c>
      <c r="P710" t="s">
        <v>1291</v>
      </c>
      <c r="Q710" t="s">
        <v>1294</v>
      </c>
      <c r="S710" t="s">
        <v>1294</v>
      </c>
      <c r="T710" t="s">
        <v>2703</v>
      </c>
      <c r="U710">
        <v>0</v>
      </c>
      <c r="V710" t="s">
        <v>1405</v>
      </c>
    </row>
    <row r="711" spans="1:22" ht="45" x14ac:dyDescent="0.25">
      <c r="A711" t="s">
        <v>1871</v>
      </c>
      <c r="B711" s="1" t="s">
        <v>1405</v>
      </c>
      <c r="C711" s="1" t="s">
        <v>1530</v>
      </c>
      <c r="D711" s="1" t="s">
        <v>1288</v>
      </c>
      <c r="E711" s="1" t="s">
        <v>1649</v>
      </c>
      <c r="F711" t="s">
        <v>2706</v>
      </c>
      <c r="G711" t="s">
        <v>1406</v>
      </c>
      <c r="H711" t="s">
        <v>1311</v>
      </c>
      <c r="I711" t="s">
        <v>1285</v>
      </c>
      <c r="J711" t="s">
        <v>1170</v>
      </c>
      <c r="K711" t="s">
        <v>1407</v>
      </c>
      <c r="L711" t="s">
        <v>1408</v>
      </c>
      <c r="M711" t="s">
        <v>1409</v>
      </c>
      <c r="N711" t="s">
        <v>1289</v>
      </c>
      <c r="O711" s="1" t="s">
        <v>1305</v>
      </c>
      <c r="P711" t="s">
        <v>1291</v>
      </c>
      <c r="Q711" t="s">
        <v>1294</v>
      </c>
      <c r="S711" t="s">
        <v>1294</v>
      </c>
      <c r="T711" t="s">
        <v>2707</v>
      </c>
      <c r="U711">
        <v>0</v>
      </c>
      <c r="V711" t="s">
        <v>1405</v>
      </c>
    </row>
    <row r="712" spans="1:22" ht="45" x14ac:dyDescent="0.25">
      <c r="A712" t="s">
        <v>1871</v>
      </c>
      <c r="B712" s="1" t="s">
        <v>1405</v>
      </c>
      <c r="C712" s="1" t="s">
        <v>1530</v>
      </c>
      <c r="D712" s="1" t="s">
        <v>1288</v>
      </c>
      <c r="E712" s="1" t="s">
        <v>1649</v>
      </c>
      <c r="F712" t="s">
        <v>2708</v>
      </c>
      <c r="G712" t="s">
        <v>1406</v>
      </c>
      <c r="H712" t="s">
        <v>1311</v>
      </c>
      <c r="I712" t="s">
        <v>1285</v>
      </c>
      <c r="J712" t="s">
        <v>1170</v>
      </c>
      <c r="K712" t="s">
        <v>1407</v>
      </c>
      <c r="L712" t="s">
        <v>1408</v>
      </c>
      <c r="M712" t="s">
        <v>1409</v>
      </c>
      <c r="N712" t="s">
        <v>1289</v>
      </c>
      <c r="O712" s="1" t="s">
        <v>1305</v>
      </c>
      <c r="P712" t="s">
        <v>1291</v>
      </c>
      <c r="Q712" t="s">
        <v>1294</v>
      </c>
      <c r="S712" t="s">
        <v>1294</v>
      </c>
      <c r="T712" t="s">
        <v>2709</v>
      </c>
      <c r="U712">
        <v>0</v>
      </c>
      <c r="V712" t="s">
        <v>1405</v>
      </c>
    </row>
    <row r="713" spans="1:22" ht="45" x14ac:dyDescent="0.25">
      <c r="A713" t="s">
        <v>1871</v>
      </c>
      <c r="B713" s="1" t="s">
        <v>1405</v>
      </c>
      <c r="C713" s="1" t="s">
        <v>1530</v>
      </c>
      <c r="D713" s="1" t="s">
        <v>1288</v>
      </c>
      <c r="E713" s="1" t="s">
        <v>1649</v>
      </c>
      <c r="F713" t="s">
        <v>2710</v>
      </c>
      <c r="G713" t="s">
        <v>1406</v>
      </c>
      <c r="H713" t="s">
        <v>1311</v>
      </c>
      <c r="I713" t="s">
        <v>1285</v>
      </c>
      <c r="J713" t="s">
        <v>1170</v>
      </c>
      <c r="K713" t="s">
        <v>1407</v>
      </c>
      <c r="L713" t="s">
        <v>1408</v>
      </c>
      <c r="M713" t="s">
        <v>1409</v>
      </c>
      <c r="N713" t="s">
        <v>1289</v>
      </c>
      <c r="O713" s="1" t="s">
        <v>1305</v>
      </c>
      <c r="P713" t="s">
        <v>1291</v>
      </c>
      <c r="Q713" t="s">
        <v>1294</v>
      </c>
      <c r="S713" t="s">
        <v>1294</v>
      </c>
      <c r="T713" t="s">
        <v>2711</v>
      </c>
      <c r="U713">
        <v>0</v>
      </c>
      <c r="V713" t="s">
        <v>1405</v>
      </c>
    </row>
    <row r="714" spans="1:22" ht="45" x14ac:dyDescent="0.25">
      <c r="A714" t="s">
        <v>1871</v>
      </c>
      <c r="B714" s="1" t="s">
        <v>1405</v>
      </c>
      <c r="C714" s="1" t="s">
        <v>1530</v>
      </c>
      <c r="D714" s="1" t="s">
        <v>1288</v>
      </c>
      <c r="E714" s="1" t="s">
        <v>1649</v>
      </c>
      <c r="F714" t="s">
        <v>2712</v>
      </c>
      <c r="G714" t="s">
        <v>1406</v>
      </c>
      <c r="H714" t="s">
        <v>1311</v>
      </c>
      <c r="I714" t="s">
        <v>1285</v>
      </c>
      <c r="J714" t="s">
        <v>1170</v>
      </c>
      <c r="K714" t="s">
        <v>1407</v>
      </c>
      <c r="L714" t="s">
        <v>1408</v>
      </c>
      <c r="M714" t="s">
        <v>1409</v>
      </c>
      <c r="N714" t="s">
        <v>1289</v>
      </c>
      <c r="O714" s="1" t="s">
        <v>1305</v>
      </c>
      <c r="P714" t="s">
        <v>1291</v>
      </c>
      <c r="Q714" t="s">
        <v>1294</v>
      </c>
      <c r="S714" t="s">
        <v>1294</v>
      </c>
      <c r="T714" t="s">
        <v>2713</v>
      </c>
      <c r="U714">
        <v>0</v>
      </c>
      <c r="V714" t="s">
        <v>1405</v>
      </c>
    </row>
    <row r="715" spans="1:22" ht="45" x14ac:dyDescent="0.25">
      <c r="A715" t="s">
        <v>1871</v>
      </c>
      <c r="B715" s="1" t="s">
        <v>1405</v>
      </c>
      <c r="C715" s="1" t="s">
        <v>1530</v>
      </c>
      <c r="D715" s="1" t="s">
        <v>1288</v>
      </c>
      <c r="E715" s="1" t="s">
        <v>1649</v>
      </c>
      <c r="F715" t="s">
        <v>2714</v>
      </c>
      <c r="G715" t="s">
        <v>1406</v>
      </c>
      <c r="H715" t="s">
        <v>1311</v>
      </c>
      <c r="I715" t="s">
        <v>1285</v>
      </c>
      <c r="J715" t="s">
        <v>1170</v>
      </c>
      <c r="K715" t="s">
        <v>1407</v>
      </c>
      <c r="L715" t="s">
        <v>1408</v>
      </c>
      <c r="M715" t="s">
        <v>1409</v>
      </c>
      <c r="N715" t="s">
        <v>1289</v>
      </c>
      <c r="O715" s="1" t="s">
        <v>1305</v>
      </c>
      <c r="P715" t="s">
        <v>1291</v>
      </c>
      <c r="Q715" t="s">
        <v>1294</v>
      </c>
      <c r="S715" t="s">
        <v>1294</v>
      </c>
      <c r="T715" t="s">
        <v>2715</v>
      </c>
      <c r="U715">
        <v>0</v>
      </c>
      <c r="V715" t="s">
        <v>1405</v>
      </c>
    </row>
    <row r="716" spans="1:22" ht="45" x14ac:dyDescent="0.25">
      <c r="A716" t="s">
        <v>1871</v>
      </c>
      <c r="B716" s="1" t="s">
        <v>1405</v>
      </c>
      <c r="C716" s="1" t="s">
        <v>1530</v>
      </c>
      <c r="D716" s="1" t="s">
        <v>1288</v>
      </c>
      <c r="E716" s="1" t="s">
        <v>1649</v>
      </c>
      <c r="F716" t="s">
        <v>2716</v>
      </c>
      <c r="G716" t="s">
        <v>1406</v>
      </c>
      <c r="H716" t="s">
        <v>1311</v>
      </c>
      <c r="I716" t="s">
        <v>1285</v>
      </c>
      <c r="J716" t="s">
        <v>1170</v>
      </c>
      <c r="K716" t="s">
        <v>1407</v>
      </c>
      <c r="L716" t="s">
        <v>1408</v>
      </c>
      <c r="M716" t="s">
        <v>1409</v>
      </c>
      <c r="N716" t="s">
        <v>1289</v>
      </c>
      <c r="O716" s="1" t="s">
        <v>1305</v>
      </c>
      <c r="P716" t="s">
        <v>1291</v>
      </c>
      <c r="Q716" t="s">
        <v>1294</v>
      </c>
      <c r="S716" t="s">
        <v>1294</v>
      </c>
      <c r="T716" t="s">
        <v>2717</v>
      </c>
      <c r="U716">
        <v>0</v>
      </c>
      <c r="V716" t="s">
        <v>1405</v>
      </c>
    </row>
    <row r="717" spans="1:22" ht="45" x14ac:dyDescent="0.25">
      <c r="A717" t="s">
        <v>1871</v>
      </c>
      <c r="B717" s="1" t="s">
        <v>1405</v>
      </c>
      <c r="C717" s="1" t="s">
        <v>1530</v>
      </c>
      <c r="D717" s="1" t="s">
        <v>1288</v>
      </c>
      <c r="E717" s="1" t="s">
        <v>1649</v>
      </c>
      <c r="F717" t="s">
        <v>2718</v>
      </c>
      <c r="G717" t="s">
        <v>1406</v>
      </c>
      <c r="H717" t="s">
        <v>1311</v>
      </c>
      <c r="I717" t="s">
        <v>1285</v>
      </c>
      <c r="J717" t="s">
        <v>1170</v>
      </c>
      <c r="K717" t="s">
        <v>1407</v>
      </c>
      <c r="L717" t="s">
        <v>1408</v>
      </c>
      <c r="M717" t="s">
        <v>1409</v>
      </c>
      <c r="N717" t="s">
        <v>1289</v>
      </c>
      <c r="O717" s="1" t="s">
        <v>1305</v>
      </c>
      <c r="P717" t="s">
        <v>1291</v>
      </c>
      <c r="Q717" t="s">
        <v>1294</v>
      </c>
      <c r="S717" t="s">
        <v>1294</v>
      </c>
      <c r="T717" t="s">
        <v>2719</v>
      </c>
      <c r="U717">
        <v>0</v>
      </c>
      <c r="V717" t="s">
        <v>1405</v>
      </c>
    </row>
    <row r="718" spans="1:22" ht="45" x14ac:dyDescent="0.25">
      <c r="A718" t="s">
        <v>1871</v>
      </c>
      <c r="B718" s="1" t="s">
        <v>1405</v>
      </c>
      <c r="C718" s="1" t="s">
        <v>1530</v>
      </c>
      <c r="D718" s="1" t="s">
        <v>1288</v>
      </c>
      <c r="E718" s="1" t="s">
        <v>1649</v>
      </c>
      <c r="F718" t="s">
        <v>2720</v>
      </c>
      <c r="G718" t="s">
        <v>1406</v>
      </c>
      <c r="H718" t="s">
        <v>1311</v>
      </c>
      <c r="I718" t="s">
        <v>1285</v>
      </c>
      <c r="J718" t="s">
        <v>1170</v>
      </c>
      <c r="K718" t="s">
        <v>1407</v>
      </c>
      <c r="L718" t="s">
        <v>1408</v>
      </c>
      <c r="M718" t="s">
        <v>1409</v>
      </c>
      <c r="N718" t="s">
        <v>1289</v>
      </c>
      <c r="O718" s="1" t="s">
        <v>1305</v>
      </c>
      <c r="P718" t="s">
        <v>1291</v>
      </c>
      <c r="Q718" t="s">
        <v>1294</v>
      </c>
      <c r="S718" t="s">
        <v>1294</v>
      </c>
      <c r="T718" t="s">
        <v>2721</v>
      </c>
      <c r="U718">
        <v>0</v>
      </c>
      <c r="V718" t="s">
        <v>1405</v>
      </c>
    </row>
    <row r="719" spans="1:22" ht="45" x14ac:dyDescent="0.25">
      <c r="A719" t="s">
        <v>1871</v>
      </c>
      <c r="B719" s="1" t="s">
        <v>1405</v>
      </c>
      <c r="C719" s="1" t="s">
        <v>1530</v>
      </c>
      <c r="D719" s="1" t="s">
        <v>1288</v>
      </c>
      <c r="E719" s="1" t="s">
        <v>1649</v>
      </c>
      <c r="F719" t="s">
        <v>2722</v>
      </c>
      <c r="G719" t="s">
        <v>1406</v>
      </c>
      <c r="H719" t="s">
        <v>1311</v>
      </c>
      <c r="I719" t="s">
        <v>1285</v>
      </c>
      <c r="J719" t="s">
        <v>1170</v>
      </c>
      <c r="K719" t="s">
        <v>1407</v>
      </c>
      <c r="L719" t="s">
        <v>1408</v>
      </c>
      <c r="M719" t="s">
        <v>1409</v>
      </c>
      <c r="N719" t="s">
        <v>1289</v>
      </c>
      <c r="O719" s="1" t="s">
        <v>1305</v>
      </c>
      <c r="P719" t="s">
        <v>1291</v>
      </c>
      <c r="Q719" t="s">
        <v>1294</v>
      </c>
      <c r="S719" t="s">
        <v>1294</v>
      </c>
      <c r="T719" t="s">
        <v>2723</v>
      </c>
      <c r="U719">
        <v>0</v>
      </c>
      <c r="V719" t="s">
        <v>1405</v>
      </c>
    </row>
    <row r="720" spans="1:22" ht="45" x14ac:dyDescent="0.25">
      <c r="A720" t="s">
        <v>1871</v>
      </c>
      <c r="B720" s="1" t="s">
        <v>1405</v>
      </c>
      <c r="C720" s="1" t="s">
        <v>1530</v>
      </c>
      <c r="D720" s="1" t="s">
        <v>1288</v>
      </c>
      <c r="E720" s="1" t="s">
        <v>1649</v>
      </c>
      <c r="F720" t="s">
        <v>2724</v>
      </c>
      <c r="G720" t="s">
        <v>1406</v>
      </c>
      <c r="H720" t="s">
        <v>1311</v>
      </c>
      <c r="I720" t="s">
        <v>1285</v>
      </c>
      <c r="J720" t="s">
        <v>1170</v>
      </c>
      <c r="K720" t="s">
        <v>1407</v>
      </c>
      <c r="L720" t="s">
        <v>1408</v>
      </c>
      <c r="M720" t="s">
        <v>1409</v>
      </c>
      <c r="N720" t="s">
        <v>1289</v>
      </c>
      <c r="O720" s="1" t="s">
        <v>1305</v>
      </c>
      <c r="P720" t="s">
        <v>1291</v>
      </c>
      <c r="Q720" t="s">
        <v>1294</v>
      </c>
      <c r="S720" t="s">
        <v>1294</v>
      </c>
      <c r="T720" t="s">
        <v>2725</v>
      </c>
      <c r="U720">
        <v>0</v>
      </c>
      <c r="V720" t="s">
        <v>1405</v>
      </c>
    </row>
    <row r="721" spans="1:22" ht="45" x14ac:dyDescent="0.25">
      <c r="A721" t="s">
        <v>1871</v>
      </c>
      <c r="B721" s="1" t="s">
        <v>1405</v>
      </c>
      <c r="C721" s="1" t="s">
        <v>1530</v>
      </c>
      <c r="D721" s="1" t="s">
        <v>1288</v>
      </c>
      <c r="E721" s="1" t="s">
        <v>1649</v>
      </c>
      <c r="F721" t="s">
        <v>2726</v>
      </c>
      <c r="G721" t="s">
        <v>1406</v>
      </c>
      <c r="H721" t="s">
        <v>1311</v>
      </c>
      <c r="I721" t="s">
        <v>1285</v>
      </c>
      <c r="J721" t="s">
        <v>1170</v>
      </c>
      <c r="K721" t="s">
        <v>1407</v>
      </c>
      <c r="L721" t="s">
        <v>1408</v>
      </c>
      <c r="M721" t="s">
        <v>1409</v>
      </c>
      <c r="N721" t="s">
        <v>1289</v>
      </c>
      <c r="O721" s="1" t="s">
        <v>1305</v>
      </c>
      <c r="P721" t="s">
        <v>1291</v>
      </c>
      <c r="Q721" t="s">
        <v>1294</v>
      </c>
      <c r="S721" t="s">
        <v>1294</v>
      </c>
      <c r="T721" t="s">
        <v>2727</v>
      </c>
      <c r="U721">
        <v>0</v>
      </c>
      <c r="V721" t="s">
        <v>1405</v>
      </c>
    </row>
    <row r="722" spans="1:22" ht="45" x14ac:dyDescent="0.25">
      <c r="A722" t="s">
        <v>1871</v>
      </c>
      <c r="B722" s="1" t="s">
        <v>1405</v>
      </c>
      <c r="C722" s="1" t="s">
        <v>1530</v>
      </c>
      <c r="D722" s="1" t="s">
        <v>1288</v>
      </c>
      <c r="E722" s="1" t="s">
        <v>1649</v>
      </c>
      <c r="F722" t="s">
        <v>2728</v>
      </c>
      <c r="G722" t="s">
        <v>1406</v>
      </c>
      <c r="H722" t="s">
        <v>1311</v>
      </c>
      <c r="I722" t="s">
        <v>1285</v>
      </c>
      <c r="J722" t="s">
        <v>1170</v>
      </c>
      <c r="K722" t="s">
        <v>1407</v>
      </c>
      <c r="L722" t="s">
        <v>1408</v>
      </c>
      <c r="M722" t="s">
        <v>1409</v>
      </c>
      <c r="N722" t="s">
        <v>1289</v>
      </c>
      <c r="O722" s="1" t="s">
        <v>1305</v>
      </c>
      <c r="P722" t="s">
        <v>1291</v>
      </c>
      <c r="Q722" t="s">
        <v>1294</v>
      </c>
      <c r="S722" t="s">
        <v>1294</v>
      </c>
      <c r="T722" t="s">
        <v>2729</v>
      </c>
      <c r="U722">
        <v>0</v>
      </c>
      <c r="V722" t="s">
        <v>1405</v>
      </c>
    </row>
    <row r="723" spans="1:22" ht="45" x14ac:dyDescent="0.25">
      <c r="A723" t="s">
        <v>1871</v>
      </c>
      <c r="B723" s="1" t="s">
        <v>1405</v>
      </c>
      <c r="C723" s="1" t="s">
        <v>1530</v>
      </c>
      <c r="D723" s="1" t="s">
        <v>1288</v>
      </c>
      <c r="E723" s="1" t="s">
        <v>1649</v>
      </c>
      <c r="F723" t="s">
        <v>2730</v>
      </c>
      <c r="G723" t="s">
        <v>1406</v>
      </c>
      <c r="H723" t="s">
        <v>1311</v>
      </c>
      <c r="I723" t="s">
        <v>1285</v>
      </c>
      <c r="J723" t="s">
        <v>1170</v>
      </c>
      <c r="K723" t="s">
        <v>1407</v>
      </c>
      <c r="L723" t="s">
        <v>1408</v>
      </c>
      <c r="M723" t="s">
        <v>1409</v>
      </c>
      <c r="N723" t="s">
        <v>1289</v>
      </c>
      <c r="O723" s="1" t="s">
        <v>1305</v>
      </c>
      <c r="P723" t="s">
        <v>1291</v>
      </c>
      <c r="Q723" t="s">
        <v>1294</v>
      </c>
      <c r="S723" t="s">
        <v>1294</v>
      </c>
      <c r="T723" t="s">
        <v>2731</v>
      </c>
      <c r="U723">
        <v>0</v>
      </c>
      <c r="V723" t="s">
        <v>1405</v>
      </c>
    </row>
    <row r="724" spans="1:22" ht="45" x14ac:dyDescent="0.25">
      <c r="A724" t="s">
        <v>1871</v>
      </c>
      <c r="B724" s="1" t="s">
        <v>1405</v>
      </c>
      <c r="C724" s="1" t="s">
        <v>1530</v>
      </c>
      <c r="D724" s="1" t="s">
        <v>1288</v>
      </c>
      <c r="E724" s="1" t="s">
        <v>1649</v>
      </c>
      <c r="F724" t="s">
        <v>2732</v>
      </c>
      <c r="G724" t="s">
        <v>1406</v>
      </c>
      <c r="H724" t="s">
        <v>1311</v>
      </c>
      <c r="I724" t="s">
        <v>1285</v>
      </c>
      <c r="J724" t="s">
        <v>1170</v>
      </c>
      <c r="K724" t="s">
        <v>1407</v>
      </c>
      <c r="L724" t="s">
        <v>1408</v>
      </c>
      <c r="M724" t="s">
        <v>1409</v>
      </c>
      <c r="N724" t="s">
        <v>1289</v>
      </c>
      <c r="O724" s="1" t="s">
        <v>1305</v>
      </c>
      <c r="P724" t="s">
        <v>1291</v>
      </c>
      <c r="Q724" t="s">
        <v>1294</v>
      </c>
      <c r="S724" t="s">
        <v>1294</v>
      </c>
      <c r="T724" t="s">
        <v>2733</v>
      </c>
      <c r="U724">
        <v>0</v>
      </c>
      <c r="V724" t="s">
        <v>1405</v>
      </c>
    </row>
    <row r="725" spans="1:22" ht="45" x14ac:dyDescent="0.25">
      <c r="A725" t="s">
        <v>1871</v>
      </c>
      <c r="B725" s="1" t="s">
        <v>1405</v>
      </c>
      <c r="C725" s="1" t="s">
        <v>1530</v>
      </c>
      <c r="D725" s="1" t="s">
        <v>1288</v>
      </c>
      <c r="E725" s="1" t="s">
        <v>1649</v>
      </c>
      <c r="F725" t="s">
        <v>2734</v>
      </c>
      <c r="G725" t="s">
        <v>1406</v>
      </c>
      <c r="H725" t="s">
        <v>1311</v>
      </c>
      <c r="I725" t="s">
        <v>1285</v>
      </c>
      <c r="J725" t="s">
        <v>1170</v>
      </c>
      <c r="K725" t="s">
        <v>1407</v>
      </c>
      <c r="L725" t="s">
        <v>1408</v>
      </c>
      <c r="M725" t="s">
        <v>1409</v>
      </c>
      <c r="N725" t="s">
        <v>1289</v>
      </c>
      <c r="O725" s="1" t="s">
        <v>1305</v>
      </c>
      <c r="P725" t="s">
        <v>1291</v>
      </c>
      <c r="Q725" t="s">
        <v>1294</v>
      </c>
      <c r="S725" t="s">
        <v>1294</v>
      </c>
      <c r="T725" t="s">
        <v>2735</v>
      </c>
      <c r="U725">
        <v>0</v>
      </c>
      <c r="V725" t="s">
        <v>1405</v>
      </c>
    </row>
    <row r="726" spans="1:22" ht="45" x14ac:dyDescent="0.25">
      <c r="A726" t="s">
        <v>1871</v>
      </c>
      <c r="B726" s="1" t="s">
        <v>1405</v>
      </c>
      <c r="C726" s="1" t="s">
        <v>1530</v>
      </c>
      <c r="D726" s="1" t="s">
        <v>1288</v>
      </c>
      <c r="E726" s="1" t="s">
        <v>1649</v>
      </c>
      <c r="F726" t="s">
        <v>2736</v>
      </c>
      <c r="G726" t="s">
        <v>1406</v>
      </c>
      <c r="H726" t="s">
        <v>1311</v>
      </c>
      <c r="I726" t="s">
        <v>1285</v>
      </c>
      <c r="J726" t="s">
        <v>1170</v>
      </c>
      <c r="K726" t="s">
        <v>1407</v>
      </c>
      <c r="L726" t="s">
        <v>1408</v>
      </c>
      <c r="M726" t="s">
        <v>1409</v>
      </c>
      <c r="N726" t="s">
        <v>1289</v>
      </c>
      <c r="O726" s="1" t="s">
        <v>1305</v>
      </c>
      <c r="P726" t="s">
        <v>1291</v>
      </c>
      <c r="Q726" t="s">
        <v>1294</v>
      </c>
      <c r="S726" t="s">
        <v>1294</v>
      </c>
      <c r="T726" t="s">
        <v>2737</v>
      </c>
      <c r="U726">
        <v>0</v>
      </c>
      <c r="V726" t="s">
        <v>1405</v>
      </c>
    </row>
    <row r="727" spans="1:22" ht="45" x14ac:dyDescent="0.25">
      <c r="A727" t="s">
        <v>1871</v>
      </c>
      <c r="B727" s="1" t="s">
        <v>1405</v>
      </c>
      <c r="C727" s="1" t="s">
        <v>1530</v>
      </c>
      <c r="D727" s="1" t="s">
        <v>1288</v>
      </c>
      <c r="E727" s="1" t="s">
        <v>1649</v>
      </c>
      <c r="F727" t="s">
        <v>2738</v>
      </c>
      <c r="G727" t="s">
        <v>1406</v>
      </c>
      <c r="H727" t="s">
        <v>1311</v>
      </c>
      <c r="I727" t="s">
        <v>1285</v>
      </c>
      <c r="J727" t="s">
        <v>1170</v>
      </c>
      <c r="K727" t="s">
        <v>1407</v>
      </c>
      <c r="L727" t="s">
        <v>1408</v>
      </c>
      <c r="M727" t="s">
        <v>1409</v>
      </c>
      <c r="N727" t="s">
        <v>1289</v>
      </c>
      <c r="O727" s="1" t="s">
        <v>1305</v>
      </c>
      <c r="P727" t="s">
        <v>1291</v>
      </c>
      <c r="Q727" t="s">
        <v>1294</v>
      </c>
      <c r="S727" t="s">
        <v>1294</v>
      </c>
      <c r="T727" t="s">
        <v>2739</v>
      </c>
      <c r="U727">
        <v>0</v>
      </c>
      <c r="V727" t="s">
        <v>1405</v>
      </c>
    </row>
    <row r="728" spans="1:22" ht="45" x14ac:dyDescent="0.25">
      <c r="A728" t="s">
        <v>1871</v>
      </c>
      <c r="B728" s="1" t="s">
        <v>1405</v>
      </c>
      <c r="C728" s="1" t="s">
        <v>1530</v>
      </c>
      <c r="D728" s="1" t="s">
        <v>1288</v>
      </c>
      <c r="E728" s="1" t="s">
        <v>1649</v>
      </c>
      <c r="F728" t="s">
        <v>2740</v>
      </c>
      <c r="G728" t="s">
        <v>1406</v>
      </c>
      <c r="H728" t="s">
        <v>1311</v>
      </c>
      <c r="I728" t="s">
        <v>1285</v>
      </c>
      <c r="J728" t="s">
        <v>1170</v>
      </c>
      <c r="K728" t="s">
        <v>1407</v>
      </c>
      <c r="L728" t="s">
        <v>1408</v>
      </c>
      <c r="M728" t="s">
        <v>1409</v>
      </c>
      <c r="N728" t="s">
        <v>1289</v>
      </c>
      <c r="O728" s="1" t="s">
        <v>1305</v>
      </c>
      <c r="P728" t="s">
        <v>1291</v>
      </c>
      <c r="Q728" t="s">
        <v>1294</v>
      </c>
      <c r="S728" t="s">
        <v>1294</v>
      </c>
      <c r="T728" t="s">
        <v>2741</v>
      </c>
      <c r="U728">
        <v>0</v>
      </c>
      <c r="V728" t="s">
        <v>1405</v>
      </c>
    </row>
    <row r="729" spans="1:22" ht="45" x14ac:dyDescent="0.25">
      <c r="A729" t="s">
        <v>1871</v>
      </c>
      <c r="B729" s="1" t="s">
        <v>1405</v>
      </c>
      <c r="C729" s="1" t="s">
        <v>1530</v>
      </c>
      <c r="D729" s="1" t="s">
        <v>1288</v>
      </c>
      <c r="E729" s="1" t="s">
        <v>1649</v>
      </c>
      <c r="F729" t="s">
        <v>2742</v>
      </c>
      <c r="G729" t="s">
        <v>1406</v>
      </c>
      <c r="H729" t="s">
        <v>1311</v>
      </c>
      <c r="I729" t="s">
        <v>1285</v>
      </c>
      <c r="J729" t="s">
        <v>1170</v>
      </c>
      <c r="K729" t="s">
        <v>1407</v>
      </c>
      <c r="L729" t="s">
        <v>1408</v>
      </c>
      <c r="M729" t="s">
        <v>1409</v>
      </c>
      <c r="N729" t="s">
        <v>1289</v>
      </c>
      <c r="O729" s="1" t="s">
        <v>1305</v>
      </c>
      <c r="P729" t="s">
        <v>1291</v>
      </c>
      <c r="Q729" t="s">
        <v>1294</v>
      </c>
      <c r="S729" t="s">
        <v>1294</v>
      </c>
      <c r="T729" t="s">
        <v>2743</v>
      </c>
      <c r="U729">
        <v>0</v>
      </c>
      <c r="V729" t="s">
        <v>1405</v>
      </c>
    </row>
    <row r="730" spans="1:22" ht="45" x14ac:dyDescent="0.25">
      <c r="A730" t="s">
        <v>1871</v>
      </c>
      <c r="B730" s="1" t="s">
        <v>1405</v>
      </c>
      <c r="C730" s="1" t="s">
        <v>1530</v>
      </c>
      <c r="D730" s="1" t="s">
        <v>1288</v>
      </c>
      <c r="E730" s="1" t="s">
        <v>1649</v>
      </c>
      <c r="F730" t="s">
        <v>2744</v>
      </c>
      <c r="G730" t="s">
        <v>1406</v>
      </c>
      <c r="H730" t="s">
        <v>1311</v>
      </c>
      <c r="I730" t="s">
        <v>1285</v>
      </c>
      <c r="J730" t="s">
        <v>1170</v>
      </c>
      <c r="K730" t="s">
        <v>1407</v>
      </c>
      <c r="L730" t="s">
        <v>1408</v>
      </c>
      <c r="M730" t="s">
        <v>1409</v>
      </c>
      <c r="N730" t="s">
        <v>1289</v>
      </c>
      <c r="O730" s="1" t="s">
        <v>1305</v>
      </c>
      <c r="P730" t="s">
        <v>1291</v>
      </c>
      <c r="Q730" t="s">
        <v>1294</v>
      </c>
      <c r="S730" t="s">
        <v>1294</v>
      </c>
      <c r="T730" t="s">
        <v>2745</v>
      </c>
      <c r="U730">
        <v>0</v>
      </c>
      <c r="V730" t="s">
        <v>1405</v>
      </c>
    </row>
    <row r="731" spans="1:22" ht="45" x14ac:dyDescent="0.25">
      <c r="A731" t="s">
        <v>1871</v>
      </c>
      <c r="B731" s="1" t="s">
        <v>1405</v>
      </c>
      <c r="C731" s="1" t="s">
        <v>1530</v>
      </c>
      <c r="D731" s="1" t="s">
        <v>1288</v>
      </c>
      <c r="E731" s="1" t="s">
        <v>1649</v>
      </c>
      <c r="F731" t="s">
        <v>2746</v>
      </c>
      <c r="G731" t="s">
        <v>1406</v>
      </c>
      <c r="H731" t="s">
        <v>1311</v>
      </c>
      <c r="I731" t="s">
        <v>1285</v>
      </c>
      <c r="J731" t="s">
        <v>1170</v>
      </c>
      <c r="K731" t="s">
        <v>1407</v>
      </c>
      <c r="L731" t="s">
        <v>1408</v>
      </c>
      <c r="M731" t="s">
        <v>1409</v>
      </c>
      <c r="N731" t="s">
        <v>1289</v>
      </c>
      <c r="O731" s="1" t="s">
        <v>1305</v>
      </c>
      <c r="P731" t="s">
        <v>1291</v>
      </c>
      <c r="Q731" t="s">
        <v>1294</v>
      </c>
      <c r="S731" t="s">
        <v>1294</v>
      </c>
      <c r="T731" t="s">
        <v>2747</v>
      </c>
      <c r="U731">
        <v>0</v>
      </c>
      <c r="V731" t="s">
        <v>1405</v>
      </c>
    </row>
    <row r="732" spans="1:22" ht="45" x14ac:dyDescent="0.25">
      <c r="A732" t="s">
        <v>1871</v>
      </c>
      <c r="B732" s="1" t="s">
        <v>1405</v>
      </c>
      <c r="C732" s="1" t="s">
        <v>1530</v>
      </c>
      <c r="D732" s="1" t="s">
        <v>1288</v>
      </c>
      <c r="E732" s="1" t="s">
        <v>1649</v>
      </c>
      <c r="F732" t="s">
        <v>2748</v>
      </c>
      <c r="G732" t="s">
        <v>1406</v>
      </c>
      <c r="H732" t="s">
        <v>1311</v>
      </c>
      <c r="I732" t="s">
        <v>1285</v>
      </c>
      <c r="J732" t="s">
        <v>1170</v>
      </c>
      <c r="K732" t="s">
        <v>1407</v>
      </c>
      <c r="L732" t="s">
        <v>1408</v>
      </c>
      <c r="M732" t="s">
        <v>1409</v>
      </c>
      <c r="N732" t="s">
        <v>1289</v>
      </c>
      <c r="O732" s="1" t="s">
        <v>1305</v>
      </c>
      <c r="P732" t="s">
        <v>1291</v>
      </c>
      <c r="Q732" t="s">
        <v>1294</v>
      </c>
      <c r="S732" t="s">
        <v>1294</v>
      </c>
      <c r="T732" t="s">
        <v>2749</v>
      </c>
      <c r="U732">
        <v>0</v>
      </c>
      <c r="V732" t="s">
        <v>1405</v>
      </c>
    </row>
    <row r="733" spans="1:22" ht="45" x14ac:dyDescent="0.25">
      <c r="A733" t="s">
        <v>1871</v>
      </c>
      <c r="B733" s="1" t="s">
        <v>1405</v>
      </c>
      <c r="C733" s="1" t="s">
        <v>1530</v>
      </c>
      <c r="D733" s="1" t="s">
        <v>1288</v>
      </c>
      <c r="E733" s="1" t="s">
        <v>1649</v>
      </c>
      <c r="F733" t="s">
        <v>2750</v>
      </c>
      <c r="G733" t="s">
        <v>1406</v>
      </c>
      <c r="H733" t="s">
        <v>1311</v>
      </c>
      <c r="I733" t="s">
        <v>1285</v>
      </c>
      <c r="J733" t="s">
        <v>1170</v>
      </c>
      <c r="K733" t="s">
        <v>1407</v>
      </c>
      <c r="L733" t="s">
        <v>1408</v>
      </c>
      <c r="M733" t="s">
        <v>1409</v>
      </c>
      <c r="N733" t="s">
        <v>1289</v>
      </c>
      <c r="O733" s="1" t="s">
        <v>1305</v>
      </c>
      <c r="P733" t="s">
        <v>1291</v>
      </c>
      <c r="Q733" t="s">
        <v>1294</v>
      </c>
      <c r="S733" t="s">
        <v>1294</v>
      </c>
      <c r="T733" t="s">
        <v>2751</v>
      </c>
      <c r="U733">
        <v>0</v>
      </c>
      <c r="V733" t="s">
        <v>1405</v>
      </c>
    </row>
    <row r="734" spans="1:22" ht="45" x14ac:dyDescent="0.25">
      <c r="A734" t="s">
        <v>1871</v>
      </c>
      <c r="B734" s="1" t="s">
        <v>1405</v>
      </c>
      <c r="C734" s="1" t="s">
        <v>1530</v>
      </c>
      <c r="D734" s="1" t="s">
        <v>1288</v>
      </c>
      <c r="E734" s="1" t="s">
        <v>1649</v>
      </c>
      <c r="F734" t="s">
        <v>2752</v>
      </c>
      <c r="G734" t="s">
        <v>1406</v>
      </c>
      <c r="H734" t="s">
        <v>1311</v>
      </c>
      <c r="I734" t="s">
        <v>1285</v>
      </c>
      <c r="J734" t="s">
        <v>1170</v>
      </c>
      <c r="K734" t="s">
        <v>1407</v>
      </c>
      <c r="L734" t="s">
        <v>1408</v>
      </c>
      <c r="M734" t="s">
        <v>1409</v>
      </c>
      <c r="N734" t="s">
        <v>1289</v>
      </c>
      <c r="O734" s="1" t="s">
        <v>1305</v>
      </c>
      <c r="P734" t="s">
        <v>1291</v>
      </c>
      <c r="Q734" t="s">
        <v>1294</v>
      </c>
      <c r="S734" t="s">
        <v>1294</v>
      </c>
      <c r="T734" t="s">
        <v>2753</v>
      </c>
      <c r="U734">
        <v>0</v>
      </c>
      <c r="V734" t="s">
        <v>1405</v>
      </c>
    </row>
    <row r="735" spans="1:22" ht="45" x14ac:dyDescent="0.25">
      <c r="A735" t="s">
        <v>1871</v>
      </c>
      <c r="B735" s="1" t="s">
        <v>1405</v>
      </c>
      <c r="C735" s="1" t="s">
        <v>1530</v>
      </c>
      <c r="D735" s="1" t="s">
        <v>1288</v>
      </c>
      <c r="E735" s="1" t="s">
        <v>1649</v>
      </c>
      <c r="F735" t="s">
        <v>2754</v>
      </c>
      <c r="G735" t="s">
        <v>1406</v>
      </c>
      <c r="H735" t="s">
        <v>1311</v>
      </c>
      <c r="I735" t="s">
        <v>1285</v>
      </c>
      <c r="J735" t="s">
        <v>1170</v>
      </c>
      <c r="K735" t="s">
        <v>1407</v>
      </c>
      <c r="L735" t="s">
        <v>1408</v>
      </c>
      <c r="M735" t="s">
        <v>1409</v>
      </c>
      <c r="N735" t="s">
        <v>1289</v>
      </c>
      <c r="O735" s="1" t="s">
        <v>1305</v>
      </c>
      <c r="P735" t="s">
        <v>1291</v>
      </c>
      <c r="Q735" t="s">
        <v>1294</v>
      </c>
      <c r="S735" t="s">
        <v>1294</v>
      </c>
      <c r="T735" t="s">
        <v>2755</v>
      </c>
      <c r="U735">
        <v>0</v>
      </c>
      <c r="V735" t="s">
        <v>1405</v>
      </c>
    </row>
    <row r="736" spans="1:22" ht="45" x14ac:dyDescent="0.25">
      <c r="A736" t="s">
        <v>1871</v>
      </c>
      <c r="B736" s="1" t="s">
        <v>1405</v>
      </c>
      <c r="C736" s="1" t="s">
        <v>1530</v>
      </c>
      <c r="D736" s="1" t="s">
        <v>1288</v>
      </c>
      <c r="E736" s="1" t="s">
        <v>1649</v>
      </c>
      <c r="F736" t="s">
        <v>2756</v>
      </c>
      <c r="G736" t="s">
        <v>1406</v>
      </c>
      <c r="H736" t="s">
        <v>1311</v>
      </c>
      <c r="I736" t="s">
        <v>1285</v>
      </c>
      <c r="J736" t="s">
        <v>1170</v>
      </c>
      <c r="K736" t="s">
        <v>1407</v>
      </c>
      <c r="L736" t="s">
        <v>1408</v>
      </c>
      <c r="M736" t="s">
        <v>1409</v>
      </c>
      <c r="N736" t="s">
        <v>1289</v>
      </c>
      <c r="O736" s="1" t="s">
        <v>1305</v>
      </c>
      <c r="P736" t="s">
        <v>1291</v>
      </c>
      <c r="Q736" t="s">
        <v>1294</v>
      </c>
      <c r="S736" t="s">
        <v>1294</v>
      </c>
      <c r="T736" t="s">
        <v>2757</v>
      </c>
      <c r="U736">
        <v>0</v>
      </c>
      <c r="V736" t="s">
        <v>1405</v>
      </c>
    </row>
    <row r="737" spans="1:22" ht="45" x14ac:dyDescent="0.25">
      <c r="A737" t="s">
        <v>1871</v>
      </c>
      <c r="B737" s="1" t="s">
        <v>1405</v>
      </c>
      <c r="C737" s="1" t="s">
        <v>1530</v>
      </c>
      <c r="D737" s="1" t="s">
        <v>1288</v>
      </c>
      <c r="E737" s="1" t="s">
        <v>1649</v>
      </c>
      <c r="F737" t="s">
        <v>2758</v>
      </c>
      <c r="G737" t="s">
        <v>1406</v>
      </c>
      <c r="H737" t="s">
        <v>1311</v>
      </c>
      <c r="I737" t="s">
        <v>1285</v>
      </c>
      <c r="J737" t="s">
        <v>1170</v>
      </c>
      <c r="K737" t="s">
        <v>1407</v>
      </c>
      <c r="L737" t="s">
        <v>1408</v>
      </c>
      <c r="M737" t="s">
        <v>1409</v>
      </c>
      <c r="N737" t="s">
        <v>1289</v>
      </c>
      <c r="O737" s="1" t="s">
        <v>1305</v>
      </c>
      <c r="P737" t="s">
        <v>1291</v>
      </c>
      <c r="Q737" t="s">
        <v>1294</v>
      </c>
      <c r="S737" t="s">
        <v>1294</v>
      </c>
      <c r="T737" t="s">
        <v>2759</v>
      </c>
      <c r="U737">
        <v>0</v>
      </c>
      <c r="V737" t="s">
        <v>1405</v>
      </c>
    </row>
    <row r="738" spans="1:22" ht="45" x14ac:dyDescent="0.25">
      <c r="A738" t="s">
        <v>1871</v>
      </c>
      <c r="B738" s="1" t="s">
        <v>1405</v>
      </c>
      <c r="C738" s="1" t="s">
        <v>1530</v>
      </c>
      <c r="D738" s="1" t="s">
        <v>1288</v>
      </c>
      <c r="E738" s="1" t="s">
        <v>1649</v>
      </c>
      <c r="F738" t="s">
        <v>2760</v>
      </c>
      <c r="G738" t="s">
        <v>1406</v>
      </c>
      <c r="H738" t="s">
        <v>1311</v>
      </c>
      <c r="I738" t="s">
        <v>1285</v>
      </c>
      <c r="J738" t="s">
        <v>1170</v>
      </c>
      <c r="K738" t="s">
        <v>1407</v>
      </c>
      <c r="L738" t="s">
        <v>1408</v>
      </c>
      <c r="M738" t="s">
        <v>1409</v>
      </c>
      <c r="N738" t="s">
        <v>1289</v>
      </c>
      <c r="O738" s="1" t="s">
        <v>1305</v>
      </c>
      <c r="P738" t="s">
        <v>1291</v>
      </c>
      <c r="Q738" t="s">
        <v>1294</v>
      </c>
      <c r="S738" t="s">
        <v>1294</v>
      </c>
      <c r="T738" t="s">
        <v>2761</v>
      </c>
      <c r="U738">
        <v>0</v>
      </c>
      <c r="V738" t="s">
        <v>1405</v>
      </c>
    </row>
    <row r="739" spans="1:22" ht="45" x14ac:dyDescent="0.25">
      <c r="A739" t="s">
        <v>1871</v>
      </c>
      <c r="B739" s="1" t="s">
        <v>1405</v>
      </c>
      <c r="C739" s="1" t="s">
        <v>1530</v>
      </c>
      <c r="D739" s="1" t="s">
        <v>1288</v>
      </c>
      <c r="E739" s="1" t="s">
        <v>1649</v>
      </c>
      <c r="F739" t="s">
        <v>2762</v>
      </c>
      <c r="G739" t="s">
        <v>1406</v>
      </c>
      <c r="H739" t="s">
        <v>1311</v>
      </c>
      <c r="I739" t="s">
        <v>1285</v>
      </c>
      <c r="J739" t="s">
        <v>1170</v>
      </c>
      <c r="K739" t="s">
        <v>1407</v>
      </c>
      <c r="L739" t="s">
        <v>1408</v>
      </c>
      <c r="M739" t="s">
        <v>1409</v>
      </c>
      <c r="N739" t="s">
        <v>1289</v>
      </c>
      <c r="O739" s="1" t="s">
        <v>1305</v>
      </c>
      <c r="P739" t="s">
        <v>1291</v>
      </c>
      <c r="Q739" t="s">
        <v>1294</v>
      </c>
      <c r="S739" t="s">
        <v>1294</v>
      </c>
      <c r="T739" t="s">
        <v>2763</v>
      </c>
      <c r="U739">
        <v>0</v>
      </c>
      <c r="V739" t="s">
        <v>1405</v>
      </c>
    </row>
    <row r="740" spans="1:22" ht="45" x14ac:dyDescent="0.25">
      <c r="A740" t="s">
        <v>1871</v>
      </c>
      <c r="B740" s="1" t="s">
        <v>1405</v>
      </c>
      <c r="C740" s="1" t="s">
        <v>1530</v>
      </c>
      <c r="D740" s="1" t="s">
        <v>1288</v>
      </c>
      <c r="E740" s="1" t="s">
        <v>1649</v>
      </c>
      <c r="F740" t="s">
        <v>2764</v>
      </c>
      <c r="G740" t="s">
        <v>1406</v>
      </c>
      <c r="H740" t="s">
        <v>1311</v>
      </c>
      <c r="I740" t="s">
        <v>1285</v>
      </c>
      <c r="J740" t="s">
        <v>1170</v>
      </c>
      <c r="K740" t="s">
        <v>1407</v>
      </c>
      <c r="L740" t="s">
        <v>1408</v>
      </c>
      <c r="M740" t="s">
        <v>1409</v>
      </c>
      <c r="N740" t="s">
        <v>1289</v>
      </c>
      <c r="O740" s="1" t="s">
        <v>1305</v>
      </c>
      <c r="P740" t="s">
        <v>1291</v>
      </c>
      <c r="Q740" t="s">
        <v>1294</v>
      </c>
      <c r="S740" t="s">
        <v>1294</v>
      </c>
      <c r="T740" t="s">
        <v>2765</v>
      </c>
      <c r="U740">
        <v>0</v>
      </c>
      <c r="V740" t="s">
        <v>1405</v>
      </c>
    </row>
    <row r="741" spans="1:22" ht="45" x14ac:dyDescent="0.25">
      <c r="A741" t="s">
        <v>1871</v>
      </c>
      <c r="B741" s="1" t="s">
        <v>1405</v>
      </c>
      <c r="C741" s="1" t="s">
        <v>1530</v>
      </c>
      <c r="D741" s="1" t="s">
        <v>1288</v>
      </c>
      <c r="E741" s="1" t="s">
        <v>1649</v>
      </c>
      <c r="F741" t="s">
        <v>2766</v>
      </c>
      <c r="G741" t="s">
        <v>1406</v>
      </c>
      <c r="H741" t="s">
        <v>1311</v>
      </c>
      <c r="I741" t="s">
        <v>1285</v>
      </c>
      <c r="J741" t="s">
        <v>1170</v>
      </c>
      <c r="K741" t="s">
        <v>1407</v>
      </c>
      <c r="L741" t="s">
        <v>1408</v>
      </c>
      <c r="M741" t="s">
        <v>1409</v>
      </c>
      <c r="N741" t="s">
        <v>1289</v>
      </c>
      <c r="O741" s="1" t="s">
        <v>1305</v>
      </c>
      <c r="P741" t="s">
        <v>1291</v>
      </c>
      <c r="Q741" t="s">
        <v>1294</v>
      </c>
      <c r="S741" t="s">
        <v>1294</v>
      </c>
      <c r="T741" t="s">
        <v>2767</v>
      </c>
      <c r="U741">
        <v>0</v>
      </c>
      <c r="V741" t="s">
        <v>1405</v>
      </c>
    </row>
    <row r="742" spans="1:22" ht="45" x14ac:dyDescent="0.25">
      <c r="A742" t="s">
        <v>1871</v>
      </c>
      <c r="B742" s="1" t="s">
        <v>1405</v>
      </c>
      <c r="C742" s="1" t="s">
        <v>1530</v>
      </c>
      <c r="D742" s="1" t="s">
        <v>1288</v>
      </c>
      <c r="E742" s="1" t="s">
        <v>1649</v>
      </c>
      <c r="F742" t="s">
        <v>2768</v>
      </c>
      <c r="G742" t="s">
        <v>1406</v>
      </c>
      <c r="H742" t="s">
        <v>1311</v>
      </c>
      <c r="I742" t="s">
        <v>1285</v>
      </c>
      <c r="J742" t="s">
        <v>1170</v>
      </c>
      <c r="K742" t="s">
        <v>1407</v>
      </c>
      <c r="L742" t="s">
        <v>1408</v>
      </c>
      <c r="M742" t="s">
        <v>1409</v>
      </c>
      <c r="N742" t="s">
        <v>1289</v>
      </c>
      <c r="O742" s="1" t="s">
        <v>1305</v>
      </c>
      <c r="P742" t="s">
        <v>1291</v>
      </c>
      <c r="Q742" t="s">
        <v>1294</v>
      </c>
      <c r="S742" t="s">
        <v>1294</v>
      </c>
      <c r="T742" t="s">
        <v>2769</v>
      </c>
      <c r="U742">
        <v>0</v>
      </c>
      <c r="V742" t="s">
        <v>1405</v>
      </c>
    </row>
    <row r="743" spans="1:22" ht="45" x14ac:dyDescent="0.25">
      <c r="A743" t="s">
        <v>1871</v>
      </c>
      <c r="B743" s="1" t="s">
        <v>1405</v>
      </c>
      <c r="C743" s="1" t="s">
        <v>1530</v>
      </c>
      <c r="D743" s="1" t="s">
        <v>1288</v>
      </c>
      <c r="E743" s="1" t="s">
        <v>1649</v>
      </c>
      <c r="F743" t="s">
        <v>2770</v>
      </c>
      <c r="G743" t="s">
        <v>1406</v>
      </c>
      <c r="H743" t="s">
        <v>1311</v>
      </c>
      <c r="I743" t="s">
        <v>1285</v>
      </c>
      <c r="J743" t="s">
        <v>1170</v>
      </c>
      <c r="K743" t="s">
        <v>1407</v>
      </c>
      <c r="L743" t="s">
        <v>1408</v>
      </c>
      <c r="M743" t="s">
        <v>1409</v>
      </c>
      <c r="N743" t="s">
        <v>1289</v>
      </c>
      <c r="O743" s="1" t="s">
        <v>1305</v>
      </c>
      <c r="P743" t="s">
        <v>1291</v>
      </c>
      <c r="Q743" t="s">
        <v>1294</v>
      </c>
      <c r="S743" t="s">
        <v>1294</v>
      </c>
      <c r="T743" t="s">
        <v>2771</v>
      </c>
      <c r="U743">
        <v>0</v>
      </c>
      <c r="V743" t="s">
        <v>1405</v>
      </c>
    </row>
    <row r="744" spans="1:22" ht="45" x14ac:dyDescent="0.25">
      <c r="A744" t="s">
        <v>1871</v>
      </c>
      <c r="B744" s="1" t="s">
        <v>1405</v>
      </c>
      <c r="C744" s="1" t="s">
        <v>1530</v>
      </c>
      <c r="D744" s="1" t="s">
        <v>1288</v>
      </c>
      <c r="E744" s="1" t="s">
        <v>1649</v>
      </c>
      <c r="F744" t="s">
        <v>2772</v>
      </c>
      <c r="G744" t="s">
        <v>1406</v>
      </c>
      <c r="H744" t="s">
        <v>1311</v>
      </c>
      <c r="I744" t="s">
        <v>1285</v>
      </c>
      <c r="J744" t="s">
        <v>1170</v>
      </c>
      <c r="K744" t="s">
        <v>1407</v>
      </c>
      <c r="L744" t="s">
        <v>1408</v>
      </c>
      <c r="M744" t="s">
        <v>1409</v>
      </c>
      <c r="N744" t="s">
        <v>1289</v>
      </c>
      <c r="O744" s="1" t="s">
        <v>1305</v>
      </c>
      <c r="P744" t="s">
        <v>1291</v>
      </c>
      <c r="Q744" t="s">
        <v>1294</v>
      </c>
      <c r="S744" t="s">
        <v>1294</v>
      </c>
      <c r="T744" t="s">
        <v>2773</v>
      </c>
      <c r="U744">
        <v>0</v>
      </c>
      <c r="V744" t="s">
        <v>1405</v>
      </c>
    </row>
    <row r="745" spans="1:22" ht="45" x14ac:dyDescent="0.25">
      <c r="A745" t="s">
        <v>1871</v>
      </c>
      <c r="B745" s="1" t="s">
        <v>1405</v>
      </c>
      <c r="C745" s="1" t="s">
        <v>1530</v>
      </c>
      <c r="D745" s="1" t="s">
        <v>1288</v>
      </c>
      <c r="E745" s="1" t="s">
        <v>1649</v>
      </c>
      <c r="F745" t="s">
        <v>2774</v>
      </c>
      <c r="G745" t="s">
        <v>1406</v>
      </c>
      <c r="H745" t="s">
        <v>1311</v>
      </c>
      <c r="I745" t="s">
        <v>1285</v>
      </c>
      <c r="J745" t="s">
        <v>1170</v>
      </c>
      <c r="K745" t="s">
        <v>1407</v>
      </c>
      <c r="L745" t="s">
        <v>1408</v>
      </c>
      <c r="M745" t="s">
        <v>1409</v>
      </c>
      <c r="N745" t="s">
        <v>1289</v>
      </c>
      <c r="O745" s="1" t="s">
        <v>1305</v>
      </c>
      <c r="P745" t="s">
        <v>1291</v>
      </c>
      <c r="Q745" t="s">
        <v>1294</v>
      </c>
      <c r="S745" t="s">
        <v>1294</v>
      </c>
      <c r="T745" t="s">
        <v>2775</v>
      </c>
      <c r="U745">
        <v>0</v>
      </c>
      <c r="V745" t="s">
        <v>1405</v>
      </c>
    </row>
    <row r="746" spans="1:22" ht="45" x14ac:dyDescent="0.25">
      <c r="A746" t="s">
        <v>1871</v>
      </c>
      <c r="B746" s="1" t="s">
        <v>1405</v>
      </c>
      <c r="C746" s="1" t="s">
        <v>1530</v>
      </c>
      <c r="D746" s="1" t="s">
        <v>1288</v>
      </c>
      <c r="E746" s="1" t="s">
        <v>1649</v>
      </c>
      <c r="F746" t="s">
        <v>2776</v>
      </c>
      <c r="G746" t="s">
        <v>1406</v>
      </c>
      <c r="H746" t="s">
        <v>1311</v>
      </c>
      <c r="I746" t="s">
        <v>1285</v>
      </c>
      <c r="J746" t="s">
        <v>1170</v>
      </c>
      <c r="K746" t="s">
        <v>1407</v>
      </c>
      <c r="L746" t="s">
        <v>1408</v>
      </c>
      <c r="M746" t="s">
        <v>1409</v>
      </c>
      <c r="N746" t="s">
        <v>1289</v>
      </c>
      <c r="O746" s="1" t="s">
        <v>1305</v>
      </c>
      <c r="P746" t="s">
        <v>1291</v>
      </c>
      <c r="Q746" t="s">
        <v>1294</v>
      </c>
      <c r="S746" t="s">
        <v>1294</v>
      </c>
      <c r="T746" t="s">
        <v>2777</v>
      </c>
      <c r="U746">
        <v>0</v>
      </c>
      <c r="V746" t="s">
        <v>1405</v>
      </c>
    </row>
    <row r="747" spans="1:22" ht="45" x14ac:dyDescent="0.25">
      <c r="A747" t="s">
        <v>1871</v>
      </c>
      <c r="B747" s="1" t="s">
        <v>1405</v>
      </c>
      <c r="C747" s="1" t="s">
        <v>1530</v>
      </c>
      <c r="D747" s="1" t="s">
        <v>1288</v>
      </c>
      <c r="E747" s="1" t="s">
        <v>1649</v>
      </c>
      <c r="F747" t="s">
        <v>2778</v>
      </c>
      <c r="G747" t="s">
        <v>1406</v>
      </c>
      <c r="H747" t="s">
        <v>1311</v>
      </c>
      <c r="I747" t="s">
        <v>1285</v>
      </c>
      <c r="J747" t="s">
        <v>1170</v>
      </c>
      <c r="K747" t="s">
        <v>1407</v>
      </c>
      <c r="L747" t="s">
        <v>1408</v>
      </c>
      <c r="M747" t="s">
        <v>1409</v>
      </c>
      <c r="N747" t="s">
        <v>1289</v>
      </c>
      <c r="O747" s="1" t="s">
        <v>1305</v>
      </c>
      <c r="P747" t="s">
        <v>1291</v>
      </c>
      <c r="Q747" t="s">
        <v>1294</v>
      </c>
      <c r="S747" t="s">
        <v>1294</v>
      </c>
      <c r="T747" t="s">
        <v>2779</v>
      </c>
      <c r="U747">
        <v>0</v>
      </c>
      <c r="V747" t="s">
        <v>1405</v>
      </c>
    </row>
    <row r="748" spans="1:22" ht="45" x14ac:dyDescent="0.25">
      <c r="A748" t="s">
        <v>1871</v>
      </c>
      <c r="B748" s="1" t="s">
        <v>1405</v>
      </c>
      <c r="C748" s="1" t="s">
        <v>1530</v>
      </c>
      <c r="D748" s="1" t="s">
        <v>1288</v>
      </c>
      <c r="E748" s="1" t="s">
        <v>1649</v>
      </c>
      <c r="F748" t="s">
        <v>2780</v>
      </c>
      <c r="G748" t="s">
        <v>1406</v>
      </c>
      <c r="H748" t="s">
        <v>1311</v>
      </c>
      <c r="I748" t="s">
        <v>1285</v>
      </c>
      <c r="J748" t="s">
        <v>1170</v>
      </c>
      <c r="K748" t="s">
        <v>1407</v>
      </c>
      <c r="L748" t="s">
        <v>1408</v>
      </c>
      <c r="M748" t="s">
        <v>1409</v>
      </c>
      <c r="N748" t="s">
        <v>1289</v>
      </c>
      <c r="O748" s="1" t="s">
        <v>1305</v>
      </c>
      <c r="P748" t="s">
        <v>1291</v>
      </c>
      <c r="Q748" t="s">
        <v>1294</v>
      </c>
      <c r="S748" t="s">
        <v>1294</v>
      </c>
      <c r="T748" t="s">
        <v>2781</v>
      </c>
      <c r="U748">
        <v>0</v>
      </c>
      <c r="V748" t="s">
        <v>1405</v>
      </c>
    </row>
    <row r="749" spans="1:22" ht="45" x14ac:dyDescent="0.25">
      <c r="A749" t="s">
        <v>1871</v>
      </c>
      <c r="B749" s="1" t="s">
        <v>1405</v>
      </c>
      <c r="C749" s="1" t="s">
        <v>1530</v>
      </c>
      <c r="D749" s="1" t="s">
        <v>1288</v>
      </c>
      <c r="E749" s="1" t="s">
        <v>1649</v>
      </c>
      <c r="F749" t="s">
        <v>2782</v>
      </c>
      <c r="G749" t="s">
        <v>1406</v>
      </c>
      <c r="H749" t="s">
        <v>1311</v>
      </c>
      <c r="I749" t="s">
        <v>1285</v>
      </c>
      <c r="J749" t="s">
        <v>1170</v>
      </c>
      <c r="K749" t="s">
        <v>1407</v>
      </c>
      <c r="L749" t="s">
        <v>1408</v>
      </c>
      <c r="M749" t="s">
        <v>1409</v>
      </c>
      <c r="N749" t="s">
        <v>1289</v>
      </c>
      <c r="O749" s="1" t="s">
        <v>1305</v>
      </c>
      <c r="P749" t="s">
        <v>1291</v>
      </c>
      <c r="Q749" t="s">
        <v>1294</v>
      </c>
      <c r="S749" t="s">
        <v>1294</v>
      </c>
      <c r="T749" t="s">
        <v>2783</v>
      </c>
      <c r="U749">
        <v>0</v>
      </c>
      <c r="V749" t="s">
        <v>1405</v>
      </c>
    </row>
    <row r="750" spans="1:22" ht="45" x14ac:dyDescent="0.25">
      <c r="A750" t="s">
        <v>1871</v>
      </c>
      <c r="B750" s="1" t="s">
        <v>1405</v>
      </c>
      <c r="C750" s="1" t="s">
        <v>1530</v>
      </c>
      <c r="D750" s="1" t="s">
        <v>1288</v>
      </c>
      <c r="E750" s="1" t="s">
        <v>1649</v>
      </c>
      <c r="F750" t="s">
        <v>2784</v>
      </c>
      <c r="G750" t="s">
        <v>1406</v>
      </c>
      <c r="H750" t="s">
        <v>1311</v>
      </c>
      <c r="I750" t="s">
        <v>1285</v>
      </c>
      <c r="J750" t="s">
        <v>1170</v>
      </c>
      <c r="K750" t="s">
        <v>1407</v>
      </c>
      <c r="L750" t="s">
        <v>1408</v>
      </c>
      <c r="M750" t="s">
        <v>1409</v>
      </c>
      <c r="N750" t="s">
        <v>1289</v>
      </c>
      <c r="O750" s="1" t="s">
        <v>1305</v>
      </c>
      <c r="P750" t="s">
        <v>1291</v>
      </c>
      <c r="Q750" t="s">
        <v>1294</v>
      </c>
      <c r="S750" t="s">
        <v>1294</v>
      </c>
      <c r="T750" t="s">
        <v>2785</v>
      </c>
      <c r="U750">
        <v>0</v>
      </c>
      <c r="V750" t="s">
        <v>1405</v>
      </c>
    </row>
    <row r="751" spans="1:22" ht="45" x14ac:dyDescent="0.25">
      <c r="A751" t="s">
        <v>1871</v>
      </c>
      <c r="B751" s="1" t="s">
        <v>1405</v>
      </c>
      <c r="C751" s="1" t="s">
        <v>1530</v>
      </c>
      <c r="D751" s="1" t="s">
        <v>1288</v>
      </c>
      <c r="E751" s="1" t="s">
        <v>1649</v>
      </c>
      <c r="F751" t="s">
        <v>2786</v>
      </c>
      <c r="G751" t="s">
        <v>1406</v>
      </c>
      <c r="H751" t="s">
        <v>1311</v>
      </c>
      <c r="I751" t="s">
        <v>1285</v>
      </c>
      <c r="J751" t="s">
        <v>1170</v>
      </c>
      <c r="K751" t="s">
        <v>1407</v>
      </c>
      <c r="L751" t="s">
        <v>1408</v>
      </c>
      <c r="M751" t="s">
        <v>1409</v>
      </c>
      <c r="N751" t="s">
        <v>1289</v>
      </c>
      <c r="O751" s="1" t="s">
        <v>1305</v>
      </c>
      <c r="P751" t="s">
        <v>1291</v>
      </c>
      <c r="Q751" t="s">
        <v>1294</v>
      </c>
      <c r="S751" t="s">
        <v>1294</v>
      </c>
      <c r="T751" t="s">
        <v>2787</v>
      </c>
      <c r="U751">
        <v>0</v>
      </c>
      <c r="V751" t="s">
        <v>1405</v>
      </c>
    </row>
    <row r="752" spans="1:22" ht="45" x14ac:dyDescent="0.25">
      <c r="A752" t="s">
        <v>1871</v>
      </c>
      <c r="B752" s="1" t="s">
        <v>1405</v>
      </c>
      <c r="C752" s="1" t="s">
        <v>1530</v>
      </c>
      <c r="D752" s="1" t="s">
        <v>1288</v>
      </c>
      <c r="E752" s="1" t="s">
        <v>1649</v>
      </c>
      <c r="F752" t="s">
        <v>2788</v>
      </c>
      <c r="G752" t="s">
        <v>1406</v>
      </c>
      <c r="H752" t="s">
        <v>1311</v>
      </c>
      <c r="I752" t="s">
        <v>1285</v>
      </c>
      <c r="J752" t="s">
        <v>1170</v>
      </c>
      <c r="K752" t="s">
        <v>1407</v>
      </c>
      <c r="L752" t="s">
        <v>1408</v>
      </c>
      <c r="M752" t="s">
        <v>1409</v>
      </c>
      <c r="N752" t="s">
        <v>1289</v>
      </c>
      <c r="O752" s="1" t="s">
        <v>1305</v>
      </c>
      <c r="P752" t="s">
        <v>1291</v>
      </c>
      <c r="Q752" t="s">
        <v>1294</v>
      </c>
      <c r="S752" t="s">
        <v>1294</v>
      </c>
      <c r="T752" t="s">
        <v>2789</v>
      </c>
      <c r="U752">
        <v>0</v>
      </c>
      <c r="V752" t="s">
        <v>1405</v>
      </c>
    </row>
    <row r="753" spans="1:22" ht="45" x14ac:dyDescent="0.25">
      <c r="A753" t="s">
        <v>1871</v>
      </c>
      <c r="B753" s="1" t="s">
        <v>1405</v>
      </c>
      <c r="C753" s="1" t="s">
        <v>1530</v>
      </c>
      <c r="D753" s="1" t="s">
        <v>1288</v>
      </c>
      <c r="E753" s="1" t="s">
        <v>1649</v>
      </c>
      <c r="F753" t="s">
        <v>2790</v>
      </c>
      <c r="G753" t="s">
        <v>1406</v>
      </c>
      <c r="H753" t="s">
        <v>1311</v>
      </c>
      <c r="I753" t="s">
        <v>1285</v>
      </c>
      <c r="J753" t="s">
        <v>1170</v>
      </c>
      <c r="K753" t="s">
        <v>1407</v>
      </c>
      <c r="L753" t="s">
        <v>1408</v>
      </c>
      <c r="M753" t="s">
        <v>1409</v>
      </c>
      <c r="N753" t="s">
        <v>1289</v>
      </c>
      <c r="O753" s="1" t="s">
        <v>1305</v>
      </c>
      <c r="P753" t="s">
        <v>1291</v>
      </c>
      <c r="Q753" t="s">
        <v>1294</v>
      </c>
      <c r="S753" t="s">
        <v>1294</v>
      </c>
      <c r="T753" t="s">
        <v>2791</v>
      </c>
      <c r="U753">
        <v>0</v>
      </c>
      <c r="V753" t="s">
        <v>1405</v>
      </c>
    </row>
    <row r="754" spans="1:22" ht="45" x14ac:dyDescent="0.25">
      <c r="A754" t="s">
        <v>1871</v>
      </c>
      <c r="B754" s="1" t="s">
        <v>1405</v>
      </c>
      <c r="C754" s="1" t="s">
        <v>1530</v>
      </c>
      <c r="D754" s="1" t="s">
        <v>1288</v>
      </c>
      <c r="E754" s="1" t="s">
        <v>1649</v>
      </c>
      <c r="F754" t="s">
        <v>2792</v>
      </c>
      <c r="G754" t="s">
        <v>1406</v>
      </c>
      <c r="H754" t="s">
        <v>1311</v>
      </c>
      <c r="I754" t="s">
        <v>1285</v>
      </c>
      <c r="J754" t="s">
        <v>1170</v>
      </c>
      <c r="K754" t="s">
        <v>1407</v>
      </c>
      <c r="L754" t="s">
        <v>1408</v>
      </c>
      <c r="M754" t="s">
        <v>1409</v>
      </c>
      <c r="N754" t="s">
        <v>1289</v>
      </c>
      <c r="O754" s="1" t="s">
        <v>1305</v>
      </c>
      <c r="P754" t="s">
        <v>1291</v>
      </c>
      <c r="Q754" t="s">
        <v>1294</v>
      </c>
      <c r="S754" t="s">
        <v>1294</v>
      </c>
      <c r="T754" t="s">
        <v>2793</v>
      </c>
      <c r="U754">
        <v>0</v>
      </c>
      <c r="V754" t="s">
        <v>1405</v>
      </c>
    </row>
    <row r="755" spans="1:22" ht="45" x14ac:dyDescent="0.25">
      <c r="A755" t="s">
        <v>1871</v>
      </c>
      <c r="B755" s="1" t="s">
        <v>1405</v>
      </c>
      <c r="C755" s="1" t="s">
        <v>1530</v>
      </c>
      <c r="D755" s="1" t="s">
        <v>1288</v>
      </c>
      <c r="E755" s="1" t="s">
        <v>1649</v>
      </c>
      <c r="F755" t="s">
        <v>2794</v>
      </c>
      <c r="G755" t="s">
        <v>1406</v>
      </c>
      <c r="H755" t="s">
        <v>1311</v>
      </c>
      <c r="I755" t="s">
        <v>1285</v>
      </c>
      <c r="J755" t="s">
        <v>1170</v>
      </c>
      <c r="K755" t="s">
        <v>1407</v>
      </c>
      <c r="L755" t="s">
        <v>1408</v>
      </c>
      <c r="M755" t="s">
        <v>1409</v>
      </c>
      <c r="N755" t="s">
        <v>1289</v>
      </c>
      <c r="O755" s="1" t="s">
        <v>1305</v>
      </c>
      <c r="P755" t="s">
        <v>1291</v>
      </c>
      <c r="Q755" t="s">
        <v>1294</v>
      </c>
      <c r="S755" t="s">
        <v>1294</v>
      </c>
      <c r="T755" t="s">
        <v>2795</v>
      </c>
      <c r="U755">
        <v>0</v>
      </c>
      <c r="V755" t="s">
        <v>1405</v>
      </c>
    </row>
    <row r="756" spans="1:22" ht="45" x14ac:dyDescent="0.25">
      <c r="A756" t="s">
        <v>1871</v>
      </c>
      <c r="B756" s="1" t="s">
        <v>1405</v>
      </c>
      <c r="C756" s="1" t="s">
        <v>1530</v>
      </c>
      <c r="D756" s="1" t="s">
        <v>1288</v>
      </c>
      <c r="E756" s="1" t="s">
        <v>1649</v>
      </c>
      <c r="F756" t="s">
        <v>2796</v>
      </c>
      <c r="G756" t="s">
        <v>1406</v>
      </c>
      <c r="H756" t="s">
        <v>1311</v>
      </c>
      <c r="I756" t="s">
        <v>1285</v>
      </c>
      <c r="J756" t="s">
        <v>1170</v>
      </c>
      <c r="K756" t="s">
        <v>1407</v>
      </c>
      <c r="L756" t="s">
        <v>1408</v>
      </c>
      <c r="M756" t="s">
        <v>1409</v>
      </c>
      <c r="N756" t="s">
        <v>1289</v>
      </c>
      <c r="O756" s="1" t="s">
        <v>1305</v>
      </c>
      <c r="P756" t="s">
        <v>1291</v>
      </c>
      <c r="Q756" t="s">
        <v>1294</v>
      </c>
      <c r="S756" t="s">
        <v>1294</v>
      </c>
      <c r="T756" t="s">
        <v>2797</v>
      </c>
      <c r="U756">
        <v>0</v>
      </c>
      <c r="V756" t="s">
        <v>1405</v>
      </c>
    </row>
    <row r="757" spans="1:22" ht="45" x14ac:dyDescent="0.25">
      <c r="A757" t="s">
        <v>1871</v>
      </c>
      <c r="B757" s="1" t="s">
        <v>1405</v>
      </c>
      <c r="C757" s="1" t="s">
        <v>1530</v>
      </c>
      <c r="D757" s="1" t="s">
        <v>1288</v>
      </c>
      <c r="E757" s="1" t="s">
        <v>1649</v>
      </c>
      <c r="F757" t="s">
        <v>2798</v>
      </c>
      <c r="G757" t="s">
        <v>1406</v>
      </c>
      <c r="H757" t="s">
        <v>1311</v>
      </c>
      <c r="I757" t="s">
        <v>1285</v>
      </c>
      <c r="J757" t="s">
        <v>1170</v>
      </c>
      <c r="K757" t="s">
        <v>1407</v>
      </c>
      <c r="L757" t="s">
        <v>1408</v>
      </c>
      <c r="M757" t="s">
        <v>1409</v>
      </c>
      <c r="N757" t="s">
        <v>1289</v>
      </c>
      <c r="O757" s="1" t="s">
        <v>1305</v>
      </c>
      <c r="P757" t="s">
        <v>1291</v>
      </c>
      <c r="Q757" t="s">
        <v>1294</v>
      </c>
      <c r="S757" t="s">
        <v>1294</v>
      </c>
      <c r="T757" t="s">
        <v>2799</v>
      </c>
      <c r="U757">
        <v>0</v>
      </c>
      <c r="V757" t="s">
        <v>1405</v>
      </c>
    </row>
    <row r="758" spans="1:22" ht="45" x14ac:dyDescent="0.25">
      <c r="A758" t="s">
        <v>1871</v>
      </c>
      <c r="B758" s="1" t="s">
        <v>1405</v>
      </c>
      <c r="C758" s="1" t="s">
        <v>1530</v>
      </c>
      <c r="D758" s="1" t="s">
        <v>1288</v>
      </c>
      <c r="E758" s="1" t="s">
        <v>1649</v>
      </c>
      <c r="F758" t="s">
        <v>2800</v>
      </c>
      <c r="G758" t="s">
        <v>1406</v>
      </c>
      <c r="H758" t="s">
        <v>1311</v>
      </c>
      <c r="I758" t="s">
        <v>1285</v>
      </c>
      <c r="J758" t="s">
        <v>1170</v>
      </c>
      <c r="K758" t="s">
        <v>1407</v>
      </c>
      <c r="L758" t="s">
        <v>1408</v>
      </c>
      <c r="M758" t="s">
        <v>1409</v>
      </c>
      <c r="N758" t="s">
        <v>1289</v>
      </c>
      <c r="O758" s="1" t="s">
        <v>1305</v>
      </c>
      <c r="P758" t="s">
        <v>1291</v>
      </c>
      <c r="Q758" t="s">
        <v>1294</v>
      </c>
      <c r="S758" t="s">
        <v>1294</v>
      </c>
      <c r="T758" t="s">
        <v>2801</v>
      </c>
      <c r="U758">
        <v>0</v>
      </c>
      <c r="V758" t="s">
        <v>1405</v>
      </c>
    </row>
    <row r="759" spans="1:22" ht="45" x14ac:dyDescent="0.25">
      <c r="A759" t="s">
        <v>1871</v>
      </c>
      <c r="B759" s="1" t="s">
        <v>1405</v>
      </c>
      <c r="C759" s="1" t="s">
        <v>1530</v>
      </c>
      <c r="D759" s="1" t="s">
        <v>1288</v>
      </c>
      <c r="E759" s="1" t="s">
        <v>1649</v>
      </c>
      <c r="F759" t="s">
        <v>2802</v>
      </c>
      <c r="G759" t="s">
        <v>1406</v>
      </c>
      <c r="H759" t="s">
        <v>1311</v>
      </c>
      <c r="I759" t="s">
        <v>1285</v>
      </c>
      <c r="J759" t="s">
        <v>1170</v>
      </c>
      <c r="K759" t="s">
        <v>1407</v>
      </c>
      <c r="L759" t="s">
        <v>1408</v>
      </c>
      <c r="M759" t="s">
        <v>1409</v>
      </c>
      <c r="N759" t="s">
        <v>1289</v>
      </c>
      <c r="O759" s="1" t="s">
        <v>1305</v>
      </c>
      <c r="P759" t="s">
        <v>1291</v>
      </c>
      <c r="Q759" t="s">
        <v>1294</v>
      </c>
      <c r="S759" t="s">
        <v>1294</v>
      </c>
      <c r="T759" t="s">
        <v>2803</v>
      </c>
      <c r="U759">
        <v>0</v>
      </c>
      <c r="V759" t="s">
        <v>1405</v>
      </c>
    </row>
    <row r="760" spans="1:22" ht="45" x14ac:dyDescent="0.25">
      <c r="A760" t="s">
        <v>1871</v>
      </c>
      <c r="B760" s="1" t="s">
        <v>1405</v>
      </c>
      <c r="C760" s="1" t="s">
        <v>1530</v>
      </c>
      <c r="D760" s="1" t="s">
        <v>1288</v>
      </c>
      <c r="E760" s="1" t="s">
        <v>1649</v>
      </c>
      <c r="F760" t="s">
        <v>2804</v>
      </c>
      <c r="G760" t="s">
        <v>1406</v>
      </c>
      <c r="H760" t="s">
        <v>1311</v>
      </c>
      <c r="I760" t="s">
        <v>1285</v>
      </c>
      <c r="J760" t="s">
        <v>1170</v>
      </c>
      <c r="K760" t="s">
        <v>1407</v>
      </c>
      <c r="L760" t="s">
        <v>1408</v>
      </c>
      <c r="M760" t="s">
        <v>1409</v>
      </c>
      <c r="N760" t="s">
        <v>1289</v>
      </c>
      <c r="O760" s="1" t="s">
        <v>1305</v>
      </c>
      <c r="P760" t="s">
        <v>1291</v>
      </c>
      <c r="Q760" t="s">
        <v>1294</v>
      </c>
      <c r="S760" t="s">
        <v>1294</v>
      </c>
      <c r="T760" t="s">
        <v>2805</v>
      </c>
      <c r="U760">
        <v>0</v>
      </c>
      <c r="V760" t="s">
        <v>1405</v>
      </c>
    </row>
    <row r="761" spans="1:22" ht="45" x14ac:dyDescent="0.25">
      <c r="A761" t="s">
        <v>1871</v>
      </c>
      <c r="B761" s="1" t="s">
        <v>1405</v>
      </c>
      <c r="C761" s="1" t="s">
        <v>1530</v>
      </c>
      <c r="D761" s="1" t="s">
        <v>1288</v>
      </c>
      <c r="E761" s="1" t="s">
        <v>1649</v>
      </c>
      <c r="F761" t="s">
        <v>2806</v>
      </c>
      <c r="G761" t="s">
        <v>1406</v>
      </c>
      <c r="H761" t="s">
        <v>1311</v>
      </c>
      <c r="I761" t="s">
        <v>1285</v>
      </c>
      <c r="J761" t="s">
        <v>1170</v>
      </c>
      <c r="K761" t="s">
        <v>1407</v>
      </c>
      <c r="L761" t="s">
        <v>1408</v>
      </c>
      <c r="M761" t="s">
        <v>1409</v>
      </c>
      <c r="N761" t="s">
        <v>1289</v>
      </c>
      <c r="O761" s="1" t="s">
        <v>1305</v>
      </c>
      <c r="P761" t="s">
        <v>1291</v>
      </c>
      <c r="Q761" t="s">
        <v>1294</v>
      </c>
      <c r="S761" t="s">
        <v>1294</v>
      </c>
      <c r="T761" t="s">
        <v>2807</v>
      </c>
      <c r="U761">
        <v>0</v>
      </c>
      <c r="V761" t="s">
        <v>1405</v>
      </c>
    </row>
    <row r="762" spans="1:22" ht="45" x14ac:dyDescent="0.25">
      <c r="A762" t="s">
        <v>1871</v>
      </c>
      <c r="B762" s="1" t="s">
        <v>1405</v>
      </c>
      <c r="C762" s="1" t="s">
        <v>1530</v>
      </c>
      <c r="D762" s="1" t="s">
        <v>1288</v>
      </c>
      <c r="E762" s="1" t="s">
        <v>1649</v>
      </c>
      <c r="F762" t="s">
        <v>2808</v>
      </c>
      <c r="G762" t="s">
        <v>1406</v>
      </c>
      <c r="H762" t="s">
        <v>1311</v>
      </c>
      <c r="I762" t="s">
        <v>1285</v>
      </c>
      <c r="J762" t="s">
        <v>1170</v>
      </c>
      <c r="K762" t="s">
        <v>1407</v>
      </c>
      <c r="L762" t="s">
        <v>1408</v>
      </c>
      <c r="M762" t="s">
        <v>1409</v>
      </c>
      <c r="N762" t="s">
        <v>1289</v>
      </c>
      <c r="O762" s="1" t="s">
        <v>1305</v>
      </c>
      <c r="P762" t="s">
        <v>1291</v>
      </c>
      <c r="Q762" t="s">
        <v>1294</v>
      </c>
      <c r="S762" t="s">
        <v>1294</v>
      </c>
      <c r="T762" t="s">
        <v>2809</v>
      </c>
      <c r="U762">
        <v>0</v>
      </c>
      <c r="V762" t="s">
        <v>1405</v>
      </c>
    </row>
    <row r="763" spans="1:22" ht="45" x14ac:dyDescent="0.25">
      <c r="A763" t="s">
        <v>1871</v>
      </c>
      <c r="B763" s="1" t="s">
        <v>1405</v>
      </c>
      <c r="C763" s="1" t="s">
        <v>1530</v>
      </c>
      <c r="D763" s="1" t="s">
        <v>1288</v>
      </c>
      <c r="E763" s="1" t="s">
        <v>1649</v>
      </c>
      <c r="F763" t="s">
        <v>2810</v>
      </c>
      <c r="G763" t="s">
        <v>1406</v>
      </c>
      <c r="H763" t="s">
        <v>1311</v>
      </c>
      <c r="I763" t="s">
        <v>1285</v>
      </c>
      <c r="J763" t="s">
        <v>1170</v>
      </c>
      <c r="K763" t="s">
        <v>1407</v>
      </c>
      <c r="L763" t="s">
        <v>1408</v>
      </c>
      <c r="M763" t="s">
        <v>1409</v>
      </c>
      <c r="N763" t="s">
        <v>1289</v>
      </c>
      <c r="O763" s="1" t="s">
        <v>1305</v>
      </c>
      <c r="P763" t="s">
        <v>1291</v>
      </c>
      <c r="Q763" t="s">
        <v>1294</v>
      </c>
      <c r="S763" t="s">
        <v>1294</v>
      </c>
      <c r="T763" t="s">
        <v>2811</v>
      </c>
      <c r="U763">
        <v>0</v>
      </c>
      <c r="V763" t="s">
        <v>1405</v>
      </c>
    </row>
    <row r="764" spans="1:22" ht="45" x14ac:dyDescent="0.25">
      <c r="A764" t="s">
        <v>1871</v>
      </c>
      <c r="B764" s="1" t="s">
        <v>1405</v>
      </c>
      <c r="C764" s="1" t="s">
        <v>1530</v>
      </c>
      <c r="D764" s="1" t="s">
        <v>1288</v>
      </c>
      <c r="E764" s="1" t="s">
        <v>1649</v>
      </c>
      <c r="F764" t="s">
        <v>2812</v>
      </c>
      <c r="G764" t="s">
        <v>1406</v>
      </c>
      <c r="H764" t="s">
        <v>1311</v>
      </c>
      <c r="I764" t="s">
        <v>1285</v>
      </c>
      <c r="J764" t="s">
        <v>1170</v>
      </c>
      <c r="K764" t="s">
        <v>1407</v>
      </c>
      <c r="L764" t="s">
        <v>1408</v>
      </c>
      <c r="M764" t="s">
        <v>1409</v>
      </c>
      <c r="N764" t="s">
        <v>1289</v>
      </c>
      <c r="O764" s="1" t="s">
        <v>1305</v>
      </c>
      <c r="P764" t="s">
        <v>1291</v>
      </c>
      <c r="Q764" t="s">
        <v>1294</v>
      </c>
      <c r="S764" t="s">
        <v>1294</v>
      </c>
      <c r="T764" t="s">
        <v>2813</v>
      </c>
      <c r="U764">
        <v>0</v>
      </c>
      <c r="V764" t="s">
        <v>1405</v>
      </c>
    </row>
    <row r="765" spans="1:22" ht="45" x14ac:dyDescent="0.25">
      <c r="A765" t="s">
        <v>1871</v>
      </c>
      <c r="B765" s="1" t="s">
        <v>1405</v>
      </c>
      <c r="C765" s="1" t="s">
        <v>1530</v>
      </c>
      <c r="D765" s="1" t="s">
        <v>1288</v>
      </c>
      <c r="E765" s="1" t="s">
        <v>1649</v>
      </c>
      <c r="F765" t="s">
        <v>2814</v>
      </c>
      <c r="G765" t="s">
        <v>1406</v>
      </c>
      <c r="H765" t="s">
        <v>1311</v>
      </c>
      <c r="I765" t="s">
        <v>1285</v>
      </c>
      <c r="J765" t="s">
        <v>1170</v>
      </c>
      <c r="K765" t="s">
        <v>1407</v>
      </c>
      <c r="L765" t="s">
        <v>1408</v>
      </c>
      <c r="M765" t="s">
        <v>1409</v>
      </c>
      <c r="N765" t="s">
        <v>1289</v>
      </c>
      <c r="O765" s="1" t="s">
        <v>1305</v>
      </c>
      <c r="P765" t="s">
        <v>1291</v>
      </c>
      <c r="Q765" t="s">
        <v>1294</v>
      </c>
      <c r="S765" t="s">
        <v>1294</v>
      </c>
      <c r="T765" t="s">
        <v>2815</v>
      </c>
      <c r="U765">
        <v>0</v>
      </c>
      <c r="V765" t="s">
        <v>1405</v>
      </c>
    </row>
    <row r="766" spans="1:22" ht="45" x14ac:dyDescent="0.25">
      <c r="A766" t="s">
        <v>1871</v>
      </c>
      <c r="B766" s="1" t="s">
        <v>1405</v>
      </c>
      <c r="C766" s="1" t="s">
        <v>1530</v>
      </c>
      <c r="D766" s="1" t="s">
        <v>1288</v>
      </c>
      <c r="E766" s="1" t="s">
        <v>1649</v>
      </c>
      <c r="F766" t="s">
        <v>2816</v>
      </c>
      <c r="G766" t="s">
        <v>1406</v>
      </c>
      <c r="H766" t="s">
        <v>1311</v>
      </c>
      <c r="I766" t="s">
        <v>1285</v>
      </c>
      <c r="J766" t="s">
        <v>1170</v>
      </c>
      <c r="K766" t="s">
        <v>1407</v>
      </c>
      <c r="L766" t="s">
        <v>1408</v>
      </c>
      <c r="M766" t="s">
        <v>1409</v>
      </c>
      <c r="N766" t="s">
        <v>1289</v>
      </c>
      <c r="O766" s="1" t="s">
        <v>1305</v>
      </c>
      <c r="P766" t="s">
        <v>1291</v>
      </c>
      <c r="Q766" t="s">
        <v>1294</v>
      </c>
      <c r="S766" t="s">
        <v>1294</v>
      </c>
      <c r="T766" t="s">
        <v>2817</v>
      </c>
      <c r="U766">
        <v>0</v>
      </c>
      <c r="V766" t="s">
        <v>1405</v>
      </c>
    </row>
    <row r="767" spans="1:22" ht="45" x14ac:dyDescent="0.25">
      <c r="A767" t="s">
        <v>1871</v>
      </c>
      <c r="B767" s="1" t="s">
        <v>1405</v>
      </c>
      <c r="C767" s="1" t="s">
        <v>1530</v>
      </c>
      <c r="D767" s="1" t="s">
        <v>1288</v>
      </c>
      <c r="E767" s="1" t="s">
        <v>1649</v>
      </c>
      <c r="F767" t="s">
        <v>2818</v>
      </c>
      <c r="G767" t="s">
        <v>1406</v>
      </c>
      <c r="H767" t="s">
        <v>1311</v>
      </c>
      <c r="I767" t="s">
        <v>1285</v>
      </c>
      <c r="J767" t="s">
        <v>1170</v>
      </c>
      <c r="K767" t="s">
        <v>1407</v>
      </c>
      <c r="L767" t="s">
        <v>1408</v>
      </c>
      <c r="M767" t="s">
        <v>1409</v>
      </c>
      <c r="N767" t="s">
        <v>1289</v>
      </c>
      <c r="O767" s="1" t="s">
        <v>1305</v>
      </c>
      <c r="P767" t="s">
        <v>1291</v>
      </c>
      <c r="Q767" t="s">
        <v>1294</v>
      </c>
      <c r="S767" t="s">
        <v>1294</v>
      </c>
      <c r="T767" t="s">
        <v>2819</v>
      </c>
      <c r="U767">
        <v>0</v>
      </c>
      <c r="V767" t="s">
        <v>1405</v>
      </c>
    </row>
    <row r="768" spans="1:22" ht="45" x14ac:dyDescent="0.25">
      <c r="A768" t="s">
        <v>1871</v>
      </c>
      <c r="B768" s="1" t="s">
        <v>1405</v>
      </c>
      <c r="C768" s="1" t="s">
        <v>1530</v>
      </c>
      <c r="D768" s="1" t="s">
        <v>1288</v>
      </c>
      <c r="E768" s="1" t="s">
        <v>1649</v>
      </c>
      <c r="F768" t="s">
        <v>2820</v>
      </c>
      <c r="G768" t="s">
        <v>1406</v>
      </c>
      <c r="H768" t="s">
        <v>1311</v>
      </c>
      <c r="I768" t="s">
        <v>1285</v>
      </c>
      <c r="J768" t="s">
        <v>1170</v>
      </c>
      <c r="K768" t="s">
        <v>1407</v>
      </c>
      <c r="L768" t="s">
        <v>1408</v>
      </c>
      <c r="M768" t="s">
        <v>1409</v>
      </c>
      <c r="N768" t="s">
        <v>1289</v>
      </c>
      <c r="O768" s="1" t="s">
        <v>1305</v>
      </c>
      <c r="P768" t="s">
        <v>1291</v>
      </c>
      <c r="Q768" t="s">
        <v>1294</v>
      </c>
      <c r="S768" t="s">
        <v>1294</v>
      </c>
      <c r="T768" t="s">
        <v>2821</v>
      </c>
      <c r="U768">
        <v>0</v>
      </c>
      <c r="V768" t="s">
        <v>1405</v>
      </c>
    </row>
    <row r="769" spans="1:22" ht="45" x14ac:dyDescent="0.25">
      <c r="A769" t="s">
        <v>1871</v>
      </c>
      <c r="B769" s="1" t="s">
        <v>1405</v>
      </c>
      <c r="C769" s="1" t="s">
        <v>1530</v>
      </c>
      <c r="D769" s="1" t="s">
        <v>1288</v>
      </c>
      <c r="E769" s="1" t="s">
        <v>1649</v>
      </c>
      <c r="F769" t="s">
        <v>2822</v>
      </c>
      <c r="G769" t="s">
        <v>1406</v>
      </c>
      <c r="H769" t="s">
        <v>1311</v>
      </c>
      <c r="I769" t="s">
        <v>1285</v>
      </c>
      <c r="J769" t="s">
        <v>1170</v>
      </c>
      <c r="K769" t="s">
        <v>1407</v>
      </c>
      <c r="L769" t="s">
        <v>1408</v>
      </c>
      <c r="M769" t="s">
        <v>1409</v>
      </c>
      <c r="N769" t="s">
        <v>1289</v>
      </c>
      <c r="O769" s="1" t="s">
        <v>1305</v>
      </c>
      <c r="P769" t="s">
        <v>1291</v>
      </c>
      <c r="Q769" t="s">
        <v>1294</v>
      </c>
      <c r="S769" t="s">
        <v>1294</v>
      </c>
      <c r="T769" t="s">
        <v>2823</v>
      </c>
      <c r="U769">
        <v>0</v>
      </c>
      <c r="V769" t="s">
        <v>1405</v>
      </c>
    </row>
    <row r="770" spans="1:22" ht="45" x14ac:dyDescent="0.25">
      <c r="A770" t="s">
        <v>1871</v>
      </c>
      <c r="B770" s="1" t="s">
        <v>1405</v>
      </c>
      <c r="C770" s="1" t="s">
        <v>1530</v>
      </c>
      <c r="D770" s="1" t="s">
        <v>1288</v>
      </c>
      <c r="E770" s="1" t="s">
        <v>1649</v>
      </c>
      <c r="F770" t="s">
        <v>2824</v>
      </c>
      <c r="G770" t="s">
        <v>1406</v>
      </c>
      <c r="H770" t="s">
        <v>1311</v>
      </c>
      <c r="I770" t="s">
        <v>1285</v>
      </c>
      <c r="J770" t="s">
        <v>1170</v>
      </c>
      <c r="K770" t="s">
        <v>1407</v>
      </c>
      <c r="L770" t="s">
        <v>1408</v>
      </c>
      <c r="M770" t="s">
        <v>1409</v>
      </c>
      <c r="N770" t="s">
        <v>1289</v>
      </c>
      <c r="O770" s="1" t="s">
        <v>1305</v>
      </c>
      <c r="P770" t="s">
        <v>1291</v>
      </c>
      <c r="Q770" t="s">
        <v>1294</v>
      </c>
      <c r="S770" t="s">
        <v>1294</v>
      </c>
      <c r="T770" t="s">
        <v>2825</v>
      </c>
      <c r="U770">
        <v>0</v>
      </c>
      <c r="V770" t="s">
        <v>1405</v>
      </c>
    </row>
    <row r="771" spans="1:22" ht="45" x14ac:dyDescent="0.25">
      <c r="A771" t="s">
        <v>1871</v>
      </c>
      <c r="B771" s="1" t="s">
        <v>1405</v>
      </c>
      <c r="C771" s="1" t="s">
        <v>1530</v>
      </c>
      <c r="D771" s="1" t="s">
        <v>1288</v>
      </c>
      <c r="E771" s="1" t="s">
        <v>1649</v>
      </c>
      <c r="F771" t="s">
        <v>2826</v>
      </c>
      <c r="G771" t="s">
        <v>1406</v>
      </c>
      <c r="H771" t="s">
        <v>1311</v>
      </c>
      <c r="I771" t="s">
        <v>1285</v>
      </c>
      <c r="J771" t="s">
        <v>1170</v>
      </c>
      <c r="K771" t="s">
        <v>1407</v>
      </c>
      <c r="L771" t="s">
        <v>1408</v>
      </c>
      <c r="M771" t="s">
        <v>1409</v>
      </c>
      <c r="N771" t="s">
        <v>1289</v>
      </c>
      <c r="O771" s="1" t="s">
        <v>1305</v>
      </c>
      <c r="P771" t="s">
        <v>1291</v>
      </c>
      <c r="Q771" t="s">
        <v>1294</v>
      </c>
      <c r="S771" t="s">
        <v>1294</v>
      </c>
      <c r="T771" t="s">
        <v>2827</v>
      </c>
      <c r="U771">
        <v>0</v>
      </c>
      <c r="V771" t="s">
        <v>1405</v>
      </c>
    </row>
    <row r="772" spans="1:22" ht="45" x14ac:dyDescent="0.25">
      <c r="A772" t="s">
        <v>1871</v>
      </c>
      <c r="B772" s="1" t="s">
        <v>1405</v>
      </c>
      <c r="C772" s="1" t="s">
        <v>1530</v>
      </c>
      <c r="D772" s="1" t="s">
        <v>1288</v>
      </c>
      <c r="E772" s="1" t="s">
        <v>1649</v>
      </c>
      <c r="F772" t="s">
        <v>2828</v>
      </c>
      <c r="G772" t="s">
        <v>1406</v>
      </c>
      <c r="H772" t="s">
        <v>1311</v>
      </c>
      <c r="I772" t="s">
        <v>1285</v>
      </c>
      <c r="J772" t="s">
        <v>1170</v>
      </c>
      <c r="K772" t="s">
        <v>1407</v>
      </c>
      <c r="L772" t="s">
        <v>1408</v>
      </c>
      <c r="M772" t="s">
        <v>1409</v>
      </c>
      <c r="N772" t="s">
        <v>1289</v>
      </c>
      <c r="O772" s="1" t="s">
        <v>1305</v>
      </c>
      <c r="P772" t="s">
        <v>1291</v>
      </c>
      <c r="Q772" t="s">
        <v>1294</v>
      </c>
      <c r="S772" t="s">
        <v>1294</v>
      </c>
      <c r="T772" t="s">
        <v>2829</v>
      </c>
      <c r="U772">
        <v>0</v>
      </c>
      <c r="V772" t="s">
        <v>1405</v>
      </c>
    </row>
    <row r="773" spans="1:22" ht="45" x14ac:dyDescent="0.25">
      <c r="A773" t="s">
        <v>1871</v>
      </c>
      <c r="B773" s="1" t="s">
        <v>1405</v>
      </c>
      <c r="C773" s="1" t="s">
        <v>1530</v>
      </c>
      <c r="D773" s="1" t="s">
        <v>1288</v>
      </c>
      <c r="E773" s="1" t="s">
        <v>1649</v>
      </c>
      <c r="F773" t="s">
        <v>2830</v>
      </c>
      <c r="G773" t="s">
        <v>1406</v>
      </c>
      <c r="H773" t="s">
        <v>1311</v>
      </c>
      <c r="I773" t="s">
        <v>1285</v>
      </c>
      <c r="J773" t="s">
        <v>1170</v>
      </c>
      <c r="K773" t="s">
        <v>1407</v>
      </c>
      <c r="L773" t="s">
        <v>1408</v>
      </c>
      <c r="M773" t="s">
        <v>1409</v>
      </c>
      <c r="N773" t="s">
        <v>1289</v>
      </c>
      <c r="O773" s="1" t="s">
        <v>1305</v>
      </c>
      <c r="P773" t="s">
        <v>1291</v>
      </c>
      <c r="Q773" t="s">
        <v>1294</v>
      </c>
      <c r="S773" t="s">
        <v>1294</v>
      </c>
      <c r="T773" t="s">
        <v>2831</v>
      </c>
      <c r="U773">
        <v>0</v>
      </c>
      <c r="V773" t="s">
        <v>1405</v>
      </c>
    </row>
    <row r="774" spans="1:22" ht="45" x14ac:dyDescent="0.25">
      <c r="A774" t="s">
        <v>1871</v>
      </c>
      <c r="B774" s="1" t="s">
        <v>1405</v>
      </c>
      <c r="C774" s="1" t="s">
        <v>1530</v>
      </c>
      <c r="D774" s="1" t="s">
        <v>1288</v>
      </c>
      <c r="E774" s="1" t="s">
        <v>1368</v>
      </c>
      <c r="F774" t="s">
        <v>2851</v>
      </c>
      <c r="G774" t="s">
        <v>1406</v>
      </c>
      <c r="H774" t="s">
        <v>1311</v>
      </c>
      <c r="I774" t="s">
        <v>1285</v>
      </c>
      <c r="J774" t="s">
        <v>1170</v>
      </c>
      <c r="K774" t="s">
        <v>1407</v>
      </c>
      <c r="L774" t="s">
        <v>1408</v>
      </c>
      <c r="M774" t="s">
        <v>1409</v>
      </c>
      <c r="N774" t="s">
        <v>1289</v>
      </c>
      <c r="O774" s="1" t="s">
        <v>1305</v>
      </c>
      <c r="P774" t="s">
        <v>1291</v>
      </c>
      <c r="Q774" t="s">
        <v>1294</v>
      </c>
      <c r="S774" t="s">
        <v>1294</v>
      </c>
      <c r="T774" t="s">
        <v>2852</v>
      </c>
      <c r="U774">
        <v>0</v>
      </c>
      <c r="V774" t="s">
        <v>1405</v>
      </c>
    </row>
    <row r="775" spans="1:22" ht="45" x14ac:dyDescent="0.25">
      <c r="A775" t="s">
        <v>1871</v>
      </c>
      <c r="B775" s="1" t="s">
        <v>1405</v>
      </c>
      <c r="C775" s="1" t="s">
        <v>1530</v>
      </c>
      <c r="D775" s="1" t="s">
        <v>1288</v>
      </c>
      <c r="E775" s="1" t="s">
        <v>1410</v>
      </c>
      <c r="F775" t="s">
        <v>2882</v>
      </c>
      <c r="G775" t="s">
        <v>1406</v>
      </c>
      <c r="H775" t="s">
        <v>1311</v>
      </c>
      <c r="I775" t="s">
        <v>1285</v>
      </c>
      <c r="J775" t="s">
        <v>1170</v>
      </c>
      <c r="K775" t="s">
        <v>1407</v>
      </c>
      <c r="L775" t="s">
        <v>1408</v>
      </c>
      <c r="M775" t="s">
        <v>1409</v>
      </c>
      <c r="N775" t="s">
        <v>1289</v>
      </c>
      <c r="O775" s="1" t="s">
        <v>1305</v>
      </c>
      <c r="P775" t="s">
        <v>1291</v>
      </c>
      <c r="Q775" t="s">
        <v>1294</v>
      </c>
      <c r="S775" t="s">
        <v>1294</v>
      </c>
      <c r="T775" t="s">
        <v>2883</v>
      </c>
      <c r="U775">
        <v>0</v>
      </c>
      <c r="V775" t="s">
        <v>1405</v>
      </c>
    </row>
    <row r="776" spans="1:22" ht="45" x14ac:dyDescent="0.25">
      <c r="A776" t="s">
        <v>1871</v>
      </c>
      <c r="B776" s="1" t="s">
        <v>1405</v>
      </c>
      <c r="C776" s="1" t="s">
        <v>1530</v>
      </c>
      <c r="D776" s="1" t="s">
        <v>1288</v>
      </c>
      <c r="E776" s="1" t="s">
        <v>1410</v>
      </c>
      <c r="F776" t="s">
        <v>2884</v>
      </c>
      <c r="G776" t="s">
        <v>1406</v>
      </c>
      <c r="H776" t="s">
        <v>1311</v>
      </c>
      <c r="I776" t="s">
        <v>1285</v>
      </c>
      <c r="J776" t="s">
        <v>1170</v>
      </c>
      <c r="K776" t="s">
        <v>1407</v>
      </c>
      <c r="L776" t="s">
        <v>1408</v>
      </c>
      <c r="M776" t="s">
        <v>1409</v>
      </c>
      <c r="N776" t="s">
        <v>1289</v>
      </c>
      <c r="O776" s="1" t="s">
        <v>1305</v>
      </c>
      <c r="P776" t="s">
        <v>1291</v>
      </c>
      <c r="Q776" t="s">
        <v>1294</v>
      </c>
      <c r="S776" t="s">
        <v>1294</v>
      </c>
      <c r="T776" t="s">
        <v>2885</v>
      </c>
      <c r="U776">
        <v>0</v>
      </c>
      <c r="V776" t="s">
        <v>1405</v>
      </c>
    </row>
    <row r="777" spans="1:22" ht="45" x14ac:dyDescent="0.25">
      <c r="A777" t="s">
        <v>1871</v>
      </c>
      <c r="B777" s="1" t="s">
        <v>1405</v>
      </c>
      <c r="C777" s="1" t="s">
        <v>1530</v>
      </c>
      <c r="D777" s="1" t="s">
        <v>1288</v>
      </c>
      <c r="E777" s="1" t="s">
        <v>1410</v>
      </c>
      <c r="F777" t="s">
        <v>2886</v>
      </c>
      <c r="G777" t="s">
        <v>1406</v>
      </c>
      <c r="H777" t="s">
        <v>1311</v>
      </c>
      <c r="I777" t="s">
        <v>1285</v>
      </c>
      <c r="J777" t="s">
        <v>1170</v>
      </c>
      <c r="K777" t="s">
        <v>1407</v>
      </c>
      <c r="L777" t="s">
        <v>1408</v>
      </c>
      <c r="M777" t="s">
        <v>1409</v>
      </c>
      <c r="N777" t="s">
        <v>1289</v>
      </c>
      <c r="O777" s="1" t="s">
        <v>1305</v>
      </c>
      <c r="P777" t="s">
        <v>1291</v>
      </c>
      <c r="Q777" t="s">
        <v>1294</v>
      </c>
      <c r="S777" t="s">
        <v>1294</v>
      </c>
      <c r="T777" t="s">
        <v>2887</v>
      </c>
      <c r="U777">
        <v>0</v>
      </c>
      <c r="V777" t="s">
        <v>1405</v>
      </c>
    </row>
    <row r="778" spans="1:22" ht="45" x14ac:dyDescent="0.25">
      <c r="A778" t="s">
        <v>1871</v>
      </c>
      <c r="B778" s="1" t="s">
        <v>1405</v>
      </c>
      <c r="C778" s="1" t="s">
        <v>1530</v>
      </c>
      <c r="D778" s="1" t="s">
        <v>1288</v>
      </c>
      <c r="E778" s="1" t="s">
        <v>1316</v>
      </c>
      <c r="F778" t="s">
        <v>2933</v>
      </c>
      <c r="G778" t="s">
        <v>1406</v>
      </c>
      <c r="H778" t="s">
        <v>1311</v>
      </c>
      <c r="I778" t="s">
        <v>1285</v>
      </c>
      <c r="J778" t="s">
        <v>1170</v>
      </c>
      <c r="K778" t="s">
        <v>1407</v>
      </c>
      <c r="L778" t="s">
        <v>1408</v>
      </c>
      <c r="M778" t="s">
        <v>1409</v>
      </c>
      <c r="N778" t="s">
        <v>1289</v>
      </c>
      <c r="O778" s="1" t="s">
        <v>1305</v>
      </c>
      <c r="P778" t="s">
        <v>1291</v>
      </c>
      <c r="Q778" t="s">
        <v>1294</v>
      </c>
      <c r="S778" t="s">
        <v>1294</v>
      </c>
      <c r="T778" t="s">
        <v>2934</v>
      </c>
      <c r="U778">
        <v>0</v>
      </c>
      <c r="V778" t="s">
        <v>1405</v>
      </c>
    </row>
    <row r="779" spans="1:22" ht="45" x14ac:dyDescent="0.25">
      <c r="A779" t="s">
        <v>1871</v>
      </c>
      <c r="B779" s="1" t="s">
        <v>1405</v>
      </c>
      <c r="C779" s="1" t="s">
        <v>1530</v>
      </c>
      <c r="D779" s="1" t="s">
        <v>1288</v>
      </c>
      <c r="E779" s="1" t="s">
        <v>1316</v>
      </c>
      <c r="F779" t="s">
        <v>3019</v>
      </c>
      <c r="G779" t="s">
        <v>1406</v>
      </c>
      <c r="H779" t="s">
        <v>1311</v>
      </c>
      <c r="I779" t="s">
        <v>1285</v>
      </c>
      <c r="J779" t="s">
        <v>1170</v>
      </c>
      <c r="K779" t="s">
        <v>1407</v>
      </c>
      <c r="L779" t="s">
        <v>1408</v>
      </c>
      <c r="M779" t="s">
        <v>1409</v>
      </c>
      <c r="N779" t="s">
        <v>1289</v>
      </c>
      <c r="O779" s="1" t="s">
        <v>1305</v>
      </c>
      <c r="P779" t="s">
        <v>1291</v>
      </c>
      <c r="Q779" t="s">
        <v>1294</v>
      </c>
      <c r="S779" t="s">
        <v>1294</v>
      </c>
      <c r="T779" t="s">
        <v>3020</v>
      </c>
      <c r="U779">
        <v>0</v>
      </c>
      <c r="V779" t="s">
        <v>1405</v>
      </c>
    </row>
    <row r="780" spans="1:22" ht="45" x14ac:dyDescent="0.25">
      <c r="A780" t="s">
        <v>1871</v>
      </c>
      <c r="B780" s="1" t="s">
        <v>1405</v>
      </c>
      <c r="C780" s="1" t="s">
        <v>1530</v>
      </c>
      <c r="D780" s="1" t="s">
        <v>1288</v>
      </c>
      <c r="E780" s="1" t="s">
        <v>1374</v>
      </c>
      <c r="F780" t="s">
        <v>3044</v>
      </c>
      <c r="G780" t="s">
        <v>1406</v>
      </c>
      <c r="H780" t="s">
        <v>1311</v>
      </c>
      <c r="I780" t="s">
        <v>1285</v>
      </c>
      <c r="J780" t="s">
        <v>1170</v>
      </c>
      <c r="K780" t="s">
        <v>1407</v>
      </c>
      <c r="L780" t="s">
        <v>1408</v>
      </c>
      <c r="M780" t="s">
        <v>1409</v>
      </c>
      <c r="N780" t="s">
        <v>1289</v>
      </c>
      <c r="O780" s="1" t="s">
        <v>1305</v>
      </c>
      <c r="P780" t="s">
        <v>1291</v>
      </c>
      <c r="Q780" t="s">
        <v>1294</v>
      </c>
      <c r="S780" t="s">
        <v>1294</v>
      </c>
      <c r="T780" t="s">
        <v>3045</v>
      </c>
      <c r="U780">
        <v>0</v>
      </c>
      <c r="V780" t="s">
        <v>1405</v>
      </c>
    </row>
    <row r="781" spans="1:22" ht="45" x14ac:dyDescent="0.25">
      <c r="A781" t="s">
        <v>1871</v>
      </c>
      <c r="B781" s="1" t="s">
        <v>1405</v>
      </c>
      <c r="C781" s="1" t="s">
        <v>1530</v>
      </c>
      <c r="D781" s="1" t="s">
        <v>1288</v>
      </c>
      <c r="E781" s="1" t="s">
        <v>1410</v>
      </c>
      <c r="F781" t="s">
        <v>3050</v>
      </c>
      <c r="G781" t="s">
        <v>1406</v>
      </c>
      <c r="H781" t="s">
        <v>1311</v>
      </c>
      <c r="I781" t="s">
        <v>1285</v>
      </c>
      <c r="J781" t="s">
        <v>1170</v>
      </c>
      <c r="K781" t="s">
        <v>1407</v>
      </c>
      <c r="L781" t="s">
        <v>1408</v>
      </c>
      <c r="M781" t="s">
        <v>1409</v>
      </c>
      <c r="N781" t="s">
        <v>1289</v>
      </c>
      <c r="O781" s="1" t="s">
        <v>1305</v>
      </c>
      <c r="P781" t="s">
        <v>1291</v>
      </c>
      <c r="Q781" t="s">
        <v>1294</v>
      </c>
      <c r="S781" t="s">
        <v>1294</v>
      </c>
      <c r="T781" t="s">
        <v>3051</v>
      </c>
      <c r="U781">
        <v>0</v>
      </c>
      <c r="V781" t="s">
        <v>1405</v>
      </c>
    </row>
    <row r="782" spans="1:22" ht="45" x14ac:dyDescent="0.25">
      <c r="A782" t="s">
        <v>1871</v>
      </c>
      <c r="B782" s="1" t="s">
        <v>1405</v>
      </c>
      <c r="C782" s="1" t="s">
        <v>1530</v>
      </c>
      <c r="D782" s="1" t="s">
        <v>1288</v>
      </c>
      <c r="E782" s="1" t="s">
        <v>1374</v>
      </c>
      <c r="F782" t="s">
        <v>3052</v>
      </c>
      <c r="G782" t="s">
        <v>1406</v>
      </c>
      <c r="H782" t="s">
        <v>1311</v>
      </c>
      <c r="I782" t="s">
        <v>1285</v>
      </c>
      <c r="J782" t="s">
        <v>1170</v>
      </c>
      <c r="K782" t="s">
        <v>1407</v>
      </c>
      <c r="L782" t="s">
        <v>1408</v>
      </c>
      <c r="M782" t="s">
        <v>1409</v>
      </c>
      <c r="N782" t="s">
        <v>1289</v>
      </c>
      <c r="O782" s="1" t="s">
        <v>1305</v>
      </c>
      <c r="P782" t="s">
        <v>1291</v>
      </c>
      <c r="Q782" t="s">
        <v>1294</v>
      </c>
      <c r="S782" t="s">
        <v>1294</v>
      </c>
      <c r="T782" t="s">
        <v>3053</v>
      </c>
      <c r="U782">
        <v>0</v>
      </c>
      <c r="V782" t="s">
        <v>1405</v>
      </c>
    </row>
    <row r="783" spans="1:22" ht="45" x14ac:dyDescent="0.25">
      <c r="A783" t="s">
        <v>1871</v>
      </c>
      <c r="B783" s="1" t="s">
        <v>1405</v>
      </c>
      <c r="C783" s="1" t="s">
        <v>1530</v>
      </c>
      <c r="D783" s="1" t="s">
        <v>1288</v>
      </c>
      <c r="E783" s="1" t="s">
        <v>1368</v>
      </c>
      <c r="F783" t="s">
        <v>3064</v>
      </c>
      <c r="G783" t="s">
        <v>1406</v>
      </c>
      <c r="H783" t="s">
        <v>1311</v>
      </c>
      <c r="I783" t="s">
        <v>1285</v>
      </c>
      <c r="J783" t="s">
        <v>1170</v>
      </c>
      <c r="K783" t="s">
        <v>1407</v>
      </c>
      <c r="L783" t="s">
        <v>1408</v>
      </c>
      <c r="M783" t="s">
        <v>1409</v>
      </c>
      <c r="N783" t="s">
        <v>1289</v>
      </c>
      <c r="O783" s="1" t="s">
        <v>1305</v>
      </c>
      <c r="P783" t="s">
        <v>1291</v>
      </c>
      <c r="Q783" t="s">
        <v>1294</v>
      </c>
      <c r="S783" t="s">
        <v>1294</v>
      </c>
      <c r="T783" t="s">
        <v>3065</v>
      </c>
      <c r="U783">
        <v>0</v>
      </c>
      <c r="V783" t="s">
        <v>1405</v>
      </c>
    </row>
    <row r="784" spans="1:22" ht="45" x14ac:dyDescent="0.25">
      <c r="A784" t="s">
        <v>1871</v>
      </c>
      <c r="B784" s="1" t="s">
        <v>1405</v>
      </c>
      <c r="C784" s="1" t="s">
        <v>1530</v>
      </c>
      <c r="D784" s="1" t="s">
        <v>1288</v>
      </c>
      <c r="E784" s="1" t="s">
        <v>1374</v>
      </c>
      <c r="F784" t="s">
        <v>3114</v>
      </c>
      <c r="G784" t="s">
        <v>1406</v>
      </c>
      <c r="H784" t="s">
        <v>1311</v>
      </c>
      <c r="I784" t="s">
        <v>1285</v>
      </c>
      <c r="J784" t="s">
        <v>1170</v>
      </c>
      <c r="K784" t="s">
        <v>1407</v>
      </c>
      <c r="L784" t="s">
        <v>1408</v>
      </c>
      <c r="M784" t="s">
        <v>1409</v>
      </c>
      <c r="N784" t="s">
        <v>1289</v>
      </c>
      <c r="O784" s="1" t="s">
        <v>1305</v>
      </c>
      <c r="P784" t="s">
        <v>1291</v>
      </c>
      <c r="Q784" t="s">
        <v>1294</v>
      </c>
      <c r="S784" t="s">
        <v>1294</v>
      </c>
      <c r="T784" t="s">
        <v>3115</v>
      </c>
      <c r="U784">
        <v>0</v>
      </c>
      <c r="V784" t="s">
        <v>1405</v>
      </c>
    </row>
    <row r="785" spans="1:22" ht="45" x14ac:dyDescent="0.25">
      <c r="A785" t="s">
        <v>1871</v>
      </c>
      <c r="B785" s="1" t="s">
        <v>1405</v>
      </c>
      <c r="C785" s="1" t="s">
        <v>1530</v>
      </c>
      <c r="D785" s="1" t="s">
        <v>1288</v>
      </c>
      <c r="E785" s="1" t="s">
        <v>1374</v>
      </c>
      <c r="F785" t="s">
        <v>3122</v>
      </c>
      <c r="G785" t="s">
        <v>1406</v>
      </c>
      <c r="H785" t="s">
        <v>1311</v>
      </c>
      <c r="I785" t="s">
        <v>1285</v>
      </c>
      <c r="J785" t="s">
        <v>1170</v>
      </c>
      <c r="K785" t="s">
        <v>1407</v>
      </c>
      <c r="L785" t="s">
        <v>1408</v>
      </c>
      <c r="M785" t="s">
        <v>1409</v>
      </c>
      <c r="N785" t="s">
        <v>1289</v>
      </c>
      <c r="O785" s="1" t="s">
        <v>1305</v>
      </c>
      <c r="P785" t="s">
        <v>1291</v>
      </c>
      <c r="Q785" t="s">
        <v>1294</v>
      </c>
      <c r="S785" t="s">
        <v>1294</v>
      </c>
      <c r="T785" t="s">
        <v>3123</v>
      </c>
      <c r="U785">
        <v>0</v>
      </c>
      <c r="V785" t="s">
        <v>1405</v>
      </c>
    </row>
    <row r="786" spans="1:22" ht="45" x14ac:dyDescent="0.25">
      <c r="A786" t="s">
        <v>1871</v>
      </c>
      <c r="B786" s="1" t="s">
        <v>1405</v>
      </c>
      <c r="C786" s="1" t="s">
        <v>1530</v>
      </c>
      <c r="D786" s="1" t="s">
        <v>1288</v>
      </c>
      <c r="E786" s="1" t="s">
        <v>1393</v>
      </c>
      <c r="F786" t="s">
        <v>3124</v>
      </c>
      <c r="G786" t="s">
        <v>1406</v>
      </c>
      <c r="H786" t="s">
        <v>1311</v>
      </c>
      <c r="I786" t="s">
        <v>1285</v>
      </c>
      <c r="J786" t="s">
        <v>1170</v>
      </c>
      <c r="K786" t="s">
        <v>1407</v>
      </c>
      <c r="L786" t="s">
        <v>1408</v>
      </c>
      <c r="M786" t="s">
        <v>1409</v>
      </c>
      <c r="N786" t="s">
        <v>1289</v>
      </c>
      <c r="O786" s="1" t="s">
        <v>1305</v>
      </c>
      <c r="P786" t="s">
        <v>1291</v>
      </c>
      <c r="Q786" t="s">
        <v>1294</v>
      </c>
      <c r="S786" t="s">
        <v>1294</v>
      </c>
      <c r="T786" t="s">
        <v>3125</v>
      </c>
      <c r="U786">
        <v>0</v>
      </c>
      <c r="V786" t="s">
        <v>1405</v>
      </c>
    </row>
    <row r="787" spans="1:22" ht="45" x14ac:dyDescent="0.25">
      <c r="A787" t="s">
        <v>1871</v>
      </c>
      <c r="B787" s="1" t="s">
        <v>1405</v>
      </c>
      <c r="C787" s="1" t="s">
        <v>1530</v>
      </c>
      <c r="D787" s="1" t="s">
        <v>1288</v>
      </c>
      <c r="E787" s="1" t="s">
        <v>1378</v>
      </c>
      <c r="F787" t="s">
        <v>3126</v>
      </c>
      <c r="G787" t="s">
        <v>1406</v>
      </c>
      <c r="H787" t="s">
        <v>1311</v>
      </c>
      <c r="I787" t="s">
        <v>1285</v>
      </c>
      <c r="J787" t="s">
        <v>1170</v>
      </c>
      <c r="K787" t="s">
        <v>1407</v>
      </c>
      <c r="L787" t="s">
        <v>1408</v>
      </c>
      <c r="M787" t="s">
        <v>1409</v>
      </c>
      <c r="N787" t="s">
        <v>1289</v>
      </c>
      <c r="O787" s="1" t="s">
        <v>1305</v>
      </c>
      <c r="P787" t="s">
        <v>1291</v>
      </c>
      <c r="Q787" t="s">
        <v>1294</v>
      </c>
      <c r="S787" t="s">
        <v>1294</v>
      </c>
      <c r="T787" t="s">
        <v>3127</v>
      </c>
      <c r="U787">
        <v>0</v>
      </c>
      <c r="V787" t="s">
        <v>1405</v>
      </c>
    </row>
    <row r="788" spans="1:22" ht="45" x14ac:dyDescent="0.25">
      <c r="A788" t="s">
        <v>1871</v>
      </c>
      <c r="B788" s="1" t="s">
        <v>1405</v>
      </c>
      <c r="C788" s="1" t="s">
        <v>1530</v>
      </c>
      <c r="D788" s="1" t="s">
        <v>1288</v>
      </c>
      <c r="E788" s="1" t="s">
        <v>1374</v>
      </c>
      <c r="F788" t="s">
        <v>3180</v>
      </c>
      <c r="G788" t="s">
        <v>1406</v>
      </c>
      <c r="H788" t="s">
        <v>1311</v>
      </c>
      <c r="I788" t="s">
        <v>1285</v>
      </c>
      <c r="J788" t="s">
        <v>1170</v>
      </c>
      <c r="K788" t="s">
        <v>1407</v>
      </c>
      <c r="L788" t="s">
        <v>1408</v>
      </c>
      <c r="M788" t="s">
        <v>1409</v>
      </c>
      <c r="N788" t="s">
        <v>1289</v>
      </c>
      <c r="O788" s="1" t="s">
        <v>1305</v>
      </c>
      <c r="P788" t="s">
        <v>1291</v>
      </c>
      <c r="Q788" t="s">
        <v>1294</v>
      </c>
      <c r="S788" t="s">
        <v>1294</v>
      </c>
      <c r="T788" t="s">
        <v>3181</v>
      </c>
      <c r="U788">
        <v>0</v>
      </c>
      <c r="V788" t="s">
        <v>1405</v>
      </c>
    </row>
    <row r="789" spans="1:22" ht="45" x14ac:dyDescent="0.25">
      <c r="A789" t="s">
        <v>1871</v>
      </c>
      <c r="B789" s="1" t="s">
        <v>1405</v>
      </c>
      <c r="C789" s="1" t="s">
        <v>1530</v>
      </c>
      <c r="D789" s="1" t="s">
        <v>1288</v>
      </c>
      <c r="E789" s="1" t="s">
        <v>1350</v>
      </c>
      <c r="F789" t="s">
        <v>3195</v>
      </c>
      <c r="G789" t="s">
        <v>1406</v>
      </c>
      <c r="H789" t="s">
        <v>1311</v>
      </c>
      <c r="I789" t="s">
        <v>1285</v>
      </c>
      <c r="J789" t="s">
        <v>1170</v>
      </c>
      <c r="K789" t="s">
        <v>1407</v>
      </c>
      <c r="L789" t="s">
        <v>1408</v>
      </c>
      <c r="M789" t="s">
        <v>1409</v>
      </c>
      <c r="N789" t="s">
        <v>1289</v>
      </c>
      <c r="O789" s="1" t="s">
        <v>1305</v>
      </c>
      <c r="P789" t="s">
        <v>1291</v>
      </c>
      <c r="Q789" t="s">
        <v>1294</v>
      </c>
      <c r="S789" t="s">
        <v>1294</v>
      </c>
      <c r="T789" t="s">
        <v>3196</v>
      </c>
      <c r="U789">
        <v>0</v>
      </c>
      <c r="V789" t="s">
        <v>1405</v>
      </c>
    </row>
    <row r="790" spans="1:22" ht="45" x14ac:dyDescent="0.25">
      <c r="A790" t="s">
        <v>1871</v>
      </c>
      <c r="B790" s="1" t="s">
        <v>1405</v>
      </c>
      <c r="C790" s="1" t="s">
        <v>1530</v>
      </c>
      <c r="D790" s="1" t="s">
        <v>1288</v>
      </c>
      <c r="E790" s="1" t="s">
        <v>1350</v>
      </c>
      <c r="F790" t="s">
        <v>3201</v>
      </c>
      <c r="G790" t="s">
        <v>1406</v>
      </c>
      <c r="H790" t="s">
        <v>1311</v>
      </c>
      <c r="I790" t="s">
        <v>1285</v>
      </c>
      <c r="J790" t="s">
        <v>1170</v>
      </c>
      <c r="K790" t="s">
        <v>1407</v>
      </c>
      <c r="L790" t="s">
        <v>1408</v>
      </c>
      <c r="M790" t="s">
        <v>1409</v>
      </c>
      <c r="N790" t="s">
        <v>1289</v>
      </c>
      <c r="O790" s="1" t="s">
        <v>1305</v>
      </c>
      <c r="P790" t="s">
        <v>1291</v>
      </c>
      <c r="Q790" t="s">
        <v>1294</v>
      </c>
      <c r="S790" t="s">
        <v>1294</v>
      </c>
      <c r="T790" t="s">
        <v>3202</v>
      </c>
      <c r="U790">
        <v>0</v>
      </c>
      <c r="V790" t="s">
        <v>1405</v>
      </c>
    </row>
    <row r="791" spans="1:22" ht="45" x14ac:dyDescent="0.25">
      <c r="A791" t="s">
        <v>1871</v>
      </c>
      <c r="B791" s="1" t="s">
        <v>1405</v>
      </c>
      <c r="C791" s="1" t="s">
        <v>1530</v>
      </c>
      <c r="D791" s="1" t="s">
        <v>1288</v>
      </c>
      <c r="E791" s="1" t="s">
        <v>1350</v>
      </c>
      <c r="F791" t="s">
        <v>3241</v>
      </c>
      <c r="G791" t="s">
        <v>1406</v>
      </c>
      <c r="H791" t="s">
        <v>1311</v>
      </c>
      <c r="I791" t="s">
        <v>1285</v>
      </c>
      <c r="J791" t="s">
        <v>1170</v>
      </c>
      <c r="K791" t="s">
        <v>1407</v>
      </c>
      <c r="L791" t="s">
        <v>1408</v>
      </c>
      <c r="M791" t="s">
        <v>1409</v>
      </c>
      <c r="N791" t="s">
        <v>1289</v>
      </c>
      <c r="O791" s="1" t="s">
        <v>1305</v>
      </c>
      <c r="P791" t="s">
        <v>1291</v>
      </c>
      <c r="Q791" t="s">
        <v>1294</v>
      </c>
      <c r="S791" t="s">
        <v>1294</v>
      </c>
      <c r="T791" t="s">
        <v>3242</v>
      </c>
      <c r="U791">
        <v>0</v>
      </c>
      <c r="V791" t="s">
        <v>1405</v>
      </c>
    </row>
    <row r="792" spans="1:22" ht="45" x14ac:dyDescent="0.25">
      <c r="A792" t="s">
        <v>1871</v>
      </c>
      <c r="B792" s="1" t="s">
        <v>1405</v>
      </c>
      <c r="C792" s="1" t="s">
        <v>1530</v>
      </c>
      <c r="D792" s="1" t="s">
        <v>1288</v>
      </c>
      <c r="E792" s="1" t="s">
        <v>1350</v>
      </c>
      <c r="F792" t="s">
        <v>3243</v>
      </c>
      <c r="G792" t="s">
        <v>1406</v>
      </c>
      <c r="H792" t="s">
        <v>1311</v>
      </c>
      <c r="I792" t="s">
        <v>1285</v>
      </c>
      <c r="J792" t="s">
        <v>1170</v>
      </c>
      <c r="K792" t="s">
        <v>1407</v>
      </c>
      <c r="L792" t="s">
        <v>1408</v>
      </c>
      <c r="M792" t="s">
        <v>1409</v>
      </c>
      <c r="N792" t="s">
        <v>1289</v>
      </c>
      <c r="O792" s="1" t="s">
        <v>1305</v>
      </c>
      <c r="P792" t="s">
        <v>1291</v>
      </c>
      <c r="Q792" t="s">
        <v>1294</v>
      </c>
      <c r="S792" t="s">
        <v>1294</v>
      </c>
      <c r="T792" t="s">
        <v>3244</v>
      </c>
      <c r="U792">
        <v>0</v>
      </c>
      <c r="V792" t="s">
        <v>1405</v>
      </c>
    </row>
    <row r="793" spans="1:22" ht="45" x14ac:dyDescent="0.25">
      <c r="A793" t="s">
        <v>1871</v>
      </c>
      <c r="B793" s="1" t="s">
        <v>1405</v>
      </c>
      <c r="C793" s="1" t="s">
        <v>1530</v>
      </c>
      <c r="D793" s="1" t="s">
        <v>1288</v>
      </c>
      <c r="E793" s="1" t="s">
        <v>1350</v>
      </c>
      <c r="F793" t="s">
        <v>3245</v>
      </c>
      <c r="G793" t="s">
        <v>1406</v>
      </c>
      <c r="H793" t="s">
        <v>1311</v>
      </c>
      <c r="I793" t="s">
        <v>1285</v>
      </c>
      <c r="J793" t="s">
        <v>1170</v>
      </c>
      <c r="K793" t="s">
        <v>1407</v>
      </c>
      <c r="L793" t="s">
        <v>1408</v>
      </c>
      <c r="M793" t="s">
        <v>1409</v>
      </c>
      <c r="N793" t="s">
        <v>1289</v>
      </c>
      <c r="O793" s="1" t="s">
        <v>1305</v>
      </c>
      <c r="P793" t="s">
        <v>1291</v>
      </c>
      <c r="Q793" t="s">
        <v>1294</v>
      </c>
      <c r="S793" t="s">
        <v>1294</v>
      </c>
      <c r="T793" t="s">
        <v>3246</v>
      </c>
      <c r="U793">
        <v>0</v>
      </c>
      <c r="V793" t="s">
        <v>1405</v>
      </c>
    </row>
    <row r="794" spans="1:22" ht="45" x14ac:dyDescent="0.25">
      <c r="A794" t="s">
        <v>1871</v>
      </c>
      <c r="B794" s="1" t="s">
        <v>1405</v>
      </c>
      <c r="C794" s="1" t="s">
        <v>1530</v>
      </c>
      <c r="D794" s="1" t="s">
        <v>1288</v>
      </c>
      <c r="E794" s="1" t="s">
        <v>1350</v>
      </c>
      <c r="F794" t="s">
        <v>3255</v>
      </c>
      <c r="G794" t="s">
        <v>1406</v>
      </c>
      <c r="H794" t="s">
        <v>1311</v>
      </c>
      <c r="I794" t="s">
        <v>1285</v>
      </c>
      <c r="J794" t="s">
        <v>1170</v>
      </c>
      <c r="K794" t="s">
        <v>1407</v>
      </c>
      <c r="L794" t="s">
        <v>1408</v>
      </c>
      <c r="M794" t="s">
        <v>1409</v>
      </c>
      <c r="N794" t="s">
        <v>1289</v>
      </c>
      <c r="O794" s="1" t="s">
        <v>1305</v>
      </c>
      <c r="P794" t="s">
        <v>1291</v>
      </c>
      <c r="Q794" t="s">
        <v>1294</v>
      </c>
      <c r="S794" t="s">
        <v>1294</v>
      </c>
      <c r="T794" t="s">
        <v>3256</v>
      </c>
      <c r="U794">
        <v>0</v>
      </c>
      <c r="V794" t="s">
        <v>1405</v>
      </c>
    </row>
    <row r="795" spans="1:22" ht="45" x14ac:dyDescent="0.25">
      <c r="A795" t="s">
        <v>1871</v>
      </c>
      <c r="B795" s="1" t="s">
        <v>1405</v>
      </c>
      <c r="C795" s="1" t="s">
        <v>1530</v>
      </c>
      <c r="D795" s="1" t="s">
        <v>1288</v>
      </c>
      <c r="E795" s="1" t="s">
        <v>1350</v>
      </c>
      <c r="F795" t="s">
        <v>3261</v>
      </c>
      <c r="G795" t="s">
        <v>1406</v>
      </c>
      <c r="H795" t="s">
        <v>1311</v>
      </c>
      <c r="I795" t="s">
        <v>1285</v>
      </c>
      <c r="J795" t="s">
        <v>1170</v>
      </c>
      <c r="K795" t="s">
        <v>1407</v>
      </c>
      <c r="L795" t="s">
        <v>1408</v>
      </c>
      <c r="M795" t="s">
        <v>1409</v>
      </c>
      <c r="N795" t="s">
        <v>1289</v>
      </c>
      <c r="O795" s="1" t="s">
        <v>1305</v>
      </c>
      <c r="P795" t="s">
        <v>1291</v>
      </c>
      <c r="Q795" t="s">
        <v>1294</v>
      </c>
      <c r="S795" t="s">
        <v>1294</v>
      </c>
      <c r="T795" t="s">
        <v>3262</v>
      </c>
      <c r="U795">
        <v>0</v>
      </c>
      <c r="V795" t="s">
        <v>1405</v>
      </c>
    </row>
    <row r="796" spans="1:22" ht="45" x14ac:dyDescent="0.25">
      <c r="A796" t="s">
        <v>1871</v>
      </c>
      <c r="B796" s="1" t="s">
        <v>1405</v>
      </c>
      <c r="C796" s="1" t="s">
        <v>1530</v>
      </c>
      <c r="D796" s="1" t="s">
        <v>1288</v>
      </c>
      <c r="E796" s="1" t="s">
        <v>1350</v>
      </c>
      <c r="F796" t="s">
        <v>3273</v>
      </c>
      <c r="G796" t="s">
        <v>1406</v>
      </c>
      <c r="H796" t="s">
        <v>1311</v>
      </c>
      <c r="I796" t="s">
        <v>1285</v>
      </c>
      <c r="J796" t="s">
        <v>1170</v>
      </c>
      <c r="K796" t="s">
        <v>1407</v>
      </c>
      <c r="L796" t="s">
        <v>1408</v>
      </c>
      <c r="M796" t="s">
        <v>1409</v>
      </c>
      <c r="N796" t="s">
        <v>1289</v>
      </c>
      <c r="O796" s="1" t="s">
        <v>1305</v>
      </c>
      <c r="P796" t="s">
        <v>1291</v>
      </c>
      <c r="Q796" t="s">
        <v>1294</v>
      </c>
      <c r="S796" t="s">
        <v>1294</v>
      </c>
      <c r="T796" t="s">
        <v>3274</v>
      </c>
      <c r="U796">
        <v>0</v>
      </c>
      <c r="V796" t="s">
        <v>1405</v>
      </c>
    </row>
    <row r="797" spans="1:22" ht="45" x14ac:dyDescent="0.25">
      <c r="A797" t="s">
        <v>1871</v>
      </c>
      <c r="B797" s="1" t="s">
        <v>1405</v>
      </c>
      <c r="C797" s="1" t="s">
        <v>1530</v>
      </c>
      <c r="D797" s="1" t="s">
        <v>1288</v>
      </c>
      <c r="E797" s="1" t="s">
        <v>1350</v>
      </c>
      <c r="F797" t="s">
        <v>3277</v>
      </c>
      <c r="G797" t="s">
        <v>1406</v>
      </c>
      <c r="H797" t="s">
        <v>1311</v>
      </c>
      <c r="I797" t="s">
        <v>1285</v>
      </c>
      <c r="J797" t="s">
        <v>1170</v>
      </c>
      <c r="K797" t="s">
        <v>1407</v>
      </c>
      <c r="L797" t="s">
        <v>1408</v>
      </c>
      <c r="M797" t="s">
        <v>1409</v>
      </c>
      <c r="N797" t="s">
        <v>1289</v>
      </c>
      <c r="O797" s="1" t="s">
        <v>1305</v>
      </c>
      <c r="P797" t="s">
        <v>1291</v>
      </c>
      <c r="Q797" t="s">
        <v>1294</v>
      </c>
      <c r="S797" t="s">
        <v>1294</v>
      </c>
      <c r="T797" t="s">
        <v>3278</v>
      </c>
      <c r="U797">
        <v>0</v>
      </c>
      <c r="V797" t="s">
        <v>1405</v>
      </c>
    </row>
    <row r="798" spans="1:22" ht="45" x14ac:dyDescent="0.25">
      <c r="A798" t="s">
        <v>1871</v>
      </c>
      <c r="B798" s="1" t="s">
        <v>1405</v>
      </c>
      <c r="C798" s="1" t="s">
        <v>1530</v>
      </c>
      <c r="D798" s="1" t="s">
        <v>1288</v>
      </c>
      <c r="E798" s="1" t="s">
        <v>1316</v>
      </c>
      <c r="F798" t="s">
        <v>3378</v>
      </c>
      <c r="G798" t="s">
        <v>1406</v>
      </c>
      <c r="H798" t="s">
        <v>1311</v>
      </c>
      <c r="I798" t="s">
        <v>1285</v>
      </c>
      <c r="J798" t="s">
        <v>1170</v>
      </c>
      <c r="K798" t="s">
        <v>1407</v>
      </c>
      <c r="L798" t="s">
        <v>1408</v>
      </c>
      <c r="M798" t="s">
        <v>1409</v>
      </c>
      <c r="N798" t="s">
        <v>1289</v>
      </c>
      <c r="O798" s="1" t="s">
        <v>1305</v>
      </c>
      <c r="P798" t="s">
        <v>1291</v>
      </c>
      <c r="Q798" t="s">
        <v>1294</v>
      </c>
      <c r="S798" t="s">
        <v>1294</v>
      </c>
      <c r="T798" t="s">
        <v>3379</v>
      </c>
      <c r="U798">
        <v>0</v>
      </c>
      <c r="V798" t="s">
        <v>1405</v>
      </c>
    </row>
    <row r="799" spans="1:22" ht="45" x14ac:dyDescent="0.25">
      <c r="A799" t="s">
        <v>1871</v>
      </c>
      <c r="B799" s="1" t="s">
        <v>1405</v>
      </c>
      <c r="C799" s="1" t="s">
        <v>1530</v>
      </c>
      <c r="D799" s="1" t="s">
        <v>1288</v>
      </c>
      <c r="E799" s="1" t="s">
        <v>1374</v>
      </c>
      <c r="F799" t="s">
        <v>3382</v>
      </c>
      <c r="G799" t="s">
        <v>1406</v>
      </c>
      <c r="H799" t="s">
        <v>1311</v>
      </c>
      <c r="I799" t="s">
        <v>1285</v>
      </c>
      <c r="J799" t="s">
        <v>1170</v>
      </c>
      <c r="K799" t="s">
        <v>1407</v>
      </c>
      <c r="L799" t="s">
        <v>1408</v>
      </c>
      <c r="M799" t="s">
        <v>1409</v>
      </c>
      <c r="N799" t="s">
        <v>1289</v>
      </c>
      <c r="O799" s="1" t="s">
        <v>1305</v>
      </c>
      <c r="P799" t="s">
        <v>1291</v>
      </c>
      <c r="Q799" t="s">
        <v>1294</v>
      </c>
      <c r="S799" t="s">
        <v>1294</v>
      </c>
      <c r="T799" t="s">
        <v>3383</v>
      </c>
      <c r="U799">
        <v>0</v>
      </c>
      <c r="V799" t="s">
        <v>1405</v>
      </c>
    </row>
    <row r="800" spans="1:22" ht="45" x14ac:dyDescent="0.25">
      <c r="A800" t="s">
        <v>1871</v>
      </c>
      <c r="B800" s="1" t="s">
        <v>1405</v>
      </c>
      <c r="C800" s="1" t="s">
        <v>1530</v>
      </c>
      <c r="D800" s="1" t="s">
        <v>1288</v>
      </c>
      <c r="E800" s="1" t="s">
        <v>1374</v>
      </c>
      <c r="F800" t="s">
        <v>3401</v>
      </c>
      <c r="G800" t="s">
        <v>1406</v>
      </c>
      <c r="H800" t="s">
        <v>1311</v>
      </c>
      <c r="I800" t="s">
        <v>1285</v>
      </c>
      <c r="J800" t="s">
        <v>1170</v>
      </c>
      <c r="K800" t="s">
        <v>1407</v>
      </c>
      <c r="L800" t="s">
        <v>1408</v>
      </c>
      <c r="M800" t="s">
        <v>1409</v>
      </c>
      <c r="N800" t="s">
        <v>1289</v>
      </c>
      <c r="O800" s="1" t="s">
        <v>1305</v>
      </c>
      <c r="P800" t="s">
        <v>1291</v>
      </c>
      <c r="Q800" t="s">
        <v>1294</v>
      </c>
      <c r="S800" t="s">
        <v>1294</v>
      </c>
      <c r="T800" t="s">
        <v>3402</v>
      </c>
      <c r="U800">
        <v>0</v>
      </c>
      <c r="V800" t="s">
        <v>1405</v>
      </c>
    </row>
    <row r="801" spans="1:22" ht="45" x14ac:dyDescent="0.25">
      <c r="A801" t="s">
        <v>1871</v>
      </c>
      <c r="B801" s="1" t="s">
        <v>1405</v>
      </c>
      <c r="C801" s="1" t="s">
        <v>1530</v>
      </c>
      <c r="D801" s="1" t="s">
        <v>1288</v>
      </c>
      <c r="E801" s="1" t="s">
        <v>1410</v>
      </c>
      <c r="F801" t="s">
        <v>3403</v>
      </c>
      <c r="G801" t="s">
        <v>1406</v>
      </c>
      <c r="H801" t="s">
        <v>1311</v>
      </c>
      <c r="I801" t="s">
        <v>1285</v>
      </c>
      <c r="J801" t="s">
        <v>1170</v>
      </c>
      <c r="K801" t="s">
        <v>1407</v>
      </c>
      <c r="L801" t="s">
        <v>1408</v>
      </c>
      <c r="M801" t="s">
        <v>1409</v>
      </c>
      <c r="N801" t="s">
        <v>1289</v>
      </c>
      <c r="O801" s="1" t="s">
        <v>1305</v>
      </c>
      <c r="P801" t="s">
        <v>1291</v>
      </c>
      <c r="Q801" t="s">
        <v>1294</v>
      </c>
      <c r="S801" t="s">
        <v>1294</v>
      </c>
      <c r="T801" t="s">
        <v>3404</v>
      </c>
      <c r="U801">
        <v>0</v>
      </c>
      <c r="V801" t="s">
        <v>1405</v>
      </c>
    </row>
    <row r="802" spans="1:22" ht="45" x14ac:dyDescent="0.25">
      <c r="A802" t="s">
        <v>1871</v>
      </c>
      <c r="B802" s="1" t="s">
        <v>1405</v>
      </c>
      <c r="C802" s="1" t="s">
        <v>1530</v>
      </c>
      <c r="D802" s="1" t="s">
        <v>1288</v>
      </c>
      <c r="E802" s="1" t="s">
        <v>1374</v>
      </c>
      <c r="F802" t="s">
        <v>3405</v>
      </c>
      <c r="G802" t="s">
        <v>1406</v>
      </c>
      <c r="H802" t="s">
        <v>1311</v>
      </c>
      <c r="I802" t="s">
        <v>1285</v>
      </c>
      <c r="J802" t="s">
        <v>1170</v>
      </c>
      <c r="K802" t="s">
        <v>1407</v>
      </c>
      <c r="L802" t="s">
        <v>1408</v>
      </c>
      <c r="M802" t="s">
        <v>1409</v>
      </c>
      <c r="N802" t="s">
        <v>1289</v>
      </c>
      <c r="O802" s="1" t="s">
        <v>1305</v>
      </c>
      <c r="P802" t="s">
        <v>1291</v>
      </c>
      <c r="Q802" t="s">
        <v>1294</v>
      </c>
      <c r="S802" t="s">
        <v>1294</v>
      </c>
      <c r="T802" t="s">
        <v>3406</v>
      </c>
      <c r="U802">
        <v>0</v>
      </c>
      <c r="V802" t="s">
        <v>1405</v>
      </c>
    </row>
    <row r="803" spans="1:22" ht="45" x14ac:dyDescent="0.25">
      <c r="A803" t="s">
        <v>1871</v>
      </c>
      <c r="B803" s="1" t="s">
        <v>1405</v>
      </c>
      <c r="C803" s="1" t="s">
        <v>1530</v>
      </c>
      <c r="D803" s="1" t="s">
        <v>1288</v>
      </c>
      <c r="E803" s="1" t="s">
        <v>1350</v>
      </c>
      <c r="F803" t="s">
        <v>3407</v>
      </c>
      <c r="G803" t="s">
        <v>1406</v>
      </c>
      <c r="H803" t="s">
        <v>1311</v>
      </c>
      <c r="I803" t="s">
        <v>1285</v>
      </c>
      <c r="J803" t="s">
        <v>1170</v>
      </c>
      <c r="K803" t="s">
        <v>1407</v>
      </c>
      <c r="L803" t="s">
        <v>1408</v>
      </c>
      <c r="M803" t="s">
        <v>1409</v>
      </c>
      <c r="N803" t="s">
        <v>1289</v>
      </c>
      <c r="O803" s="1" t="s">
        <v>1305</v>
      </c>
      <c r="P803" t="s">
        <v>1291</v>
      </c>
      <c r="Q803" t="s">
        <v>1294</v>
      </c>
      <c r="S803" t="s">
        <v>1294</v>
      </c>
      <c r="T803" t="s">
        <v>3408</v>
      </c>
      <c r="U803">
        <v>0</v>
      </c>
      <c r="V803" t="s">
        <v>1405</v>
      </c>
    </row>
    <row r="804" spans="1:22" ht="45" x14ac:dyDescent="0.25">
      <c r="A804" t="s">
        <v>1871</v>
      </c>
      <c r="B804" s="1" t="s">
        <v>1405</v>
      </c>
      <c r="C804" s="1" t="s">
        <v>1530</v>
      </c>
      <c r="D804" s="1" t="s">
        <v>1288</v>
      </c>
      <c r="E804" s="1" t="s">
        <v>1410</v>
      </c>
      <c r="F804" t="s">
        <v>3409</v>
      </c>
      <c r="G804" t="s">
        <v>1406</v>
      </c>
      <c r="H804" t="s">
        <v>1311</v>
      </c>
      <c r="I804" t="s">
        <v>1285</v>
      </c>
      <c r="J804" t="s">
        <v>1170</v>
      </c>
      <c r="K804" t="s">
        <v>1407</v>
      </c>
      <c r="L804" t="s">
        <v>1408</v>
      </c>
      <c r="M804" t="s">
        <v>1409</v>
      </c>
      <c r="N804" t="s">
        <v>1289</v>
      </c>
      <c r="O804" s="1" t="s">
        <v>1305</v>
      </c>
      <c r="P804" t="s">
        <v>1291</v>
      </c>
      <c r="Q804" t="s">
        <v>1294</v>
      </c>
      <c r="S804" t="s">
        <v>1294</v>
      </c>
      <c r="T804" t="s">
        <v>3410</v>
      </c>
      <c r="U804">
        <v>0</v>
      </c>
      <c r="V804" t="s">
        <v>1405</v>
      </c>
    </row>
    <row r="805" spans="1:22" ht="45" x14ac:dyDescent="0.25">
      <c r="A805" t="s">
        <v>1871</v>
      </c>
      <c r="B805" s="1" t="s">
        <v>1405</v>
      </c>
      <c r="C805" s="1" t="s">
        <v>1530</v>
      </c>
      <c r="D805" s="1" t="s">
        <v>1288</v>
      </c>
      <c r="E805" s="1" t="s">
        <v>1293</v>
      </c>
      <c r="F805" t="s">
        <v>3411</v>
      </c>
      <c r="G805" t="s">
        <v>1406</v>
      </c>
      <c r="H805" t="s">
        <v>1311</v>
      </c>
      <c r="I805" t="s">
        <v>1285</v>
      </c>
      <c r="J805" t="s">
        <v>1170</v>
      </c>
      <c r="K805" t="s">
        <v>1407</v>
      </c>
      <c r="L805" t="s">
        <v>1408</v>
      </c>
      <c r="M805" t="s">
        <v>1409</v>
      </c>
      <c r="N805" t="s">
        <v>1289</v>
      </c>
      <c r="O805" s="1" t="s">
        <v>1305</v>
      </c>
      <c r="P805" t="s">
        <v>1291</v>
      </c>
      <c r="Q805" t="s">
        <v>1294</v>
      </c>
      <c r="S805" t="s">
        <v>1294</v>
      </c>
      <c r="T805" t="s">
        <v>3412</v>
      </c>
      <c r="U805">
        <v>0</v>
      </c>
      <c r="V805" t="s">
        <v>1405</v>
      </c>
    </row>
    <row r="806" spans="1:22" ht="45" x14ac:dyDescent="0.25">
      <c r="A806" t="s">
        <v>1871</v>
      </c>
      <c r="B806" s="1" t="s">
        <v>1405</v>
      </c>
      <c r="C806" s="1" t="s">
        <v>1530</v>
      </c>
      <c r="D806" s="1" t="s">
        <v>1288</v>
      </c>
      <c r="E806" s="1" t="s">
        <v>1410</v>
      </c>
      <c r="F806" t="s">
        <v>3413</v>
      </c>
      <c r="G806" t="s">
        <v>1406</v>
      </c>
      <c r="H806" t="s">
        <v>1311</v>
      </c>
      <c r="I806" t="s">
        <v>1285</v>
      </c>
      <c r="J806" t="s">
        <v>1170</v>
      </c>
      <c r="K806" t="s">
        <v>1407</v>
      </c>
      <c r="L806" t="s">
        <v>1408</v>
      </c>
      <c r="M806" t="s">
        <v>1409</v>
      </c>
      <c r="N806" t="s">
        <v>1289</v>
      </c>
      <c r="O806" s="1" t="s">
        <v>1305</v>
      </c>
      <c r="P806" t="s">
        <v>1291</v>
      </c>
      <c r="Q806" t="s">
        <v>1294</v>
      </c>
      <c r="S806" t="s">
        <v>1294</v>
      </c>
      <c r="T806" t="s">
        <v>3414</v>
      </c>
      <c r="U806">
        <v>0</v>
      </c>
      <c r="V806" t="s">
        <v>1405</v>
      </c>
    </row>
    <row r="807" spans="1:22" ht="45" x14ac:dyDescent="0.25">
      <c r="A807" t="s">
        <v>1871</v>
      </c>
      <c r="B807" s="1" t="s">
        <v>1405</v>
      </c>
      <c r="C807" s="1" t="s">
        <v>1530</v>
      </c>
      <c r="D807" s="1" t="s">
        <v>1288</v>
      </c>
      <c r="E807" s="1" t="s">
        <v>1462</v>
      </c>
      <c r="F807" t="s">
        <v>3415</v>
      </c>
      <c r="G807" t="s">
        <v>1406</v>
      </c>
      <c r="H807" t="s">
        <v>1311</v>
      </c>
      <c r="I807" t="s">
        <v>1285</v>
      </c>
      <c r="J807" t="s">
        <v>1170</v>
      </c>
      <c r="K807" t="s">
        <v>1407</v>
      </c>
      <c r="L807" t="s">
        <v>1408</v>
      </c>
      <c r="M807" t="s">
        <v>1409</v>
      </c>
      <c r="N807" t="s">
        <v>1289</v>
      </c>
      <c r="O807" s="1" t="s">
        <v>1305</v>
      </c>
      <c r="P807" t="s">
        <v>1291</v>
      </c>
      <c r="Q807" t="s">
        <v>1294</v>
      </c>
      <c r="S807" t="s">
        <v>1294</v>
      </c>
      <c r="T807" t="s">
        <v>3416</v>
      </c>
      <c r="U807">
        <v>0</v>
      </c>
      <c r="V807" t="s">
        <v>1405</v>
      </c>
    </row>
    <row r="808" spans="1:22" ht="30" x14ac:dyDescent="0.25">
      <c r="A808" t="s">
        <v>1281</v>
      </c>
      <c r="B808" s="1" t="s">
        <v>1330</v>
      </c>
      <c r="C808" s="1" t="s">
        <v>1320</v>
      </c>
      <c r="D808" s="1" t="s">
        <v>1288</v>
      </c>
      <c r="E808" s="1" t="s">
        <v>1307</v>
      </c>
      <c r="F808" t="s">
        <v>1329</v>
      </c>
      <c r="G808" t="s">
        <v>1331</v>
      </c>
      <c r="H808" t="s">
        <v>381</v>
      </c>
      <c r="I808" t="s">
        <v>1285</v>
      </c>
      <c r="J808" t="s">
        <v>1332</v>
      </c>
      <c r="K808" t="s">
        <v>1333</v>
      </c>
      <c r="L808" t="s">
        <v>1334</v>
      </c>
      <c r="M808" t="s">
        <v>1335</v>
      </c>
      <c r="N808">
        <v>52000</v>
      </c>
      <c r="O808" s="1" t="s">
        <v>1336</v>
      </c>
      <c r="P808" t="s">
        <v>1306</v>
      </c>
      <c r="Q808" t="s">
        <v>1294</v>
      </c>
      <c r="S808" t="s">
        <v>1294</v>
      </c>
      <c r="T808" t="s">
        <v>1337</v>
      </c>
      <c r="U808">
        <v>572075</v>
      </c>
      <c r="V808" t="s">
        <v>1338</v>
      </c>
    </row>
    <row r="809" spans="1:22" ht="30" x14ac:dyDescent="0.25">
      <c r="A809" t="s">
        <v>1460</v>
      </c>
      <c r="B809" s="1" t="s">
        <v>1330</v>
      </c>
      <c r="C809" s="1" t="s">
        <v>1295</v>
      </c>
      <c r="D809" s="1" t="s">
        <v>1288</v>
      </c>
      <c r="E809" s="1" t="s">
        <v>1504</v>
      </c>
      <c r="F809" t="s">
        <v>1532</v>
      </c>
      <c r="G809" t="s">
        <v>1533</v>
      </c>
      <c r="H809" t="s">
        <v>381</v>
      </c>
      <c r="I809" t="s">
        <v>1285</v>
      </c>
      <c r="J809" t="s">
        <v>1332</v>
      </c>
      <c r="K809" t="s">
        <v>1534</v>
      </c>
      <c r="L809" t="s">
        <v>1535</v>
      </c>
      <c r="M809" t="s">
        <v>1335</v>
      </c>
      <c r="N809">
        <v>52000</v>
      </c>
      <c r="O809" s="1" t="s">
        <v>1336</v>
      </c>
      <c r="P809" t="s">
        <v>1306</v>
      </c>
      <c r="Q809" t="s">
        <v>1294</v>
      </c>
      <c r="S809" t="s">
        <v>1294</v>
      </c>
      <c r="T809" t="s">
        <v>1296</v>
      </c>
      <c r="U809">
        <v>0</v>
      </c>
      <c r="V809" t="s">
        <v>1536</v>
      </c>
    </row>
    <row r="810" spans="1:22" ht="30" x14ac:dyDescent="0.25">
      <c r="A810" t="s">
        <v>1460</v>
      </c>
      <c r="B810" s="1" t="s">
        <v>1330</v>
      </c>
      <c r="C810" s="1" t="s">
        <v>1345</v>
      </c>
      <c r="D810" s="1" t="s">
        <v>1288</v>
      </c>
      <c r="E810" s="1" t="s">
        <v>1319</v>
      </c>
      <c r="F810" t="s">
        <v>1606</v>
      </c>
      <c r="G810" t="s">
        <v>1533</v>
      </c>
      <c r="H810" t="s">
        <v>381</v>
      </c>
      <c r="I810" t="s">
        <v>1285</v>
      </c>
      <c r="J810" t="s">
        <v>1332</v>
      </c>
      <c r="K810" t="s">
        <v>1534</v>
      </c>
      <c r="L810" t="s">
        <v>1535</v>
      </c>
      <c r="M810" t="s">
        <v>1335</v>
      </c>
      <c r="N810">
        <v>52000</v>
      </c>
      <c r="O810" s="1" t="s">
        <v>1336</v>
      </c>
      <c r="P810" t="s">
        <v>1306</v>
      </c>
      <c r="Q810" t="s">
        <v>1294</v>
      </c>
      <c r="S810" t="s">
        <v>1294</v>
      </c>
      <c r="T810" t="s">
        <v>1607</v>
      </c>
      <c r="U810">
        <v>361</v>
      </c>
      <c r="V810" t="s">
        <v>1536</v>
      </c>
    </row>
    <row r="811" spans="1:22" ht="30" x14ac:dyDescent="0.25">
      <c r="A811" t="s">
        <v>1460</v>
      </c>
      <c r="B811" s="1" t="s">
        <v>1330</v>
      </c>
      <c r="C811" s="1" t="s">
        <v>1345</v>
      </c>
      <c r="D811" s="1" t="s">
        <v>1288</v>
      </c>
      <c r="E811" s="1" t="s">
        <v>1504</v>
      </c>
      <c r="F811" t="s">
        <v>1868</v>
      </c>
      <c r="G811" t="s">
        <v>1533</v>
      </c>
      <c r="H811" t="s">
        <v>381</v>
      </c>
      <c r="I811" t="s">
        <v>1285</v>
      </c>
      <c r="J811" t="s">
        <v>1332</v>
      </c>
      <c r="K811" t="s">
        <v>1534</v>
      </c>
      <c r="L811" t="s">
        <v>1535</v>
      </c>
      <c r="M811" t="s">
        <v>1335</v>
      </c>
      <c r="N811">
        <v>52000</v>
      </c>
      <c r="O811" s="1" t="s">
        <v>1336</v>
      </c>
      <c r="P811" t="s">
        <v>1306</v>
      </c>
      <c r="Q811" t="s">
        <v>1294</v>
      </c>
      <c r="S811" t="s">
        <v>1294</v>
      </c>
      <c r="T811" t="s">
        <v>1869</v>
      </c>
      <c r="U811">
        <v>20472</v>
      </c>
      <c r="V811" t="s">
        <v>1536</v>
      </c>
    </row>
    <row r="812" spans="1:22" ht="30" x14ac:dyDescent="0.25">
      <c r="A812" t="s">
        <v>1871</v>
      </c>
      <c r="B812" s="1" t="s">
        <v>1330</v>
      </c>
      <c r="C812" s="1" t="s">
        <v>1530</v>
      </c>
      <c r="D812" s="1" t="s">
        <v>1288</v>
      </c>
      <c r="E812" s="1" t="s">
        <v>1326</v>
      </c>
      <c r="F812" t="s">
        <v>2164</v>
      </c>
      <c r="G812" t="s">
        <v>1533</v>
      </c>
      <c r="H812" t="s">
        <v>381</v>
      </c>
      <c r="I812" t="s">
        <v>1285</v>
      </c>
      <c r="J812" t="s">
        <v>1332</v>
      </c>
      <c r="K812" t="s">
        <v>1534</v>
      </c>
      <c r="L812" t="s">
        <v>1535</v>
      </c>
      <c r="M812" t="s">
        <v>1335</v>
      </c>
      <c r="N812">
        <v>52000</v>
      </c>
      <c r="O812" s="1" t="s">
        <v>1336</v>
      </c>
      <c r="P812" t="s">
        <v>1306</v>
      </c>
      <c r="Q812" t="s">
        <v>1294</v>
      </c>
      <c r="S812" t="s">
        <v>1294</v>
      </c>
      <c r="T812" t="s">
        <v>2165</v>
      </c>
      <c r="U812">
        <v>1878</v>
      </c>
      <c r="V812" t="s">
        <v>1536</v>
      </c>
    </row>
    <row r="813" spans="1:22" ht="30" x14ac:dyDescent="0.25">
      <c r="A813" t="s">
        <v>1871</v>
      </c>
      <c r="B813" s="1" t="s">
        <v>1330</v>
      </c>
      <c r="C813" s="1" t="s">
        <v>1530</v>
      </c>
      <c r="D813" s="1" t="s">
        <v>1288</v>
      </c>
      <c r="E813" s="1" t="s">
        <v>1326</v>
      </c>
      <c r="F813" t="s">
        <v>2166</v>
      </c>
      <c r="G813" t="s">
        <v>1533</v>
      </c>
      <c r="H813" t="s">
        <v>381</v>
      </c>
      <c r="I813" t="s">
        <v>1285</v>
      </c>
      <c r="J813" t="s">
        <v>1332</v>
      </c>
      <c r="K813" t="s">
        <v>1534</v>
      </c>
      <c r="L813" t="s">
        <v>1535</v>
      </c>
      <c r="M813" t="s">
        <v>1335</v>
      </c>
      <c r="N813">
        <v>52000</v>
      </c>
      <c r="O813" s="1" t="s">
        <v>1336</v>
      </c>
      <c r="P813" t="s">
        <v>1306</v>
      </c>
      <c r="Q813" t="s">
        <v>1294</v>
      </c>
      <c r="S813" t="s">
        <v>1294</v>
      </c>
      <c r="T813" t="s">
        <v>1296</v>
      </c>
      <c r="U813">
        <v>0</v>
      </c>
      <c r="V813" t="s">
        <v>1536</v>
      </c>
    </row>
    <row r="814" spans="1:22" ht="30" x14ac:dyDescent="0.25">
      <c r="A814" t="s">
        <v>1871</v>
      </c>
      <c r="B814" s="1" t="s">
        <v>1330</v>
      </c>
      <c r="C814" s="1" t="s">
        <v>1530</v>
      </c>
      <c r="D814" s="1" t="s">
        <v>1288</v>
      </c>
      <c r="E814" s="1" t="s">
        <v>1326</v>
      </c>
      <c r="F814" t="s">
        <v>2167</v>
      </c>
      <c r="G814" t="s">
        <v>1533</v>
      </c>
      <c r="H814" t="s">
        <v>381</v>
      </c>
      <c r="I814" t="s">
        <v>1285</v>
      </c>
      <c r="J814" t="s">
        <v>1332</v>
      </c>
      <c r="K814" t="s">
        <v>1534</v>
      </c>
      <c r="L814" t="s">
        <v>1535</v>
      </c>
      <c r="M814" t="s">
        <v>1335</v>
      </c>
      <c r="N814">
        <v>52000</v>
      </c>
      <c r="O814" s="1" t="s">
        <v>1336</v>
      </c>
      <c r="P814" t="s">
        <v>1306</v>
      </c>
      <c r="Q814" t="s">
        <v>1294</v>
      </c>
      <c r="S814" t="s">
        <v>1294</v>
      </c>
      <c r="T814" t="s">
        <v>2168</v>
      </c>
      <c r="U814">
        <v>385</v>
      </c>
      <c r="V814" t="s">
        <v>1536</v>
      </c>
    </row>
    <row r="815" spans="1:22" ht="30" x14ac:dyDescent="0.25">
      <c r="A815" t="s">
        <v>1871</v>
      </c>
      <c r="B815" s="1" t="s">
        <v>1330</v>
      </c>
      <c r="C815" s="1" t="s">
        <v>1530</v>
      </c>
      <c r="D815" s="1" t="s">
        <v>1288</v>
      </c>
      <c r="E815" s="1" t="s">
        <v>1326</v>
      </c>
      <c r="F815" t="s">
        <v>2169</v>
      </c>
      <c r="G815" t="s">
        <v>1533</v>
      </c>
      <c r="H815" t="s">
        <v>381</v>
      </c>
      <c r="I815" t="s">
        <v>1285</v>
      </c>
      <c r="J815" t="s">
        <v>1332</v>
      </c>
      <c r="K815" t="s">
        <v>1534</v>
      </c>
      <c r="L815" t="s">
        <v>1535</v>
      </c>
      <c r="M815" t="s">
        <v>1335</v>
      </c>
      <c r="N815">
        <v>52000</v>
      </c>
      <c r="O815" s="1" t="s">
        <v>1336</v>
      </c>
      <c r="P815" t="s">
        <v>1306</v>
      </c>
      <c r="Q815" t="s">
        <v>1294</v>
      </c>
      <c r="S815" t="s">
        <v>1294</v>
      </c>
      <c r="T815" t="s">
        <v>2170</v>
      </c>
      <c r="U815">
        <v>3350</v>
      </c>
      <c r="V815" t="s">
        <v>1536</v>
      </c>
    </row>
    <row r="816" spans="1:22" ht="30" x14ac:dyDescent="0.25">
      <c r="A816" t="s">
        <v>1871</v>
      </c>
      <c r="B816" s="1" t="s">
        <v>1330</v>
      </c>
      <c r="C816" s="1" t="s">
        <v>1530</v>
      </c>
      <c r="D816" s="1" t="s">
        <v>1288</v>
      </c>
      <c r="E816" s="1" t="s">
        <v>1326</v>
      </c>
      <c r="F816" t="s">
        <v>2171</v>
      </c>
      <c r="G816" t="s">
        <v>1533</v>
      </c>
      <c r="H816" t="s">
        <v>381</v>
      </c>
      <c r="I816" t="s">
        <v>1285</v>
      </c>
      <c r="J816" t="s">
        <v>1332</v>
      </c>
      <c r="K816" t="s">
        <v>1534</v>
      </c>
      <c r="L816" t="s">
        <v>1535</v>
      </c>
      <c r="M816" t="s">
        <v>1335</v>
      </c>
      <c r="N816">
        <v>52000</v>
      </c>
      <c r="O816" s="1" t="s">
        <v>1336</v>
      </c>
      <c r="P816" t="s">
        <v>1306</v>
      </c>
      <c r="Q816" t="s">
        <v>1294</v>
      </c>
      <c r="S816" t="s">
        <v>1294</v>
      </c>
      <c r="T816" t="s">
        <v>2172</v>
      </c>
      <c r="U816">
        <v>4558</v>
      </c>
      <c r="V816" t="s">
        <v>1536</v>
      </c>
    </row>
    <row r="817" spans="1:22" ht="30" x14ac:dyDescent="0.25">
      <c r="A817" t="s">
        <v>1871</v>
      </c>
      <c r="B817" s="1" t="s">
        <v>1330</v>
      </c>
      <c r="C817" s="1" t="s">
        <v>1530</v>
      </c>
      <c r="D817" s="1" t="s">
        <v>1288</v>
      </c>
      <c r="E817" s="1" t="s">
        <v>1326</v>
      </c>
      <c r="F817" t="s">
        <v>2173</v>
      </c>
      <c r="G817" t="s">
        <v>1533</v>
      </c>
      <c r="H817" t="s">
        <v>381</v>
      </c>
      <c r="I817" t="s">
        <v>1285</v>
      </c>
      <c r="J817" t="s">
        <v>1332</v>
      </c>
      <c r="K817" t="s">
        <v>1534</v>
      </c>
      <c r="L817" t="s">
        <v>1535</v>
      </c>
      <c r="M817" t="s">
        <v>1335</v>
      </c>
      <c r="N817">
        <v>52000</v>
      </c>
      <c r="O817" s="1" t="s">
        <v>1336</v>
      </c>
      <c r="P817" t="s">
        <v>1306</v>
      </c>
      <c r="Q817" t="s">
        <v>1294</v>
      </c>
      <c r="S817" t="s">
        <v>1294</v>
      </c>
      <c r="T817" t="s">
        <v>2174</v>
      </c>
      <c r="U817">
        <v>1260</v>
      </c>
      <c r="V817" t="s">
        <v>1536</v>
      </c>
    </row>
    <row r="818" spans="1:22" ht="30" x14ac:dyDescent="0.25">
      <c r="A818" t="s">
        <v>1871</v>
      </c>
      <c r="B818" s="1" t="s">
        <v>1330</v>
      </c>
      <c r="C818" s="1" t="s">
        <v>1530</v>
      </c>
      <c r="D818" s="1" t="s">
        <v>1288</v>
      </c>
      <c r="E818" s="1" t="s">
        <v>1326</v>
      </c>
      <c r="F818" t="s">
        <v>2175</v>
      </c>
      <c r="G818" t="s">
        <v>1533</v>
      </c>
      <c r="H818" t="s">
        <v>381</v>
      </c>
      <c r="I818" t="s">
        <v>1285</v>
      </c>
      <c r="J818" t="s">
        <v>1332</v>
      </c>
      <c r="K818" t="s">
        <v>1534</v>
      </c>
      <c r="L818" t="s">
        <v>1535</v>
      </c>
      <c r="M818" t="s">
        <v>1335</v>
      </c>
      <c r="N818">
        <v>52000</v>
      </c>
      <c r="O818" s="1" t="s">
        <v>1336</v>
      </c>
      <c r="P818" t="s">
        <v>1306</v>
      </c>
      <c r="Q818" t="s">
        <v>1294</v>
      </c>
      <c r="S818" t="s">
        <v>1294</v>
      </c>
      <c r="T818" t="s">
        <v>2176</v>
      </c>
      <c r="U818">
        <v>38</v>
      </c>
      <c r="V818" t="s">
        <v>1536</v>
      </c>
    </row>
    <row r="819" spans="1:22" ht="30" x14ac:dyDescent="0.25">
      <c r="A819" t="s">
        <v>1871</v>
      </c>
      <c r="B819" s="1" t="s">
        <v>1330</v>
      </c>
      <c r="C819" s="1" t="s">
        <v>1530</v>
      </c>
      <c r="D819" s="1" t="s">
        <v>1288</v>
      </c>
      <c r="E819" s="1" t="s">
        <v>1326</v>
      </c>
      <c r="F819" t="s">
        <v>2177</v>
      </c>
      <c r="G819" t="s">
        <v>1533</v>
      </c>
      <c r="H819" t="s">
        <v>381</v>
      </c>
      <c r="I819" t="s">
        <v>1285</v>
      </c>
      <c r="J819" t="s">
        <v>1332</v>
      </c>
      <c r="K819" t="s">
        <v>1534</v>
      </c>
      <c r="L819" t="s">
        <v>1535</v>
      </c>
      <c r="M819" t="s">
        <v>1335</v>
      </c>
      <c r="N819">
        <v>52000</v>
      </c>
      <c r="O819" s="1" t="s">
        <v>1336</v>
      </c>
      <c r="P819" t="s">
        <v>1306</v>
      </c>
      <c r="Q819" t="s">
        <v>1294</v>
      </c>
      <c r="S819" t="s">
        <v>1294</v>
      </c>
      <c r="T819" t="s">
        <v>2178</v>
      </c>
      <c r="U819">
        <v>1234</v>
      </c>
      <c r="V819" t="s">
        <v>1536</v>
      </c>
    </row>
    <row r="820" spans="1:22" ht="30" x14ac:dyDescent="0.25">
      <c r="A820" t="s">
        <v>1871</v>
      </c>
      <c r="B820" s="1" t="s">
        <v>1330</v>
      </c>
      <c r="C820" s="1" t="s">
        <v>1530</v>
      </c>
      <c r="D820" s="1" t="s">
        <v>1288</v>
      </c>
      <c r="E820" s="1" t="s">
        <v>1326</v>
      </c>
      <c r="F820" t="s">
        <v>2179</v>
      </c>
      <c r="G820" t="s">
        <v>1533</v>
      </c>
      <c r="H820" t="s">
        <v>381</v>
      </c>
      <c r="I820" t="s">
        <v>1285</v>
      </c>
      <c r="J820" t="s">
        <v>1332</v>
      </c>
      <c r="K820" t="s">
        <v>1534</v>
      </c>
      <c r="L820" t="s">
        <v>1535</v>
      </c>
      <c r="M820" t="s">
        <v>1335</v>
      </c>
      <c r="N820">
        <v>52000</v>
      </c>
      <c r="O820" s="1" t="s">
        <v>1336</v>
      </c>
      <c r="P820" t="s">
        <v>1306</v>
      </c>
      <c r="Q820" t="s">
        <v>1294</v>
      </c>
      <c r="S820" t="s">
        <v>1294</v>
      </c>
      <c r="T820" t="s">
        <v>2180</v>
      </c>
      <c r="U820">
        <v>36</v>
      </c>
      <c r="V820" t="s">
        <v>1536</v>
      </c>
    </row>
    <row r="821" spans="1:22" ht="30" x14ac:dyDescent="0.25">
      <c r="A821" t="s">
        <v>1871</v>
      </c>
      <c r="B821" s="1" t="s">
        <v>1330</v>
      </c>
      <c r="C821" s="1" t="s">
        <v>1530</v>
      </c>
      <c r="D821" s="1" t="s">
        <v>1288</v>
      </c>
      <c r="E821" s="1" t="s">
        <v>1326</v>
      </c>
      <c r="F821" t="s">
        <v>2181</v>
      </c>
      <c r="G821" t="s">
        <v>1533</v>
      </c>
      <c r="H821" t="s">
        <v>381</v>
      </c>
      <c r="I821" t="s">
        <v>1285</v>
      </c>
      <c r="J821" t="s">
        <v>1332</v>
      </c>
      <c r="K821" t="s">
        <v>1534</v>
      </c>
      <c r="L821" t="s">
        <v>1535</v>
      </c>
      <c r="M821" t="s">
        <v>1335</v>
      </c>
      <c r="N821">
        <v>52000</v>
      </c>
      <c r="O821" s="1" t="s">
        <v>1336</v>
      </c>
      <c r="P821" t="s">
        <v>1306</v>
      </c>
      <c r="Q821" t="s">
        <v>1294</v>
      </c>
      <c r="S821" t="s">
        <v>1294</v>
      </c>
      <c r="T821" t="s">
        <v>2182</v>
      </c>
      <c r="U821">
        <v>3303</v>
      </c>
      <c r="V821" t="s">
        <v>1536</v>
      </c>
    </row>
    <row r="822" spans="1:22" ht="30" x14ac:dyDescent="0.25">
      <c r="A822" t="s">
        <v>1871</v>
      </c>
      <c r="B822" s="1" t="s">
        <v>1330</v>
      </c>
      <c r="C822" s="1" t="s">
        <v>1530</v>
      </c>
      <c r="D822" s="1" t="s">
        <v>1288</v>
      </c>
      <c r="E822" s="1" t="s">
        <v>1326</v>
      </c>
      <c r="F822" t="s">
        <v>2183</v>
      </c>
      <c r="G822" t="s">
        <v>1533</v>
      </c>
      <c r="H822" t="s">
        <v>381</v>
      </c>
      <c r="I822" t="s">
        <v>1285</v>
      </c>
      <c r="J822" t="s">
        <v>1332</v>
      </c>
      <c r="K822" t="s">
        <v>1534</v>
      </c>
      <c r="L822" t="s">
        <v>1535</v>
      </c>
      <c r="M822" t="s">
        <v>1335</v>
      </c>
      <c r="N822">
        <v>52000</v>
      </c>
      <c r="O822" s="1" t="s">
        <v>1336</v>
      </c>
      <c r="P822" t="s">
        <v>1306</v>
      </c>
      <c r="Q822" t="s">
        <v>1294</v>
      </c>
      <c r="S822" t="s">
        <v>1294</v>
      </c>
      <c r="T822" t="s">
        <v>2184</v>
      </c>
      <c r="U822">
        <v>2495</v>
      </c>
      <c r="V822" t="s">
        <v>1536</v>
      </c>
    </row>
    <row r="823" spans="1:22" ht="30" x14ac:dyDescent="0.25">
      <c r="A823" t="s">
        <v>1871</v>
      </c>
      <c r="B823" s="1" t="s">
        <v>1330</v>
      </c>
      <c r="C823" s="1" t="s">
        <v>1530</v>
      </c>
      <c r="D823" s="1" t="s">
        <v>1288</v>
      </c>
      <c r="E823" s="1" t="s">
        <v>1326</v>
      </c>
      <c r="F823" t="s">
        <v>2185</v>
      </c>
      <c r="G823" t="s">
        <v>1533</v>
      </c>
      <c r="H823" t="s">
        <v>381</v>
      </c>
      <c r="I823" t="s">
        <v>1285</v>
      </c>
      <c r="J823" t="s">
        <v>1332</v>
      </c>
      <c r="K823" t="s">
        <v>1534</v>
      </c>
      <c r="L823" t="s">
        <v>1535</v>
      </c>
      <c r="M823" t="s">
        <v>1335</v>
      </c>
      <c r="N823">
        <v>52000</v>
      </c>
      <c r="O823" s="1" t="s">
        <v>1336</v>
      </c>
      <c r="P823" t="s">
        <v>1306</v>
      </c>
      <c r="Q823" t="s">
        <v>1294</v>
      </c>
      <c r="S823" t="s">
        <v>1294</v>
      </c>
      <c r="T823" t="s">
        <v>2186</v>
      </c>
      <c r="U823">
        <v>3260</v>
      </c>
      <c r="V823" t="s">
        <v>1536</v>
      </c>
    </row>
    <row r="824" spans="1:22" ht="30" x14ac:dyDescent="0.25">
      <c r="A824" t="s">
        <v>1871</v>
      </c>
      <c r="B824" s="1" t="s">
        <v>1330</v>
      </c>
      <c r="C824" s="1" t="s">
        <v>1530</v>
      </c>
      <c r="D824" s="1" t="s">
        <v>1288</v>
      </c>
      <c r="E824" s="1" t="s">
        <v>1326</v>
      </c>
      <c r="F824" t="s">
        <v>2187</v>
      </c>
      <c r="G824" t="s">
        <v>1533</v>
      </c>
      <c r="H824" t="s">
        <v>381</v>
      </c>
      <c r="I824" t="s">
        <v>1285</v>
      </c>
      <c r="J824" t="s">
        <v>1332</v>
      </c>
      <c r="K824" t="s">
        <v>1534</v>
      </c>
      <c r="L824" t="s">
        <v>1535</v>
      </c>
      <c r="M824" t="s">
        <v>1335</v>
      </c>
      <c r="N824">
        <v>52000</v>
      </c>
      <c r="O824" s="1" t="s">
        <v>1336</v>
      </c>
      <c r="P824" t="s">
        <v>1306</v>
      </c>
      <c r="Q824" t="s">
        <v>1294</v>
      </c>
      <c r="S824" t="s">
        <v>1294</v>
      </c>
      <c r="T824" t="s">
        <v>2188</v>
      </c>
      <c r="U824">
        <v>3271</v>
      </c>
      <c r="V824" t="s">
        <v>1536</v>
      </c>
    </row>
    <row r="825" spans="1:22" ht="30" x14ac:dyDescent="0.25">
      <c r="A825" t="s">
        <v>1871</v>
      </c>
      <c r="B825" s="1" t="s">
        <v>1330</v>
      </c>
      <c r="C825" s="1" t="s">
        <v>1530</v>
      </c>
      <c r="D825" s="1" t="s">
        <v>1288</v>
      </c>
      <c r="E825" s="1" t="s">
        <v>1326</v>
      </c>
      <c r="F825" t="s">
        <v>2189</v>
      </c>
      <c r="G825" t="s">
        <v>1533</v>
      </c>
      <c r="H825" t="s">
        <v>381</v>
      </c>
      <c r="I825" t="s">
        <v>1285</v>
      </c>
      <c r="J825" t="s">
        <v>1332</v>
      </c>
      <c r="K825" t="s">
        <v>1534</v>
      </c>
      <c r="L825" t="s">
        <v>1535</v>
      </c>
      <c r="M825" t="s">
        <v>1335</v>
      </c>
      <c r="N825">
        <v>52000</v>
      </c>
      <c r="O825" s="1" t="s">
        <v>1336</v>
      </c>
      <c r="P825" t="s">
        <v>1306</v>
      </c>
      <c r="Q825" t="s">
        <v>1294</v>
      </c>
      <c r="S825" t="s">
        <v>1294</v>
      </c>
      <c r="T825" t="s">
        <v>2190</v>
      </c>
      <c r="U825">
        <v>2495</v>
      </c>
      <c r="V825" t="s">
        <v>1536</v>
      </c>
    </row>
    <row r="826" spans="1:22" ht="30" x14ac:dyDescent="0.25">
      <c r="A826" t="s">
        <v>1871</v>
      </c>
      <c r="B826" s="1" t="s">
        <v>1330</v>
      </c>
      <c r="C826" s="1" t="s">
        <v>1530</v>
      </c>
      <c r="D826" s="1" t="s">
        <v>1288</v>
      </c>
      <c r="E826" s="1" t="s">
        <v>1326</v>
      </c>
      <c r="F826" t="s">
        <v>2191</v>
      </c>
      <c r="G826" t="s">
        <v>1533</v>
      </c>
      <c r="H826" t="s">
        <v>381</v>
      </c>
      <c r="I826" t="s">
        <v>1285</v>
      </c>
      <c r="J826" t="s">
        <v>1332</v>
      </c>
      <c r="K826" t="s">
        <v>1534</v>
      </c>
      <c r="L826" t="s">
        <v>1535</v>
      </c>
      <c r="M826" t="s">
        <v>1335</v>
      </c>
      <c r="N826">
        <v>52000</v>
      </c>
      <c r="O826" s="1" t="s">
        <v>1336</v>
      </c>
      <c r="P826" t="s">
        <v>1306</v>
      </c>
      <c r="Q826" t="s">
        <v>1294</v>
      </c>
      <c r="S826" t="s">
        <v>1294</v>
      </c>
      <c r="T826" t="s">
        <v>2192</v>
      </c>
      <c r="U826">
        <v>993</v>
      </c>
      <c r="V826" t="s">
        <v>1536</v>
      </c>
    </row>
    <row r="827" spans="1:22" ht="30" x14ac:dyDescent="0.25">
      <c r="A827" t="s">
        <v>1871</v>
      </c>
      <c r="B827" s="1" t="s">
        <v>1330</v>
      </c>
      <c r="C827" s="1" t="s">
        <v>1530</v>
      </c>
      <c r="D827" s="1" t="s">
        <v>1288</v>
      </c>
      <c r="E827" s="1" t="s">
        <v>1326</v>
      </c>
      <c r="F827" t="s">
        <v>2193</v>
      </c>
      <c r="G827" t="s">
        <v>1533</v>
      </c>
      <c r="H827" t="s">
        <v>381</v>
      </c>
      <c r="I827" t="s">
        <v>1285</v>
      </c>
      <c r="J827" t="s">
        <v>1332</v>
      </c>
      <c r="K827" t="s">
        <v>1534</v>
      </c>
      <c r="L827" t="s">
        <v>1535</v>
      </c>
      <c r="M827" t="s">
        <v>1335</v>
      </c>
      <c r="N827">
        <v>52000</v>
      </c>
      <c r="O827" s="1" t="s">
        <v>1336</v>
      </c>
      <c r="P827" t="s">
        <v>1306</v>
      </c>
      <c r="Q827" t="s">
        <v>1294</v>
      </c>
      <c r="S827" t="s">
        <v>1294</v>
      </c>
      <c r="T827" t="s">
        <v>2194</v>
      </c>
      <c r="U827">
        <v>3906</v>
      </c>
      <c r="V827" t="s">
        <v>1536</v>
      </c>
    </row>
    <row r="828" spans="1:22" ht="30" x14ac:dyDescent="0.25">
      <c r="A828" t="s">
        <v>1871</v>
      </c>
      <c r="B828" s="1" t="s">
        <v>1330</v>
      </c>
      <c r="C828" s="1" t="s">
        <v>1530</v>
      </c>
      <c r="D828" s="1" t="s">
        <v>1288</v>
      </c>
      <c r="E828" s="1" t="s">
        <v>1326</v>
      </c>
      <c r="F828" t="s">
        <v>2195</v>
      </c>
      <c r="G828" t="s">
        <v>1533</v>
      </c>
      <c r="H828" t="s">
        <v>381</v>
      </c>
      <c r="I828" t="s">
        <v>1285</v>
      </c>
      <c r="J828" t="s">
        <v>1332</v>
      </c>
      <c r="K828" t="s">
        <v>1534</v>
      </c>
      <c r="L828" t="s">
        <v>1535</v>
      </c>
      <c r="M828" t="s">
        <v>1335</v>
      </c>
      <c r="N828">
        <v>52000</v>
      </c>
      <c r="O828" s="1" t="s">
        <v>1336</v>
      </c>
      <c r="P828" t="s">
        <v>1306</v>
      </c>
      <c r="Q828" t="s">
        <v>1294</v>
      </c>
      <c r="S828" t="s">
        <v>1294</v>
      </c>
      <c r="T828" t="s">
        <v>2196</v>
      </c>
      <c r="U828">
        <v>1287</v>
      </c>
      <c r="V828" t="s">
        <v>1536</v>
      </c>
    </row>
    <row r="829" spans="1:22" ht="30" x14ac:dyDescent="0.25">
      <c r="A829" t="s">
        <v>1871</v>
      </c>
      <c r="B829" s="1" t="s">
        <v>1330</v>
      </c>
      <c r="C829" s="1" t="s">
        <v>1530</v>
      </c>
      <c r="D829" s="1" t="s">
        <v>1288</v>
      </c>
      <c r="E829" s="1" t="s">
        <v>1326</v>
      </c>
      <c r="F829" t="s">
        <v>2197</v>
      </c>
      <c r="G829" t="s">
        <v>1533</v>
      </c>
      <c r="H829" t="s">
        <v>381</v>
      </c>
      <c r="I829" t="s">
        <v>1285</v>
      </c>
      <c r="J829" t="s">
        <v>1332</v>
      </c>
      <c r="K829" t="s">
        <v>1534</v>
      </c>
      <c r="L829" t="s">
        <v>1535</v>
      </c>
      <c r="M829" t="s">
        <v>1335</v>
      </c>
      <c r="N829">
        <v>52000</v>
      </c>
      <c r="O829" s="1" t="s">
        <v>1336</v>
      </c>
      <c r="P829" t="s">
        <v>1306</v>
      </c>
      <c r="Q829" t="s">
        <v>1294</v>
      </c>
      <c r="S829" t="s">
        <v>1294</v>
      </c>
      <c r="T829" t="s">
        <v>2198</v>
      </c>
      <c r="U829">
        <v>3709</v>
      </c>
      <c r="V829" t="s">
        <v>1536</v>
      </c>
    </row>
    <row r="830" spans="1:22" ht="30" x14ac:dyDescent="0.25">
      <c r="A830" t="s">
        <v>1871</v>
      </c>
      <c r="B830" s="1" t="s">
        <v>1330</v>
      </c>
      <c r="C830" s="1" t="s">
        <v>1530</v>
      </c>
      <c r="D830" s="1" t="s">
        <v>1288</v>
      </c>
      <c r="E830" s="1" t="s">
        <v>1326</v>
      </c>
      <c r="F830" t="s">
        <v>2199</v>
      </c>
      <c r="G830" t="s">
        <v>1533</v>
      </c>
      <c r="H830" t="s">
        <v>381</v>
      </c>
      <c r="I830" t="s">
        <v>1285</v>
      </c>
      <c r="J830" t="s">
        <v>1332</v>
      </c>
      <c r="K830" t="s">
        <v>1534</v>
      </c>
      <c r="L830" t="s">
        <v>1535</v>
      </c>
      <c r="M830" t="s">
        <v>1335</v>
      </c>
      <c r="N830">
        <v>52000</v>
      </c>
      <c r="O830" s="1" t="s">
        <v>1336</v>
      </c>
      <c r="P830" t="s">
        <v>1306</v>
      </c>
      <c r="Q830" t="s">
        <v>1294</v>
      </c>
      <c r="S830" t="s">
        <v>1294</v>
      </c>
      <c r="T830" t="s">
        <v>2200</v>
      </c>
      <c r="U830">
        <v>2220</v>
      </c>
      <c r="V830" t="s">
        <v>1536</v>
      </c>
    </row>
    <row r="831" spans="1:22" ht="30" x14ac:dyDescent="0.25">
      <c r="A831" t="s">
        <v>1871</v>
      </c>
      <c r="B831" s="1" t="s">
        <v>1330</v>
      </c>
      <c r="C831" s="1" t="s">
        <v>1530</v>
      </c>
      <c r="D831" s="1" t="s">
        <v>1288</v>
      </c>
      <c r="E831" s="1" t="s">
        <v>1326</v>
      </c>
      <c r="F831" t="s">
        <v>2201</v>
      </c>
      <c r="G831" t="s">
        <v>1533</v>
      </c>
      <c r="H831" t="s">
        <v>381</v>
      </c>
      <c r="I831" t="s">
        <v>1285</v>
      </c>
      <c r="J831" t="s">
        <v>1332</v>
      </c>
      <c r="K831" t="s">
        <v>1534</v>
      </c>
      <c r="L831" t="s">
        <v>1535</v>
      </c>
      <c r="M831" t="s">
        <v>1335</v>
      </c>
      <c r="N831">
        <v>52000</v>
      </c>
      <c r="O831" s="1" t="s">
        <v>1336</v>
      </c>
      <c r="P831" t="s">
        <v>1306</v>
      </c>
      <c r="Q831" t="s">
        <v>1294</v>
      </c>
      <c r="S831" t="s">
        <v>1294</v>
      </c>
      <c r="T831" t="s">
        <v>2202</v>
      </c>
      <c r="U831">
        <v>1527</v>
      </c>
      <c r="V831" t="s">
        <v>1536</v>
      </c>
    </row>
    <row r="832" spans="1:22" ht="30" x14ac:dyDescent="0.25">
      <c r="A832" t="s">
        <v>1871</v>
      </c>
      <c r="B832" s="1" t="s">
        <v>1330</v>
      </c>
      <c r="C832" s="1" t="s">
        <v>1530</v>
      </c>
      <c r="D832" s="1" t="s">
        <v>1288</v>
      </c>
      <c r="E832" s="1" t="s">
        <v>1326</v>
      </c>
      <c r="F832" t="s">
        <v>2203</v>
      </c>
      <c r="G832" t="s">
        <v>1533</v>
      </c>
      <c r="H832" t="s">
        <v>381</v>
      </c>
      <c r="I832" t="s">
        <v>1285</v>
      </c>
      <c r="J832" t="s">
        <v>1332</v>
      </c>
      <c r="K832" t="s">
        <v>1534</v>
      </c>
      <c r="L832" t="s">
        <v>1535</v>
      </c>
      <c r="M832" t="s">
        <v>1335</v>
      </c>
      <c r="N832">
        <v>52000</v>
      </c>
      <c r="O832" s="1" t="s">
        <v>1336</v>
      </c>
      <c r="P832" t="s">
        <v>1306</v>
      </c>
      <c r="Q832" t="s">
        <v>1294</v>
      </c>
      <c r="S832" t="s">
        <v>1294</v>
      </c>
      <c r="T832" t="s">
        <v>2204</v>
      </c>
      <c r="U832">
        <v>0</v>
      </c>
      <c r="V832" t="s">
        <v>1536</v>
      </c>
    </row>
    <row r="833" spans="1:22" ht="30" x14ac:dyDescent="0.25">
      <c r="A833" t="s">
        <v>1871</v>
      </c>
      <c r="B833" s="1" t="s">
        <v>1330</v>
      </c>
      <c r="C833" s="1" t="s">
        <v>1530</v>
      </c>
      <c r="D833" s="1" t="s">
        <v>1288</v>
      </c>
      <c r="E833" s="1" t="s">
        <v>1326</v>
      </c>
      <c r="F833" t="s">
        <v>2205</v>
      </c>
      <c r="G833" t="s">
        <v>1533</v>
      </c>
      <c r="H833" t="s">
        <v>381</v>
      </c>
      <c r="I833" t="s">
        <v>1285</v>
      </c>
      <c r="J833" t="s">
        <v>1332</v>
      </c>
      <c r="K833" t="s">
        <v>1534</v>
      </c>
      <c r="L833" t="s">
        <v>1535</v>
      </c>
      <c r="M833" t="s">
        <v>1335</v>
      </c>
      <c r="N833">
        <v>52000</v>
      </c>
      <c r="O833" s="1" t="s">
        <v>1336</v>
      </c>
      <c r="P833" t="s">
        <v>1306</v>
      </c>
      <c r="Q833" t="s">
        <v>1294</v>
      </c>
      <c r="S833" t="s">
        <v>1294</v>
      </c>
      <c r="T833" t="s">
        <v>2206</v>
      </c>
      <c r="U833">
        <v>1018.8</v>
      </c>
      <c r="V833" t="s">
        <v>1536</v>
      </c>
    </row>
    <row r="834" spans="1:22" ht="30" x14ac:dyDescent="0.25">
      <c r="A834" t="s">
        <v>1871</v>
      </c>
      <c r="B834" s="1" t="s">
        <v>1330</v>
      </c>
      <c r="C834" s="1" t="s">
        <v>1530</v>
      </c>
      <c r="D834" s="1" t="s">
        <v>1288</v>
      </c>
      <c r="E834" s="1" t="s">
        <v>1326</v>
      </c>
      <c r="F834" t="s">
        <v>2207</v>
      </c>
      <c r="G834" t="s">
        <v>1533</v>
      </c>
      <c r="H834" t="s">
        <v>381</v>
      </c>
      <c r="I834" t="s">
        <v>1285</v>
      </c>
      <c r="J834" t="s">
        <v>1332</v>
      </c>
      <c r="K834" t="s">
        <v>1534</v>
      </c>
      <c r="L834" t="s">
        <v>1535</v>
      </c>
      <c r="M834" t="s">
        <v>1335</v>
      </c>
      <c r="N834">
        <v>52000</v>
      </c>
      <c r="O834" s="1" t="s">
        <v>1336</v>
      </c>
      <c r="P834" t="s">
        <v>1306</v>
      </c>
      <c r="Q834" t="s">
        <v>1294</v>
      </c>
      <c r="S834" t="s">
        <v>1294</v>
      </c>
      <c r="T834" t="s">
        <v>2208</v>
      </c>
      <c r="U834">
        <v>1365</v>
      </c>
      <c r="V834" t="s">
        <v>1536</v>
      </c>
    </row>
    <row r="835" spans="1:22" ht="30" x14ac:dyDescent="0.25">
      <c r="A835" t="s">
        <v>1871</v>
      </c>
      <c r="B835" s="1" t="s">
        <v>1330</v>
      </c>
      <c r="C835" s="1" t="s">
        <v>1530</v>
      </c>
      <c r="D835" s="1" t="s">
        <v>1288</v>
      </c>
      <c r="E835" s="1" t="s">
        <v>1326</v>
      </c>
      <c r="F835" t="s">
        <v>2209</v>
      </c>
      <c r="G835" t="s">
        <v>1533</v>
      </c>
      <c r="H835" t="s">
        <v>381</v>
      </c>
      <c r="I835" t="s">
        <v>1285</v>
      </c>
      <c r="J835" t="s">
        <v>1332</v>
      </c>
      <c r="K835" t="s">
        <v>1534</v>
      </c>
      <c r="L835" t="s">
        <v>1535</v>
      </c>
      <c r="M835" t="s">
        <v>1335</v>
      </c>
      <c r="N835">
        <v>52000</v>
      </c>
      <c r="O835" s="1" t="s">
        <v>1336</v>
      </c>
      <c r="P835" t="s">
        <v>1306</v>
      </c>
      <c r="Q835" t="s">
        <v>1294</v>
      </c>
      <c r="S835" t="s">
        <v>1294</v>
      </c>
      <c r="T835" t="s">
        <v>2210</v>
      </c>
      <c r="U835">
        <v>542</v>
      </c>
      <c r="V835" t="s">
        <v>1536</v>
      </c>
    </row>
    <row r="836" spans="1:22" ht="30" x14ac:dyDescent="0.25">
      <c r="A836" t="s">
        <v>1871</v>
      </c>
      <c r="B836" s="1" t="s">
        <v>1330</v>
      </c>
      <c r="C836" s="1" t="s">
        <v>1530</v>
      </c>
      <c r="D836" s="1" t="s">
        <v>1288</v>
      </c>
      <c r="E836" s="1" t="s">
        <v>1410</v>
      </c>
      <c r="F836" t="s">
        <v>2249</v>
      </c>
      <c r="G836" t="s">
        <v>1331</v>
      </c>
      <c r="H836" t="s">
        <v>381</v>
      </c>
      <c r="I836" t="s">
        <v>1285</v>
      </c>
      <c r="J836" t="s">
        <v>1332</v>
      </c>
      <c r="K836" t="s">
        <v>1333</v>
      </c>
      <c r="L836" t="s">
        <v>1334</v>
      </c>
      <c r="M836" t="s">
        <v>1335</v>
      </c>
      <c r="N836">
        <v>52000</v>
      </c>
      <c r="O836" s="1" t="s">
        <v>1336</v>
      </c>
      <c r="P836" t="s">
        <v>1306</v>
      </c>
      <c r="Q836" t="s">
        <v>1294</v>
      </c>
      <c r="S836" t="s">
        <v>1294</v>
      </c>
      <c r="T836" t="s">
        <v>2250</v>
      </c>
      <c r="U836">
        <v>2119</v>
      </c>
      <c r="V836" t="s">
        <v>1338</v>
      </c>
    </row>
    <row r="837" spans="1:22" ht="30" x14ac:dyDescent="0.25">
      <c r="A837" t="s">
        <v>1871</v>
      </c>
      <c r="B837" s="1" t="s">
        <v>1330</v>
      </c>
      <c r="C837" s="1" t="s">
        <v>1530</v>
      </c>
      <c r="D837" s="1" t="s">
        <v>1288</v>
      </c>
      <c r="E837" s="1" t="s">
        <v>1410</v>
      </c>
      <c r="F837" t="s">
        <v>2251</v>
      </c>
      <c r="G837" t="s">
        <v>1331</v>
      </c>
      <c r="H837" t="s">
        <v>381</v>
      </c>
      <c r="I837" t="s">
        <v>1285</v>
      </c>
      <c r="J837" t="s">
        <v>1332</v>
      </c>
      <c r="K837" t="s">
        <v>1333</v>
      </c>
      <c r="L837" t="s">
        <v>1334</v>
      </c>
      <c r="M837" t="s">
        <v>1335</v>
      </c>
      <c r="N837">
        <v>52000</v>
      </c>
      <c r="O837" s="1" t="s">
        <v>1336</v>
      </c>
      <c r="P837" t="s">
        <v>1306</v>
      </c>
      <c r="Q837" t="s">
        <v>1294</v>
      </c>
      <c r="S837" t="s">
        <v>1294</v>
      </c>
      <c r="T837" t="s">
        <v>2252</v>
      </c>
      <c r="U837">
        <v>486</v>
      </c>
      <c r="V837" t="s">
        <v>1338</v>
      </c>
    </row>
    <row r="838" spans="1:22" ht="30" x14ac:dyDescent="0.25">
      <c r="A838" t="s">
        <v>1871</v>
      </c>
      <c r="B838" s="1" t="s">
        <v>1330</v>
      </c>
      <c r="C838" s="1" t="s">
        <v>1530</v>
      </c>
      <c r="D838" s="1" t="s">
        <v>1288</v>
      </c>
      <c r="E838" s="1" t="s">
        <v>1410</v>
      </c>
      <c r="F838" t="s">
        <v>2253</v>
      </c>
      <c r="G838" t="s">
        <v>1331</v>
      </c>
      <c r="H838" t="s">
        <v>381</v>
      </c>
      <c r="I838" t="s">
        <v>1285</v>
      </c>
      <c r="J838" t="s">
        <v>1332</v>
      </c>
      <c r="K838" t="s">
        <v>1333</v>
      </c>
      <c r="L838" t="s">
        <v>1334</v>
      </c>
      <c r="M838" t="s">
        <v>1335</v>
      </c>
      <c r="N838">
        <v>52000</v>
      </c>
      <c r="O838" s="1" t="s">
        <v>1336</v>
      </c>
      <c r="P838" t="s">
        <v>1306</v>
      </c>
      <c r="Q838" t="s">
        <v>1294</v>
      </c>
      <c r="S838" t="s">
        <v>1294</v>
      </c>
      <c r="T838" t="s">
        <v>2254</v>
      </c>
      <c r="U838">
        <v>298</v>
      </c>
      <c r="V838" t="s">
        <v>1338</v>
      </c>
    </row>
    <row r="839" spans="1:22" ht="30" x14ac:dyDescent="0.25">
      <c r="A839" t="s">
        <v>1871</v>
      </c>
      <c r="B839" s="1" t="s">
        <v>1330</v>
      </c>
      <c r="C839" s="1" t="s">
        <v>1530</v>
      </c>
      <c r="D839" s="1" t="s">
        <v>1288</v>
      </c>
      <c r="E839" s="1" t="s">
        <v>1410</v>
      </c>
      <c r="F839" t="s">
        <v>2255</v>
      </c>
      <c r="G839" t="s">
        <v>1331</v>
      </c>
      <c r="H839" t="s">
        <v>381</v>
      </c>
      <c r="I839" t="s">
        <v>1285</v>
      </c>
      <c r="J839" t="s">
        <v>1332</v>
      </c>
      <c r="K839" t="s">
        <v>1333</v>
      </c>
      <c r="L839" t="s">
        <v>1334</v>
      </c>
      <c r="M839" t="s">
        <v>1335</v>
      </c>
      <c r="N839">
        <v>52000</v>
      </c>
      <c r="O839" s="1" t="s">
        <v>1336</v>
      </c>
      <c r="P839" t="s">
        <v>1306</v>
      </c>
      <c r="Q839" t="s">
        <v>1294</v>
      </c>
      <c r="S839" t="s">
        <v>1294</v>
      </c>
      <c r="T839" t="s">
        <v>2256</v>
      </c>
      <c r="U839">
        <v>344</v>
      </c>
      <c r="V839" t="s">
        <v>1338</v>
      </c>
    </row>
    <row r="840" spans="1:22" ht="30" x14ac:dyDescent="0.25">
      <c r="A840" t="s">
        <v>1871</v>
      </c>
      <c r="B840" s="1" t="s">
        <v>1330</v>
      </c>
      <c r="C840" s="1" t="s">
        <v>1530</v>
      </c>
      <c r="D840" s="1" t="s">
        <v>1288</v>
      </c>
      <c r="E840" s="1" t="s">
        <v>1410</v>
      </c>
      <c r="F840" t="s">
        <v>2257</v>
      </c>
      <c r="G840" t="s">
        <v>1331</v>
      </c>
      <c r="H840" t="s">
        <v>381</v>
      </c>
      <c r="I840" t="s">
        <v>1285</v>
      </c>
      <c r="J840" t="s">
        <v>1332</v>
      </c>
      <c r="K840" t="s">
        <v>1333</v>
      </c>
      <c r="L840" t="s">
        <v>1334</v>
      </c>
      <c r="M840" t="s">
        <v>1335</v>
      </c>
      <c r="N840">
        <v>52000</v>
      </c>
      <c r="O840" s="1" t="s">
        <v>1336</v>
      </c>
      <c r="P840" t="s">
        <v>1306</v>
      </c>
      <c r="Q840" t="s">
        <v>1294</v>
      </c>
      <c r="S840" t="s">
        <v>1294</v>
      </c>
      <c r="T840" t="s">
        <v>2258</v>
      </c>
      <c r="U840">
        <v>336</v>
      </c>
      <c r="V840" t="s">
        <v>1338</v>
      </c>
    </row>
    <row r="841" spans="1:22" ht="30" x14ac:dyDescent="0.25">
      <c r="A841" t="s">
        <v>1871</v>
      </c>
      <c r="B841" s="1" t="s">
        <v>1330</v>
      </c>
      <c r="C841" s="1" t="s">
        <v>1530</v>
      </c>
      <c r="D841" s="1" t="s">
        <v>1288</v>
      </c>
      <c r="E841" s="1" t="s">
        <v>1410</v>
      </c>
      <c r="F841" t="s">
        <v>2259</v>
      </c>
      <c r="G841" t="s">
        <v>1331</v>
      </c>
      <c r="H841" t="s">
        <v>381</v>
      </c>
      <c r="I841" t="s">
        <v>1285</v>
      </c>
      <c r="J841" t="s">
        <v>1332</v>
      </c>
      <c r="K841" t="s">
        <v>1333</v>
      </c>
      <c r="L841" t="s">
        <v>1334</v>
      </c>
      <c r="M841" t="s">
        <v>1335</v>
      </c>
      <c r="N841">
        <v>52000</v>
      </c>
      <c r="O841" s="1" t="s">
        <v>1336</v>
      </c>
      <c r="P841" t="s">
        <v>1306</v>
      </c>
      <c r="Q841" t="s">
        <v>1294</v>
      </c>
      <c r="S841" t="s">
        <v>1294</v>
      </c>
      <c r="T841" t="s">
        <v>2260</v>
      </c>
      <c r="U841">
        <v>533</v>
      </c>
      <c r="V841" t="s">
        <v>1338</v>
      </c>
    </row>
    <row r="842" spans="1:22" ht="30" x14ac:dyDescent="0.25">
      <c r="A842" t="s">
        <v>1871</v>
      </c>
      <c r="B842" s="1" t="s">
        <v>1330</v>
      </c>
      <c r="C842" s="1" t="s">
        <v>1530</v>
      </c>
      <c r="D842" s="1" t="s">
        <v>1288</v>
      </c>
      <c r="E842" s="1" t="s">
        <v>1410</v>
      </c>
      <c r="F842" t="s">
        <v>2261</v>
      </c>
      <c r="G842" t="s">
        <v>1331</v>
      </c>
      <c r="H842" t="s">
        <v>381</v>
      </c>
      <c r="I842" t="s">
        <v>1285</v>
      </c>
      <c r="J842" t="s">
        <v>1332</v>
      </c>
      <c r="K842" t="s">
        <v>1333</v>
      </c>
      <c r="L842" t="s">
        <v>1334</v>
      </c>
      <c r="M842" t="s">
        <v>1335</v>
      </c>
      <c r="N842">
        <v>52000</v>
      </c>
      <c r="O842" s="1" t="s">
        <v>1336</v>
      </c>
      <c r="P842" t="s">
        <v>1306</v>
      </c>
      <c r="Q842" t="s">
        <v>1294</v>
      </c>
      <c r="S842" t="s">
        <v>1294</v>
      </c>
      <c r="T842" t="s">
        <v>2262</v>
      </c>
      <c r="U842">
        <v>604</v>
      </c>
      <c r="V842" t="s">
        <v>1338</v>
      </c>
    </row>
    <row r="843" spans="1:22" ht="30" x14ac:dyDescent="0.25">
      <c r="A843" t="s">
        <v>1871</v>
      </c>
      <c r="B843" s="1" t="s">
        <v>1330</v>
      </c>
      <c r="C843" s="1" t="s">
        <v>1530</v>
      </c>
      <c r="D843" s="1" t="s">
        <v>1288</v>
      </c>
      <c r="E843" s="1" t="s">
        <v>1410</v>
      </c>
      <c r="F843" t="s">
        <v>2263</v>
      </c>
      <c r="G843" t="s">
        <v>1331</v>
      </c>
      <c r="H843" t="s">
        <v>381</v>
      </c>
      <c r="I843" t="s">
        <v>1285</v>
      </c>
      <c r="J843" t="s">
        <v>1332</v>
      </c>
      <c r="K843" t="s">
        <v>1333</v>
      </c>
      <c r="L843" t="s">
        <v>1334</v>
      </c>
      <c r="M843" t="s">
        <v>1335</v>
      </c>
      <c r="N843">
        <v>52000</v>
      </c>
      <c r="O843" s="1" t="s">
        <v>1336</v>
      </c>
      <c r="P843" t="s">
        <v>1306</v>
      </c>
      <c r="Q843" t="s">
        <v>1294</v>
      </c>
      <c r="S843" t="s">
        <v>1294</v>
      </c>
      <c r="T843" t="s">
        <v>2264</v>
      </c>
      <c r="U843">
        <v>877</v>
      </c>
      <c r="V843" t="s">
        <v>1338</v>
      </c>
    </row>
    <row r="844" spans="1:22" ht="30" x14ac:dyDescent="0.25">
      <c r="A844" t="s">
        <v>1871</v>
      </c>
      <c r="B844" s="1" t="s">
        <v>1330</v>
      </c>
      <c r="C844" s="1" t="s">
        <v>1530</v>
      </c>
      <c r="D844" s="1" t="s">
        <v>1288</v>
      </c>
      <c r="E844" s="1" t="s">
        <v>1410</v>
      </c>
      <c r="F844" t="s">
        <v>2265</v>
      </c>
      <c r="G844" t="s">
        <v>1331</v>
      </c>
      <c r="H844" t="s">
        <v>381</v>
      </c>
      <c r="I844" t="s">
        <v>1285</v>
      </c>
      <c r="J844" t="s">
        <v>1332</v>
      </c>
      <c r="K844" t="s">
        <v>1333</v>
      </c>
      <c r="L844" t="s">
        <v>1334</v>
      </c>
      <c r="M844" t="s">
        <v>1335</v>
      </c>
      <c r="N844">
        <v>52000</v>
      </c>
      <c r="O844" s="1" t="s">
        <v>1336</v>
      </c>
      <c r="P844" t="s">
        <v>1306</v>
      </c>
      <c r="Q844" t="s">
        <v>1294</v>
      </c>
      <c r="S844" t="s">
        <v>1294</v>
      </c>
      <c r="T844" t="s">
        <v>2266</v>
      </c>
      <c r="U844">
        <v>0</v>
      </c>
      <c r="V844" t="s">
        <v>1338</v>
      </c>
    </row>
    <row r="845" spans="1:22" ht="30" x14ac:dyDescent="0.25">
      <c r="A845" t="s">
        <v>1871</v>
      </c>
      <c r="B845" s="1" t="s">
        <v>1330</v>
      </c>
      <c r="C845" s="1" t="s">
        <v>1530</v>
      </c>
      <c r="D845" s="1" t="s">
        <v>1288</v>
      </c>
      <c r="E845" s="1" t="s">
        <v>1410</v>
      </c>
      <c r="F845" t="s">
        <v>2267</v>
      </c>
      <c r="G845" t="s">
        <v>1331</v>
      </c>
      <c r="H845" t="s">
        <v>381</v>
      </c>
      <c r="I845" t="s">
        <v>1285</v>
      </c>
      <c r="J845" t="s">
        <v>1332</v>
      </c>
      <c r="K845" t="s">
        <v>1333</v>
      </c>
      <c r="L845" t="s">
        <v>1334</v>
      </c>
      <c r="M845" t="s">
        <v>1335</v>
      </c>
      <c r="N845">
        <v>52000</v>
      </c>
      <c r="O845" s="1" t="s">
        <v>1336</v>
      </c>
      <c r="P845" t="s">
        <v>1306</v>
      </c>
      <c r="Q845" t="s">
        <v>1294</v>
      </c>
      <c r="S845" t="s">
        <v>1294</v>
      </c>
      <c r="T845" t="s">
        <v>2268</v>
      </c>
      <c r="U845">
        <v>5552</v>
      </c>
      <c r="V845" t="s">
        <v>1338</v>
      </c>
    </row>
    <row r="846" spans="1:22" ht="30" x14ac:dyDescent="0.25">
      <c r="A846" t="s">
        <v>1871</v>
      </c>
      <c r="B846" s="1" t="s">
        <v>1330</v>
      </c>
      <c r="C846" s="1" t="s">
        <v>1530</v>
      </c>
      <c r="D846" s="1" t="s">
        <v>1288</v>
      </c>
      <c r="E846" s="1" t="s">
        <v>1410</v>
      </c>
      <c r="F846" t="s">
        <v>2269</v>
      </c>
      <c r="G846" t="s">
        <v>1331</v>
      </c>
      <c r="H846" t="s">
        <v>381</v>
      </c>
      <c r="I846" t="s">
        <v>1285</v>
      </c>
      <c r="J846" t="s">
        <v>1332</v>
      </c>
      <c r="K846" t="s">
        <v>1333</v>
      </c>
      <c r="L846" t="s">
        <v>1334</v>
      </c>
      <c r="M846" t="s">
        <v>1335</v>
      </c>
      <c r="N846">
        <v>52000</v>
      </c>
      <c r="O846" s="1" t="s">
        <v>1336</v>
      </c>
      <c r="P846" t="s">
        <v>1306</v>
      </c>
      <c r="Q846" t="s">
        <v>1294</v>
      </c>
      <c r="S846" t="s">
        <v>1294</v>
      </c>
      <c r="T846" t="s">
        <v>2270</v>
      </c>
      <c r="U846">
        <v>519</v>
      </c>
      <c r="V846" t="s">
        <v>1338</v>
      </c>
    </row>
    <row r="847" spans="1:22" ht="30" x14ac:dyDescent="0.25">
      <c r="A847" t="s">
        <v>1871</v>
      </c>
      <c r="B847" s="1" t="s">
        <v>1330</v>
      </c>
      <c r="C847" s="1" t="s">
        <v>1530</v>
      </c>
      <c r="D847" s="1" t="s">
        <v>1288</v>
      </c>
      <c r="E847" s="1" t="s">
        <v>1410</v>
      </c>
      <c r="F847" t="s">
        <v>2271</v>
      </c>
      <c r="G847" t="s">
        <v>1331</v>
      </c>
      <c r="H847" t="s">
        <v>381</v>
      </c>
      <c r="I847" t="s">
        <v>1285</v>
      </c>
      <c r="J847" t="s">
        <v>1332</v>
      </c>
      <c r="K847" t="s">
        <v>1333</v>
      </c>
      <c r="L847" t="s">
        <v>1334</v>
      </c>
      <c r="M847" t="s">
        <v>1335</v>
      </c>
      <c r="N847">
        <v>52000</v>
      </c>
      <c r="O847" s="1" t="s">
        <v>1336</v>
      </c>
      <c r="P847" t="s">
        <v>1306</v>
      </c>
      <c r="Q847" t="s">
        <v>1294</v>
      </c>
      <c r="S847" t="s">
        <v>1294</v>
      </c>
      <c r="T847" t="s">
        <v>2272</v>
      </c>
      <c r="U847">
        <v>839</v>
      </c>
      <c r="V847" t="s">
        <v>1338</v>
      </c>
    </row>
    <row r="848" spans="1:22" ht="30" x14ac:dyDescent="0.25">
      <c r="A848" t="s">
        <v>1871</v>
      </c>
      <c r="B848" s="1" t="s">
        <v>1330</v>
      </c>
      <c r="C848" s="1" t="s">
        <v>1530</v>
      </c>
      <c r="D848" s="1" t="s">
        <v>1288</v>
      </c>
      <c r="E848" s="1" t="s">
        <v>1410</v>
      </c>
      <c r="F848" t="s">
        <v>2273</v>
      </c>
      <c r="G848" t="s">
        <v>1331</v>
      </c>
      <c r="H848" t="s">
        <v>381</v>
      </c>
      <c r="I848" t="s">
        <v>1285</v>
      </c>
      <c r="J848" t="s">
        <v>1332</v>
      </c>
      <c r="K848" t="s">
        <v>1333</v>
      </c>
      <c r="L848" t="s">
        <v>1334</v>
      </c>
      <c r="M848" t="s">
        <v>1335</v>
      </c>
      <c r="N848">
        <v>52000</v>
      </c>
      <c r="O848" s="1" t="s">
        <v>1336</v>
      </c>
      <c r="P848" t="s">
        <v>1306</v>
      </c>
      <c r="Q848" t="s">
        <v>1294</v>
      </c>
      <c r="S848" t="s">
        <v>1294</v>
      </c>
      <c r="T848" t="s">
        <v>2274</v>
      </c>
      <c r="U848">
        <v>543</v>
      </c>
      <c r="V848" t="s">
        <v>1338</v>
      </c>
    </row>
    <row r="849" spans="1:22" ht="30" x14ac:dyDescent="0.25">
      <c r="A849" t="s">
        <v>1871</v>
      </c>
      <c r="B849" s="1" t="s">
        <v>1330</v>
      </c>
      <c r="C849" s="1" t="s">
        <v>1530</v>
      </c>
      <c r="D849" s="1" t="s">
        <v>1288</v>
      </c>
      <c r="E849" s="1" t="s">
        <v>1410</v>
      </c>
      <c r="F849" t="s">
        <v>2275</v>
      </c>
      <c r="G849" t="s">
        <v>1331</v>
      </c>
      <c r="H849" t="s">
        <v>381</v>
      </c>
      <c r="I849" t="s">
        <v>1285</v>
      </c>
      <c r="J849" t="s">
        <v>1332</v>
      </c>
      <c r="K849" t="s">
        <v>1333</v>
      </c>
      <c r="L849" t="s">
        <v>1334</v>
      </c>
      <c r="M849" t="s">
        <v>1335</v>
      </c>
      <c r="N849">
        <v>52000</v>
      </c>
      <c r="O849" s="1" t="s">
        <v>1336</v>
      </c>
      <c r="P849" t="s">
        <v>1306</v>
      </c>
      <c r="Q849" t="s">
        <v>1294</v>
      </c>
      <c r="S849" t="s">
        <v>1294</v>
      </c>
      <c r="T849" t="s">
        <v>2276</v>
      </c>
      <c r="U849">
        <v>144</v>
      </c>
      <c r="V849" t="s">
        <v>1338</v>
      </c>
    </row>
    <row r="850" spans="1:22" ht="30" x14ac:dyDescent="0.25">
      <c r="A850" t="s">
        <v>1871</v>
      </c>
      <c r="B850" s="1" t="s">
        <v>1330</v>
      </c>
      <c r="C850" s="1" t="s">
        <v>1530</v>
      </c>
      <c r="D850" s="1" t="s">
        <v>1288</v>
      </c>
      <c r="E850" s="1" t="s">
        <v>1410</v>
      </c>
      <c r="F850" t="s">
        <v>2277</v>
      </c>
      <c r="G850" t="s">
        <v>1331</v>
      </c>
      <c r="H850" t="s">
        <v>381</v>
      </c>
      <c r="I850" t="s">
        <v>1285</v>
      </c>
      <c r="J850" t="s">
        <v>1332</v>
      </c>
      <c r="K850" t="s">
        <v>1333</v>
      </c>
      <c r="L850" t="s">
        <v>1334</v>
      </c>
      <c r="M850" t="s">
        <v>1335</v>
      </c>
      <c r="N850">
        <v>52000</v>
      </c>
      <c r="O850" s="1" t="s">
        <v>1336</v>
      </c>
      <c r="P850" t="s">
        <v>1306</v>
      </c>
      <c r="Q850" t="s">
        <v>1294</v>
      </c>
      <c r="S850" t="s">
        <v>1294</v>
      </c>
      <c r="T850" t="s">
        <v>2278</v>
      </c>
      <c r="U850">
        <v>489</v>
      </c>
      <c r="V850" t="s">
        <v>1338</v>
      </c>
    </row>
    <row r="851" spans="1:22" ht="30" x14ac:dyDescent="0.25">
      <c r="A851" t="s">
        <v>1871</v>
      </c>
      <c r="B851" s="1" t="s">
        <v>1330</v>
      </c>
      <c r="C851" s="1" t="s">
        <v>1530</v>
      </c>
      <c r="D851" s="1" t="s">
        <v>1288</v>
      </c>
      <c r="E851" s="1" t="s">
        <v>1410</v>
      </c>
      <c r="F851" t="s">
        <v>2279</v>
      </c>
      <c r="G851" t="s">
        <v>1331</v>
      </c>
      <c r="H851" t="s">
        <v>381</v>
      </c>
      <c r="I851" t="s">
        <v>1285</v>
      </c>
      <c r="J851" t="s">
        <v>1332</v>
      </c>
      <c r="K851" t="s">
        <v>1333</v>
      </c>
      <c r="L851" t="s">
        <v>1334</v>
      </c>
      <c r="M851" t="s">
        <v>1335</v>
      </c>
      <c r="N851">
        <v>52000</v>
      </c>
      <c r="O851" s="1" t="s">
        <v>1336</v>
      </c>
      <c r="P851" t="s">
        <v>1306</v>
      </c>
      <c r="Q851" t="s">
        <v>1294</v>
      </c>
      <c r="S851" t="s">
        <v>1294</v>
      </c>
      <c r="T851" t="s">
        <v>2280</v>
      </c>
      <c r="U851">
        <v>1619</v>
      </c>
      <c r="V851" t="s">
        <v>1338</v>
      </c>
    </row>
    <row r="852" spans="1:22" ht="30" x14ac:dyDescent="0.25">
      <c r="A852" t="s">
        <v>1871</v>
      </c>
      <c r="B852" s="1" t="s">
        <v>1330</v>
      </c>
      <c r="C852" s="1" t="s">
        <v>1530</v>
      </c>
      <c r="D852" s="1" t="s">
        <v>1288</v>
      </c>
      <c r="E852" s="1" t="s">
        <v>1410</v>
      </c>
      <c r="F852" t="s">
        <v>2281</v>
      </c>
      <c r="G852" t="s">
        <v>1331</v>
      </c>
      <c r="H852" t="s">
        <v>381</v>
      </c>
      <c r="I852" t="s">
        <v>1285</v>
      </c>
      <c r="J852" t="s">
        <v>1332</v>
      </c>
      <c r="K852" t="s">
        <v>1333</v>
      </c>
      <c r="L852" t="s">
        <v>1334</v>
      </c>
      <c r="M852" t="s">
        <v>1335</v>
      </c>
      <c r="N852">
        <v>52000</v>
      </c>
      <c r="O852" s="1" t="s">
        <v>1336</v>
      </c>
      <c r="P852" t="s">
        <v>1306</v>
      </c>
      <c r="Q852" t="s">
        <v>1294</v>
      </c>
      <c r="S852" t="s">
        <v>1294</v>
      </c>
      <c r="T852" t="s">
        <v>2282</v>
      </c>
      <c r="U852">
        <v>233</v>
      </c>
      <c r="V852" t="s">
        <v>1338</v>
      </c>
    </row>
    <row r="853" spans="1:22" ht="30" x14ac:dyDescent="0.25">
      <c r="A853" t="s">
        <v>1871</v>
      </c>
      <c r="B853" s="1" t="s">
        <v>1330</v>
      </c>
      <c r="C853" s="1" t="s">
        <v>1530</v>
      </c>
      <c r="D853" s="1" t="s">
        <v>1288</v>
      </c>
      <c r="E853" s="1" t="s">
        <v>1410</v>
      </c>
      <c r="F853" t="s">
        <v>2283</v>
      </c>
      <c r="G853" t="s">
        <v>1331</v>
      </c>
      <c r="H853" t="s">
        <v>381</v>
      </c>
      <c r="I853" t="s">
        <v>1285</v>
      </c>
      <c r="J853" t="s">
        <v>1332</v>
      </c>
      <c r="K853" t="s">
        <v>1333</v>
      </c>
      <c r="L853" t="s">
        <v>1334</v>
      </c>
      <c r="M853" t="s">
        <v>1335</v>
      </c>
      <c r="N853">
        <v>52000</v>
      </c>
      <c r="O853" s="1" t="s">
        <v>1336</v>
      </c>
      <c r="P853" t="s">
        <v>1306</v>
      </c>
      <c r="Q853" t="s">
        <v>1294</v>
      </c>
      <c r="S853" t="s">
        <v>1294</v>
      </c>
      <c r="T853" t="s">
        <v>2284</v>
      </c>
      <c r="U853">
        <v>273</v>
      </c>
      <c r="V853" t="s">
        <v>1338</v>
      </c>
    </row>
    <row r="854" spans="1:22" ht="30" x14ac:dyDescent="0.25">
      <c r="A854" t="s">
        <v>1871</v>
      </c>
      <c r="B854" s="1" t="s">
        <v>1330</v>
      </c>
      <c r="C854" s="1" t="s">
        <v>1530</v>
      </c>
      <c r="D854" s="1" t="s">
        <v>1288</v>
      </c>
      <c r="E854" s="1" t="s">
        <v>1410</v>
      </c>
      <c r="F854" t="s">
        <v>2285</v>
      </c>
      <c r="G854" t="s">
        <v>1331</v>
      </c>
      <c r="H854" t="s">
        <v>381</v>
      </c>
      <c r="I854" t="s">
        <v>1285</v>
      </c>
      <c r="J854" t="s">
        <v>1332</v>
      </c>
      <c r="K854" t="s">
        <v>1333</v>
      </c>
      <c r="L854" t="s">
        <v>1334</v>
      </c>
      <c r="M854" t="s">
        <v>1335</v>
      </c>
      <c r="N854">
        <v>52000</v>
      </c>
      <c r="O854" s="1" t="s">
        <v>1336</v>
      </c>
      <c r="P854" t="s">
        <v>1306</v>
      </c>
      <c r="Q854" t="s">
        <v>1294</v>
      </c>
      <c r="S854" t="s">
        <v>1294</v>
      </c>
      <c r="T854" t="s">
        <v>2286</v>
      </c>
      <c r="U854">
        <v>58</v>
      </c>
      <c r="V854" t="s">
        <v>1338</v>
      </c>
    </row>
    <row r="855" spans="1:22" ht="30" x14ac:dyDescent="0.25">
      <c r="A855" t="s">
        <v>1871</v>
      </c>
      <c r="B855" s="1" t="s">
        <v>1330</v>
      </c>
      <c r="C855" s="1" t="s">
        <v>1530</v>
      </c>
      <c r="D855" s="1" t="s">
        <v>1288</v>
      </c>
      <c r="E855" s="1" t="s">
        <v>1410</v>
      </c>
      <c r="F855" t="s">
        <v>2287</v>
      </c>
      <c r="G855" t="s">
        <v>1331</v>
      </c>
      <c r="H855" t="s">
        <v>381</v>
      </c>
      <c r="I855" t="s">
        <v>1285</v>
      </c>
      <c r="J855" t="s">
        <v>1332</v>
      </c>
      <c r="K855" t="s">
        <v>1333</v>
      </c>
      <c r="L855" t="s">
        <v>1334</v>
      </c>
      <c r="M855" t="s">
        <v>1335</v>
      </c>
      <c r="N855">
        <v>52000</v>
      </c>
      <c r="O855" s="1" t="s">
        <v>1336</v>
      </c>
      <c r="P855" t="s">
        <v>1306</v>
      </c>
      <c r="Q855" t="s">
        <v>1294</v>
      </c>
      <c r="S855" t="s">
        <v>1294</v>
      </c>
      <c r="T855" t="s">
        <v>2288</v>
      </c>
      <c r="U855">
        <v>1664</v>
      </c>
      <c r="V855" t="s">
        <v>1338</v>
      </c>
    </row>
    <row r="856" spans="1:22" ht="30" x14ac:dyDescent="0.25">
      <c r="A856" t="s">
        <v>1871</v>
      </c>
      <c r="B856" s="1" t="s">
        <v>1330</v>
      </c>
      <c r="C856" s="1" t="s">
        <v>1530</v>
      </c>
      <c r="D856" s="1" t="s">
        <v>1288</v>
      </c>
      <c r="E856" s="1" t="s">
        <v>1410</v>
      </c>
      <c r="F856" t="s">
        <v>2289</v>
      </c>
      <c r="G856" t="s">
        <v>1331</v>
      </c>
      <c r="H856" t="s">
        <v>381</v>
      </c>
      <c r="I856" t="s">
        <v>1285</v>
      </c>
      <c r="J856" t="s">
        <v>1332</v>
      </c>
      <c r="K856" t="s">
        <v>1333</v>
      </c>
      <c r="L856" t="s">
        <v>1334</v>
      </c>
      <c r="M856" t="s">
        <v>1335</v>
      </c>
      <c r="N856">
        <v>52000</v>
      </c>
      <c r="O856" s="1" t="s">
        <v>1336</v>
      </c>
      <c r="P856" t="s">
        <v>1306</v>
      </c>
      <c r="Q856" t="s">
        <v>1294</v>
      </c>
      <c r="S856" t="s">
        <v>1294</v>
      </c>
      <c r="T856" t="s">
        <v>2290</v>
      </c>
      <c r="U856">
        <v>7436</v>
      </c>
      <c r="V856" t="s">
        <v>1338</v>
      </c>
    </row>
    <row r="857" spans="1:22" ht="30" x14ac:dyDescent="0.25">
      <c r="A857" t="s">
        <v>1871</v>
      </c>
      <c r="B857" s="1" t="s">
        <v>1330</v>
      </c>
      <c r="C857" s="1" t="s">
        <v>1530</v>
      </c>
      <c r="D857" s="1" t="s">
        <v>1288</v>
      </c>
      <c r="E857" s="1" t="s">
        <v>1410</v>
      </c>
      <c r="F857" t="s">
        <v>2291</v>
      </c>
      <c r="G857" t="s">
        <v>1331</v>
      </c>
      <c r="H857" t="s">
        <v>381</v>
      </c>
      <c r="I857" t="s">
        <v>1285</v>
      </c>
      <c r="J857" t="s">
        <v>1332</v>
      </c>
      <c r="K857" t="s">
        <v>1333</v>
      </c>
      <c r="L857" t="s">
        <v>1334</v>
      </c>
      <c r="M857" t="s">
        <v>1335</v>
      </c>
      <c r="N857">
        <v>52000</v>
      </c>
      <c r="O857" s="1" t="s">
        <v>1336</v>
      </c>
      <c r="P857" t="s">
        <v>1306</v>
      </c>
      <c r="Q857" t="s">
        <v>1294</v>
      </c>
      <c r="S857" t="s">
        <v>1294</v>
      </c>
      <c r="T857" t="s">
        <v>2292</v>
      </c>
      <c r="U857">
        <v>4252</v>
      </c>
      <c r="V857" t="s">
        <v>1338</v>
      </c>
    </row>
    <row r="858" spans="1:22" ht="30" x14ac:dyDescent="0.25">
      <c r="A858" t="s">
        <v>1871</v>
      </c>
      <c r="B858" s="1" t="s">
        <v>1330</v>
      </c>
      <c r="C858" s="1" t="s">
        <v>1530</v>
      </c>
      <c r="D858" s="1" t="s">
        <v>1288</v>
      </c>
      <c r="E858" s="1" t="s">
        <v>1410</v>
      </c>
      <c r="F858" t="s">
        <v>2293</v>
      </c>
      <c r="G858" t="s">
        <v>1331</v>
      </c>
      <c r="H858" t="s">
        <v>381</v>
      </c>
      <c r="I858" t="s">
        <v>1285</v>
      </c>
      <c r="J858" t="s">
        <v>1332</v>
      </c>
      <c r="K858" t="s">
        <v>1333</v>
      </c>
      <c r="L858" t="s">
        <v>1334</v>
      </c>
      <c r="M858" t="s">
        <v>1335</v>
      </c>
      <c r="N858">
        <v>52000</v>
      </c>
      <c r="O858" s="1" t="s">
        <v>1336</v>
      </c>
      <c r="P858" t="s">
        <v>1306</v>
      </c>
      <c r="Q858" t="s">
        <v>1294</v>
      </c>
      <c r="S858" t="s">
        <v>1294</v>
      </c>
      <c r="T858" t="s">
        <v>2294</v>
      </c>
      <c r="U858">
        <v>5125</v>
      </c>
      <c r="V858" t="s">
        <v>1338</v>
      </c>
    </row>
    <row r="859" spans="1:22" ht="30" x14ac:dyDescent="0.25">
      <c r="A859" t="s">
        <v>1871</v>
      </c>
      <c r="B859" s="1" t="s">
        <v>1330</v>
      </c>
      <c r="C859" s="1" t="s">
        <v>1530</v>
      </c>
      <c r="D859" s="1" t="s">
        <v>1288</v>
      </c>
      <c r="E859" s="1" t="s">
        <v>1410</v>
      </c>
      <c r="F859" t="s">
        <v>2295</v>
      </c>
      <c r="G859" t="s">
        <v>1331</v>
      </c>
      <c r="H859" t="s">
        <v>381</v>
      </c>
      <c r="I859" t="s">
        <v>1285</v>
      </c>
      <c r="J859" t="s">
        <v>1332</v>
      </c>
      <c r="K859" t="s">
        <v>1333</v>
      </c>
      <c r="L859" t="s">
        <v>1334</v>
      </c>
      <c r="M859" t="s">
        <v>1335</v>
      </c>
      <c r="N859">
        <v>52000</v>
      </c>
      <c r="O859" s="1" t="s">
        <v>1336</v>
      </c>
      <c r="P859" t="s">
        <v>1306</v>
      </c>
      <c r="Q859" t="s">
        <v>1294</v>
      </c>
      <c r="S859" t="s">
        <v>1294</v>
      </c>
      <c r="T859" t="s">
        <v>2296</v>
      </c>
      <c r="U859">
        <v>11483</v>
      </c>
      <c r="V859" t="s">
        <v>1338</v>
      </c>
    </row>
    <row r="860" spans="1:22" ht="30" x14ac:dyDescent="0.25">
      <c r="A860" t="s">
        <v>1871</v>
      </c>
      <c r="B860" s="1" t="s">
        <v>1330</v>
      </c>
      <c r="C860" s="1" t="s">
        <v>1530</v>
      </c>
      <c r="D860" s="1" t="s">
        <v>1288</v>
      </c>
      <c r="E860" s="1" t="s">
        <v>1410</v>
      </c>
      <c r="F860" t="s">
        <v>2297</v>
      </c>
      <c r="G860" t="s">
        <v>1331</v>
      </c>
      <c r="H860" t="s">
        <v>381</v>
      </c>
      <c r="I860" t="s">
        <v>1285</v>
      </c>
      <c r="J860" t="s">
        <v>1332</v>
      </c>
      <c r="K860" t="s">
        <v>1333</v>
      </c>
      <c r="L860" t="s">
        <v>1334</v>
      </c>
      <c r="M860" t="s">
        <v>1335</v>
      </c>
      <c r="N860">
        <v>52000</v>
      </c>
      <c r="O860" s="1" t="s">
        <v>1336</v>
      </c>
      <c r="P860" t="s">
        <v>1306</v>
      </c>
      <c r="Q860" t="s">
        <v>1294</v>
      </c>
      <c r="S860" t="s">
        <v>1294</v>
      </c>
      <c r="T860" t="s">
        <v>2298</v>
      </c>
      <c r="U860">
        <v>7606</v>
      </c>
      <c r="V860" t="s">
        <v>1338</v>
      </c>
    </row>
    <row r="861" spans="1:22" ht="30" x14ac:dyDescent="0.25">
      <c r="A861" t="s">
        <v>1871</v>
      </c>
      <c r="B861" s="1" t="s">
        <v>1330</v>
      </c>
      <c r="C861" s="1" t="s">
        <v>1530</v>
      </c>
      <c r="D861" s="1" t="s">
        <v>1288</v>
      </c>
      <c r="E861" s="1" t="s">
        <v>1410</v>
      </c>
      <c r="F861" t="s">
        <v>2299</v>
      </c>
      <c r="G861" t="s">
        <v>1331</v>
      </c>
      <c r="H861" t="s">
        <v>381</v>
      </c>
      <c r="I861" t="s">
        <v>1285</v>
      </c>
      <c r="J861" t="s">
        <v>1332</v>
      </c>
      <c r="K861" t="s">
        <v>1333</v>
      </c>
      <c r="L861" t="s">
        <v>1334</v>
      </c>
      <c r="M861" t="s">
        <v>1335</v>
      </c>
      <c r="N861">
        <v>52000</v>
      </c>
      <c r="O861" s="1" t="s">
        <v>1336</v>
      </c>
      <c r="P861" t="s">
        <v>1306</v>
      </c>
      <c r="Q861" t="s">
        <v>1294</v>
      </c>
      <c r="S861" t="s">
        <v>1294</v>
      </c>
      <c r="T861" t="s">
        <v>2300</v>
      </c>
      <c r="U861">
        <v>686</v>
      </c>
      <c r="V861" t="s">
        <v>1338</v>
      </c>
    </row>
    <row r="862" spans="1:22" ht="30" x14ac:dyDescent="0.25">
      <c r="A862" t="s">
        <v>1871</v>
      </c>
      <c r="B862" s="1" t="s">
        <v>1330</v>
      </c>
      <c r="C862" s="1" t="s">
        <v>1530</v>
      </c>
      <c r="D862" s="1" t="s">
        <v>1288</v>
      </c>
      <c r="E862" s="1" t="s">
        <v>1410</v>
      </c>
      <c r="F862" t="s">
        <v>2301</v>
      </c>
      <c r="G862" t="s">
        <v>1331</v>
      </c>
      <c r="H862" t="s">
        <v>381</v>
      </c>
      <c r="I862" t="s">
        <v>1285</v>
      </c>
      <c r="J862" t="s">
        <v>1332</v>
      </c>
      <c r="K862" t="s">
        <v>1333</v>
      </c>
      <c r="L862" t="s">
        <v>1334</v>
      </c>
      <c r="M862" t="s">
        <v>1335</v>
      </c>
      <c r="N862">
        <v>52000</v>
      </c>
      <c r="O862" s="1" t="s">
        <v>1336</v>
      </c>
      <c r="P862" t="s">
        <v>1306</v>
      </c>
      <c r="Q862" t="s">
        <v>1294</v>
      </c>
      <c r="S862" t="s">
        <v>1294</v>
      </c>
      <c r="T862" t="s">
        <v>2302</v>
      </c>
      <c r="U862">
        <v>7681</v>
      </c>
      <c r="V862" t="s">
        <v>1338</v>
      </c>
    </row>
    <row r="863" spans="1:22" ht="30" x14ac:dyDescent="0.25">
      <c r="A863" t="s">
        <v>1871</v>
      </c>
      <c r="B863" s="1" t="s">
        <v>1330</v>
      </c>
      <c r="C863" s="1" t="s">
        <v>1530</v>
      </c>
      <c r="D863" s="1" t="s">
        <v>1288</v>
      </c>
      <c r="E863" s="1" t="s">
        <v>1410</v>
      </c>
      <c r="F863" t="s">
        <v>2303</v>
      </c>
      <c r="G863" t="s">
        <v>1331</v>
      </c>
      <c r="H863" t="s">
        <v>381</v>
      </c>
      <c r="I863" t="s">
        <v>1285</v>
      </c>
      <c r="J863" t="s">
        <v>1332</v>
      </c>
      <c r="K863" t="s">
        <v>1333</v>
      </c>
      <c r="L863" t="s">
        <v>1334</v>
      </c>
      <c r="M863" t="s">
        <v>1335</v>
      </c>
      <c r="N863">
        <v>52000</v>
      </c>
      <c r="O863" s="1" t="s">
        <v>1336</v>
      </c>
      <c r="P863" t="s">
        <v>1306</v>
      </c>
      <c r="Q863" t="s">
        <v>1294</v>
      </c>
      <c r="S863" t="s">
        <v>1294</v>
      </c>
      <c r="T863" t="s">
        <v>2304</v>
      </c>
      <c r="U863">
        <v>177</v>
      </c>
      <c r="V863" t="s">
        <v>1338</v>
      </c>
    </row>
    <row r="864" spans="1:22" ht="30" x14ac:dyDescent="0.25">
      <c r="A864" t="s">
        <v>1871</v>
      </c>
      <c r="B864" s="1" t="s">
        <v>1330</v>
      </c>
      <c r="C864" s="1" t="s">
        <v>1530</v>
      </c>
      <c r="D864" s="1" t="s">
        <v>1288</v>
      </c>
      <c r="E864" s="1" t="s">
        <v>1410</v>
      </c>
      <c r="F864" t="s">
        <v>2305</v>
      </c>
      <c r="G864" t="s">
        <v>1331</v>
      </c>
      <c r="H864" t="s">
        <v>381</v>
      </c>
      <c r="I864" t="s">
        <v>1285</v>
      </c>
      <c r="J864" t="s">
        <v>1332</v>
      </c>
      <c r="K864" t="s">
        <v>1333</v>
      </c>
      <c r="L864" t="s">
        <v>1334</v>
      </c>
      <c r="M864" t="s">
        <v>1335</v>
      </c>
      <c r="N864">
        <v>52000</v>
      </c>
      <c r="O864" s="1" t="s">
        <v>1336</v>
      </c>
      <c r="P864" t="s">
        <v>1306</v>
      </c>
      <c r="Q864" t="s">
        <v>1294</v>
      </c>
      <c r="S864" t="s">
        <v>1294</v>
      </c>
      <c r="T864" t="s">
        <v>2306</v>
      </c>
      <c r="U864">
        <v>85202</v>
      </c>
      <c r="V864" t="s">
        <v>1338</v>
      </c>
    </row>
    <row r="865" spans="1:22" ht="30" x14ac:dyDescent="0.25">
      <c r="A865" t="s">
        <v>1871</v>
      </c>
      <c r="B865" s="1" t="s">
        <v>1330</v>
      </c>
      <c r="C865" s="1" t="s">
        <v>1530</v>
      </c>
      <c r="D865" s="1" t="s">
        <v>1288</v>
      </c>
      <c r="E865" s="1" t="s">
        <v>1410</v>
      </c>
      <c r="F865" t="s">
        <v>2307</v>
      </c>
      <c r="G865" t="s">
        <v>1331</v>
      </c>
      <c r="H865" t="s">
        <v>381</v>
      </c>
      <c r="I865" t="s">
        <v>1285</v>
      </c>
      <c r="J865" t="s">
        <v>1332</v>
      </c>
      <c r="K865" t="s">
        <v>1333</v>
      </c>
      <c r="L865" t="s">
        <v>1334</v>
      </c>
      <c r="M865" t="s">
        <v>1335</v>
      </c>
      <c r="N865">
        <v>52000</v>
      </c>
      <c r="O865" s="1" t="s">
        <v>1336</v>
      </c>
      <c r="P865" t="s">
        <v>1306</v>
      </c>
      <c r="Q865" t="s">
        <v>1294</v>
      </c>
      <c r="S865" t="s">
        <v>1294</v>
      </c>
      <c r="T865" t="s">
        <v>2308</v>
      </c>
      <c r="U865">
        <v>562</v>
      </c>
      <c r="V865" t="s">
        <v>1338</v>
      </c>
    </row>
    <row r="866" spans="1:22" ht="30" x14ac:dyDescent="0.25">
      <c r="A866" t="s">
        <v>1871</v>
      </c>
      <c r="B866" s="1" t="s">
        <v>1330</v>
      </c>
      <c r="C866" s="1" t="s">
        <v>1530</v>
      </c>
      <c r="D866" s="1" t="s">
        <v>1288</v>
      </c>
      <c r="E866" s="1" t="s">
        <v>1410</v>
      </c>
      <c r="F866" t="s">
        <v>2309</v>
      </c>
      <c r="G866" t="s">
        <v>1331</v>
      </c>
      <c r="H866" t="s">
        <v>381</v>
      </c>
      <c r="I866" t="s">
        <v>1285</v>
      </c>
      <c r="J866" t="s">
        <v>1332</v>
      </c>
      <c r="K866" t="s">
        <v>1333</v>
      </c>
      <c r="L866" t="s">
        <v>1334</v>
      </c>
      <c r="M866" t="s">
        <v>1335</v>
      </c>
      <c r="N866">
        <v>52000</v>
      </c>
      <c r="O866" s="1" t="s">
        <v>1336</v>
      </c>
      <c r="P866" t="s">
        <v>1306</v>
      </c>
      <c r="Q866" t="s">
        <v>1294</v>
      </c>
      <c r="S866" t="s">
        <v>1294</v>
      </c>
      <c r="T866" t="s">
        <v>2310</v>
      </c>
      <c r="U866">
        <v>511</v>
      </c>
      <c r="V866" t="s">
        <v>1338</v>
      </c>
    </row>
    <row r="867" spans="1:22" ht="30" x14ac:dyDescent="0.25">
      <c r="A867" t="s">
        <v>1871</v>
      </c>
      <c r="B867" s="1" t="s">
        <v>1330</v>
      </c>
      <c r="C867" s="1" t="s">
        <v>1530</v>
      </c>
      <c r="D867" s="1" t="s">
        <v>1288</v>
      </c>
      <c r="E867" s="1" t="s">
        <v>1410</v>
      </c>
      <c r="F867" t="s">
        <v>2311</v>
      </c>
      <c r="G867" t="s">
        <v>1331</v>
      </c>
      <c r="H867" t="s">
        <v>381</v>
      </c>
      <c r="I867" t="s">
        <v>1285</v>
      </c>
      <c r="J867" t="s">
        <v>1332</v>
      </c>
      <c r="K867" t="s">
        <v>1333</v>
      </c>
      <c r="L867" t="s">
        <v>1334</v>
      </c>
      <c r="M867" t="s">
        <v>1335</v>
      </c>
      <c r="N867">
        <v>52000</v>
      </c>
      <c r="O867" s="1" t="s">
        <v>1336</v>
      </c>
      <c r="P867" t="s">
        <v>1306</v>
      </c>
      <c r="Q867" t="s">
        <v>1294</v>
      </c>
      <c r="S867" t="s">
        <v>1294</v>
      </c>
      <c r="T867" t="s">
        <v>2312</v>
      </c>
      <c r="U867">
        <v>276</v>
      </c>
      <c r="V867" t="s">
        <v>1338</v>
      </c>
    </row>
    <row r="868" spans="1:22" ht="30" x14ac:dyDescent="0.25">
      <c r="A868" t="s">
        <v>1871</v>
      </c>
      <c r="B868" s="1" t="s">
        <v>1330</v>
      </c>
      <c r="C868" s="1" t="s">
        <v>1530</v>
      </c>
      <c r="D868" s="1" t="s">
        <v>1288</v>
      </c>
      <c r="E868" s="1" t="s">
        <v>1410</v>
      </c>
      <c r="F868" t="s">
        <v>2313</v>
      </c>
      <c r="G868" t="s">
        <v>1331</v>
      </c>
      <c r="H868" t="s">
        <v>381</v>
      </c>
      <c r="I868" t="s">
        <v>1285</v>
      </c>
      <c r="J868" t="s">
        <v>1332</v>
      </c>
      <c r="K868" t="s">
        <v>1333</v>
      </c>
      <c r="L868" t="s">
        <v>1334</v>
      </c>
      <c r="M868" t="s">
        <v>1335</v>
      </c>
      <c r="N868">
        <v>52000</v>
      </c>
      <c r="O868" s="1" t="s">
        <v>1336</v>
      </c>
      <c r="P868" t="s">
        <v>1306</v>
      </c>
      <c r="Q868" t="s">
        <v>1294</v>
      </c>
      <c r="S868" t="s">
        <v>1294</v>
      </c>
      <c r="T868" t="s">
        <v>2314</v>
      </c>
      <c r="U868">
        <v>283</v>
      </c>
      <c r="V868" t="s">
        <v>1338</v>
      </c>
    </row>
    <row r="869" spans="1:22" ht="30" x14ac:dyDescent="0.25">
      <c r="A869" t="s">
        <v>1871</v>
      </c>
      <c r="B869" s="1" t="s">
        <v>1330</v>
      </c>
      <c r="C869" s="1" t="s">
        <v>1530</v>
      </c>
      <c r="D869" s="1" t="s">
        <v>1288</v>
      </c>
      <c r="E869" s="1" t="s">
        <v>1410</v>
      </c>
      <c r="F869" t="s">
        <v>2315</v>
      </c>
      <c r="G869" t="s">
        <v>1331</v>
      </c>
      <c r="H869" t="s">
        <v>381</v>
      </c>
      <c r="I869" t="s">
        <v>1285</v>
      </c>
      <c r="J869" t="s">
        <v>1332</v>
      </c>
      <c r="K869" t="s">
        <v>1333</v>
      </c>
      <c r="L869" t="s">
        <v>1334</v>
      </c>
      <c r="M869" t="s">
        <v>1335</v>
      </c>
      <c r="N869">
        <v>52000</v>
      </c>
      <c r="O869" s="1" t="s">
        <v>1336</v>
      </c>
      <c r="P869" t="s">
        <v>1306</v>
      </c>
      <c r="Q869" t="s">
        <v>1294</v>
      </c>
      <c r="S869" t="s">
        <v>1294</v>
      </c>
      <c r="T869" t="s">
        <v>2316</v>
      </c>
      <c r="U869">
        <v>278</v>
      </c>
      <c r="V869" t="s">
        <v>1338</v>
      </c>
    </row>
    <row r="870" spans="1:22" ht="30" x14ac:dyDescent="0.25">
      <c r="A870" t="s">
        <v>1871</v>
      </c>
      <c r="B870" s="1" t="s">
        <v>1330</v>
      </c>
      <c r="C870" s="1" t="s">
        <v>1530</v>
      </c>
      <c r="D870" s="1" t="s">
        <v>1288</v>
      </c>
      <c r="E870" s="1" t="s">
        <v>1410</v>
      </c>
      <c r="F870" t="s">
        <v>2317</v>
      </c>
      <c r="G870" t="s">
        <v>1331</v>
      </c>
      <c r="H870" t="s">
        <v>381</v>
      </c>
      <c r="I870" t="s">
        <v>1285</v>
      </c>
      <c r="J870" t="s">
        <v>1332</v>
      </c>
      <c r="K870" t="s">
        <v>1333</v>
      </c>
      <c r="L870" t="s">
        <v>1334</v>
      </c>
      <c r="M870" t="s">
        <v>1335</v>
      </c>
      <c r="N870">
        <v>52000</v>
      </c>
      <c r="O870" s="1" t="s">
        <v>1336</v>
      </c>
      <c r="P870" t="s">
        <v>1306</v>
      </c>
      <c r="Q870" t="s">
        <v>1294</v>
      </c>
      <c r="S870" t="s">
        <v>1294</v>
      </c>
      <c r="T870" t="s">
        <v>2318</v>
      </c>
      <c r="U870">
        <v>748</v>
      </c>
      <c r="V870" t="s">
        <v>1338</v>
      </c>
    </row>
    <row r="871" spans="1:22" ht="30" x14ac:dyDescent="0.25">
      <c r="A871" t="s">
        <v>1871</v>
      </c>
      <c r="B871" s="1" t="s">
        <v>1330</v>
      </c>
      <c r="C871" s="1" t="s">
        <v>1530</v>
      </c>
      <c r="D871" s="1" t="s">
        <v>1288</v>
      </c>
      <c r="E871" s="1" t="s">
        <v>1410</v>
      </c>
      <c r="F871" t="s">
        <v>2319</v>
      </c>
      <c r="G871" t="s">
        <v>1331</v>
      </c>
      <c r="H871" t="s">
        <v>381</v>
      </c>
      <c r="I871" t="s">
        <v>1285</v>
      </c>
      <c r="J871" t="s">
        <v>1332</v>
      </c>
      <c r="K871" t="s">
        <v>1333</v>
      </c>
      <c r="L871" t="s">
        <v>1334</v>
      </c>
      <c r="M871" t="s">
        <v>1335</v>
      </c>
      <c r="N871">
        <v>52000</v>
      </c>
      <c r="O871" s="1" t="s">
        <v>1336</v>
      </c>
      <c r="P871" t="s">
        <v>1306</v>
      </c>
      <c r="Q871" t="s">
        <v>1294</v>
      </c>
      <c r="S871" t="s">
        <v>1294</v>
      </c>
      <c r="T871" t="s">
        <v>2320</v>
      </c>
      <c r="U871">
        <v>160</v>
      </c>
      <c r="V871" t="s">
        <v>1338</v>
      </c>
    </row>
    <row r="872" spans="1:22" ht="30" x14ac:dyDescent="0.25">
      <c r="A872" t="s">
        <v>1871</v>
      </c>
      <c r="B872" s="1" t="s">
        <v>1330</v>
      </c>
      <c r="C872" s="1" t="s">
        <v>1530</v>
      </c>
      <c r="D872" s="1" t="s">
        <v>1288</v>
      </c>
      <c r="E872" s="1" t="s">
        <v>1410</v>
      </c>
      <c r="F872" t="s">
        <v>2321</v>
      </c>
      <c r="G872" t="s">
        <v>1331</v>
      </c>
      <c r="H872" t="s">
        <v>381</v>
      </c>
      <c r="I872" t="s">
        <v>1285</v>
      </c>
      <c r="J872" t="s">
        <v>1332</v>
      </c>
      <c r="K872" t="s">
        <v>1333</v>
      </c>
      <c r="L872" t="s">
        <v>1334</v>
      </c>
      <c r="M872" t="s">
        <v>1335</v>
      </c>
      <c r="N872">
        <v>52000</v>
      </c>
      <c r="O872" s="1" t="s">
        <v>1336</v>
      </c>
      <c r="P872" t="s">
        <v>1306</v>
      </c>
      <c r="Q872" t="s">
        <v>1294</v>
      </c>
      <c r="S872" t="s">
        <v>1294</v>
      </c>
      <c r="T872" t="s">
        <v>2322</v>
      </c>
      <c r="U872">
        <v>109</v>
      </c>
      <c r="V872" t="s">
        <v>1338</v>
      </c>
    </row>
    <row r="873" spans="1:22" ht="30" x14ac:dyDescent="0.25">
      <c r="A873" t="s">
        <v>1871</v>
      </c>
      <c r="B873" s="1" t="s">
        <v>1330</v>
      </c>
      <c r="C873" s="1" t="s">
        <v>1530</v>
      </c>
      <c r="D873" s="1" t="s">
        <v>1288</v>
      </c>
      <c r="E873" s="1" t="s">
        <v>1410</v>
      </c>
      <c r="F873" t="s">
        <v>2327</v>
      </c>
      <c r="G873" t="s">
        <v>1533</v>
      </c>
      <c r="H873" t="s">
        <v>381</v>
      </c>
      <c r="I873" t="s">
        <v>1285</v>
      </c>
      <c r="J873" t="s">
        <v>1332</v>
      </c>
      <c r="K873" t="s">
        <v>1534</v>
      </c>
      <c r="L873" t="s">
        <v>1535</v>
      </c>
      <c r="M873" t="s">
        <v>1335</v>
      </c>
      <c r="N873">
        <v>52000</v>
      </c>
      <c r="O873" s="1" t="s">
        <v>1336</v>
      </c>
      <c r="P873" t="s">
        <v>1306</v>
      </c>
      <c r="Q873" t="s">
        <v>1294</v>
      </c>
      <c r="S873" t="s">
        <v>1294</v>
      </c>
      <c r="T873" t="s">
        <v>2328</v>
      </c>
      <c r="U873">
        <v>0</v>
      </c>
      <c r="V873" t="s">
        <v>1536</v>
      </c>
    </row>
    <row r="874" spans="1:22" ht="30" x14ac:dyDescent="0.25">
      <c r="A874" t="s">
        <v>1871</v>
      </c>
      <c r="B874" s="1" t="s">
        <v>1330</v>
      </c>
      <c r="C874" s="1" t="s">
        <v>1530</v>
      </c>
      <c r="D874" s="1" t="s">
        <v>1288</v>
      </c>
      <c r="E874" s="1" t="s">
        <v>1410</v>
      </c>
      <c r="F874" t="s">
        <v>2329</v>
      </c>
      <c r="G874" t="s">
        <v>1533</v>
      </c>
      <c r="H874" t="s">
        <v>381</v>
      </c>
      <c r="I874" t="s">
        <v>1285</v>
      </c>
      <c r="J874" t="s">
        <v>1332</v>
      </c>
      <c r="K874" t="s">
        <v>1534</v>
      </c>
      <c r="L874" t="s">
        <v>1535</v>
      </c>
      <c r="M874" t="s">
        <v>1335</v>
      </c>
      <c r="N874">
        <v>52000</v>
      </c>
      <c r="O874" s="1" t="s">
        <v>1336</v>
      </c>
      <c r="P874" t="s">
        <v>1306</v>
      </c>
      <c r="Q874" t="s">
        <v>1294</v>
      </c>
      <c r="S874" t="s">
        <v>1294</v>
      </c>
      <c r="T874" t="s">
        <v>2330</v>
      </c>
      <c r="U874">
        <v>464</v>
      </c>
      <c r="V874" t="s">
        <v>1536</v>
      </c>
    </row>
    <row r="875" spans="1:22" ht="30" x14ac:dyDescent="0.25">
      <c r="A875" t="s">
        <v>1871</v>
      </c>
      <c r="B875" s="1" t="s">
        <v>1330</v>
      </c>
      <c r="C875" s="1" t="s">
        <v>1530</v>
      </c>
      <c r="D875" s="1" t="s">
        <v>1288</v>
      </c>
      <c r="E875" s="1" t="s">
        <v>1410</v>
      </c>
      <c r="F875" t="s">
        <v>2331</v>
      </c>
      <c r="G875" t="s">
        <v>1533</v>
      </c>
      <c r="H875" t="s">
        <v>381</v>
      </c>
      <c r="I875" t="s">
        <v>1285</v>
      </c>
      <c r="J875" t="s">
        <v>1332</v>
      </c>
      <c r="K875" t="s">
        <v>1534</v>
      </c>
      <c r="L875" t="s">
        <v>1535</v>
      </c>
      <c r="M875" t="s">
        <v>1335</v>
      </c>
      <c r="N875">
        <v>52000</v>
      </c>
      <c r="O875" s="1" t="s">
        <v>1336</v>
      </c>
      <c r="P875" t="s">
        <v>1306</v>
      </c>
      <c r="Q875" t="s">
        <v>1294</v>
      </c>
      <c r="S875" t="s">
        <v>1294</v>
      </c>
      <c r="T875" t="s">
        <v>2332</v>
      </c>
      <c r="U875">
        <v>151.19999999999999</v>
      </c>
      <c r="V875" t="s">
        <v>1536</v>
      </c>
    </row>
    <row r="876" spans="1:22" ht="30" x14ac:dyDescent="0.25">
      <c r="A876" t="s">
        <v>1871</v>
      </c>
      <c r="B876" s="1" t="s">
        <v>1330</v>
      </c>
      <c r="C876" s="1" t="s">
        <v>1530</v>
      </c>
      <c r="D876" s="1" t="s">
        <v>1288</v>
      </c>
      <c r="E876" s="1" t="s">
        <v>1410</v>
      </c>
      <c r="F876" t="s">
        <v>2333</v>
      </c>
      <c r="G876" t="s">
        <v>1533</v>
      </c>
      <c r="H876" t="s">
        <v>381</v>
      </c>
      <c r="I876" t="s">
        <v>1285</v>
      </c>
      <c r="J876" t="s">
        <v>1332</v>
      </c>
      <c r="K876" t="s">
        <v>1534</v>
      </c>
      <c r="L876" t="s">
        <v>1535</v>
      </c>
      <c r="M876" t="s">
        <v>1335</v>
      </c>
      <c r="N876">
        <v>52000</v>
      </c>
      <c r="O876" s="1" t="s">
        <v>1336</v>
      </c>
      <c r="P876" t="s">
        <v>1306</v>
      </c>
      <c r="Q876" t="s">
        <v>1294</v>
      </c>
      <c r="S876" t="s">
        <v>1294</v>
      </c>
      <c r="T876" t="s">
        <v>2334</v>
      </c>
      <c r="U876">
        <v>150.66666670000001</v>
      </c>
      <c r="V876" t="s">
        <v>1536</v>
      </c>
    </row>
    <row r="877" spans="1:22" ht="30" x14ac:dyDescent="0.25">
      <c r="A877" t="s">
        <v>1871</v>
      </c>
      <c r="B877" s="1" t="s">
        <v>1330</v>
      </c>
      <c r="C877" s="1" t="s">
        <v>1530</v>
      </c>
      <c r="D877" s="1" t="s">
        <v>1288</v>
      </c>
      <c r="E877" s="1" t="s">
        <v>1410</v>
      </c>
      <c r="F877" t="s">
        <v>2335</v>
      </c>
      <c r="G877" t="s">
        <v>1533</v>
      </c>
      <c r="H877" t="s">
        <v>381</v>
      </c>
      <c r="I877" t="s">
        <v>1285</v>
      </c>
      <c r="J877" t="s">
        <v>1332</v>
      </c>
      <c r="K877" t="s">
        <v>1534</v>
      </c>
      <c r="L877" t="s">
        <v>1535</v>
      </c>
      <c r="M877" t="s">
        <v>1335</v>
      </c>
      <c r="N877">
        <v>52000</v>
      </c>
      <c r="O877" s="1" t="s">
        <v>1336</v>
      </c>
      <c r="P877" t="s">
        <v>1306</v>
      </c>
      <c r="Q877" t="s">
        <v>1294</v>
      </c>
      <c r="S877" t="s">
        <v>1294</v>
      </c>
      <c r="T877" t="s">
        <v>2336</v>
      </c>
      <c r="U877">
        <v>0</v>
      </c>
      <c r="V877" t="s">
        <v>1536</v>
      </c>
    </row>
    <row r="878" spans="1:22" ht="30" x14ac:dyDescent="0.25">
      <c r="A878" t="s">
        <v>1871</v>
      </c>
      <c r="B878" s="1" t="s">
        <v>1330</v>
      </c>
      <c r="C878" s="1" t="s">
        <v>1530</v>
      </c>
      <c r="D878" s="1" t="s">
        <v>1288</v>
      </c>
      <c r="E878" s="1" t="s">
        <v>1410</v>
      </c>
      <c r="F878" t="s">
        <v>2337</v>
      </c>
      <c r="G878" t="s">
        <v>1533</v>
      </c>
      <c r="H878" t="s">
        <v>381</v>
      </c>
      <c r="I878" t="s">
        <v>1285</v>
      </c>
      <c r="J878" t="s">
        <v>1332</v>
      </c>
      <c r="K878" t="s">
        <v>1534</v>
      </c>
      <c r="L878" t="s">
        <v>1535</v>
      </c>
      <c r="M878" t="s">
        <v>1335</v>
      </c>
      <c r="N878">
        <v>52000</v>
      </c>
      <c r="O878" s="1" t="s">
        <v>1336</v>
      </c>
      <c r="P878" t="s">
        <v>1306</v>
      </c>
      <c r="Q878" t="s">
        <v>1294</v>
      </c>
      <c r="S878" t="s">
        <v>1294</v>
      </c>
      <c r="T878" t="s">
        <v>2338</v>
      </c>
      <c r="U878">
        <v>0</v>
      </c>
      <c r="V878" t="s">
        <v>1536</v>
      </c>
    </row>
    <row r="879" spans="1:22" ht="30" x14ac:dyDescent="0.25">
      <c r="A879" t="s">
        <v>1871</v>
      </c>
      <c r="B879" s="1" t="s">
        <v>1330</v>
      </c>
      <c r="C879" s="1" t="s">
        <v>1530</v>
      </c>
      <c r="D879" s="1" t="s">
        <v>1288</v>
      </c>
      <c r="E879" s="1" t="s">
        <v>1410</v>
      </c>
      <c r="F879" t="s">
        <v>2339</v>
      </c>
      <c r="G879" t="s">
        <v>1533</v>
      </c>
      <c r="H879" t="s">
        <v>381</v>
      </c>
      <c r="I879" t="s">
        <v>1285</v>
      </c>
      <c r="J879" t="s">
        <v>1332</v>
      </c>
      <c r="K879" t="s">
        <v>1534</v>
      </c>
      <c r="L879" t="s">
        <v>1535</v>
      </c>
      <c r="M879" t="s">
        <v>1335</v>
      </c>
      <c r="N879">
        <v>52000</v>
      </c>
      <c r="O879" s="1" t="s">
        <v>1336</v>
      </c>
      <c r="P879" t="s">
        <v>1306</v>
      </c>
      <c r="Q879" t="s">
        <v>1294</v>
      </c>
      <c r="S879" t="s">
        <v>1294</v>
      </c>
      <c r="T879" t="s">
        <v>2340</v>
      </c>
      <c r="U879">
        <v>0</v>
      </c>
      <c r="V879" t="s">
        <v>1536</v>
      </c>
    </row>
    <row r="880" spans="1:22" ht="30" x14ac:dyDescent="0.25">
      <c r="A880" t="s">
        <v>1871</v>
      </c>
      <c r="B880" s="1" t="s">
        <v>1330</v>
      </c>
      <c r="C880" s="1" t="s">
        <v>1530</v>
      </c>
      <c r="D880" s="1" t="s">
        <v>1288</v>
      </c>
      <c r="E880" s="1" t="s">
        <v>1410</v>
      </c>
      <c r="F880" t="s">
        <v>2341</v>
      </c>
      <c r="G880" t="s">
        <v>1533</v>
      </c>
      <c r="H880" t="s">
        <v>381</v>
      </c>
      <c r="I880" t="s">
        <v>1285</v>
      </c>
      <c r="J880" t="s">
        <v>1332</v>
      </c>
      <c r="K880" t="s">
        <v>1534</v>
      </c>
      <c r="L880" t="s">
        <v>1535</v>
      </c>
      <c r="M880" t="s">
        <v>1335</v>
      </c>
      <c r="N880">
        <v>52000</v>
      </c>
      <c r="O880" s="1" t="s">
        <v>1336</v>
      </c>
      <c r="P880" t="s">
        <v>1306</v>
      </c>
      <c r="Q880" t="s">
        <v>1294</v>
      </c>
      <c r="S880" t="s">
        <v>1294</v>
      </c>
      <c r="T880" t="s">
        <v>2342</v>
      </c>
      <c r="U880">
        <v>753</v>
      </c>
      <c r="V880" t="s">
        <v>1536</v>
      </c>
    </row>
    <row r="881" spans="1:22" ht="30" x14ac:dyDescent="0.25">
      <c r="A881" t="s">
        <v>1871</v>
      </c>
      <c r="B881" s="1" t="s">
        <v>1330</v>
      </c>
      <c r="C881" s="1" t="s">
        <v>1530</v>
      </c>
      <c r="D881" s="1" t="s">
        <v>1288</v>
      </c>
      <c r="E881" s="1" t="s">
        <v>1410</v>
      </c>
      <c r="F881" t="s">
        <v>2343</v>
      </c>
      <c r="G881" t="s">
        <v>1533</v>
      </c>
      <c r="H881" t="s">
        <v>381</v>
      </c>
      <c r="I881" t="s">
        <v>1285</v>
      </c>
      <c r="J881" t="s">
        <v>1332</v>
      </c>
      <c r="K881" t="s">
        <v>1534</v>
      </c>
      <c r="L881" t="s">
        <v>1535</v>
      </c>
      <c r="M881" t="s">
        <v>1335</v>
      </c>
      <c r="N881">
        <v>52000</v>
      </c>
      <c r="O881" s="1" t="s">
        <v>1336</v>
      </c>
      <c r="P881" t="s">
        <v>1306</v>
      </c>
      <c r="Q881" t="s">
        <v>1294</v>
      </c>
      <c r="S881" t="s">
        <v>1294</v>
      </c>
      <c r="T881" t="s">
        <v>2344</v>
      </c>
      <c r="U881">
        <v>0</v>
      </c>
      <c r="V881" t="s">
        <v>1536</v>
      </c>
    </row>
    <row r="882" spans="1:22" ht="30" x14ac:dyDescent="0.25">
      <c r="A882" t="s">
        <v>1871</v>
      </c>
      <c r="B882" s="1" t="s">
        <v>1330</v>
      </c>
      <c r="C882" s="1" t="s">
        <v>1530</v>
      </c>
      <c r="D882" s="1" t="s">
        <v>1288</v>
      </c>
      <c r="E882" s="1" t="s">
        <v>1410</v>
      </c>
      <c r="F882" t="s">
        <v>2345</v>
      </c>
      <c r="G882" t="s">
        <v>1533</v>
      </c>
      <c r="H882" t="s">
        <v>381</v>
      </c>
      <c r="I882" t="s">
        <v>1285</v>
      </c>
      <c r="J882" t="s">
        <v>1332</v>
      </c>
      <c r="K882" t="s">
        <v>1534</v>
      </c>
      <c r="L882" t="s">
        <v>1535</v>
      </c>
      <c r="M882" t="s">
        <v>1335</v>
      </c>
      <c r="N882">
        <v>52000</v>
      </c>
      <c r="O882" s="1" t="s">
        <v>1336</v>
      </c>
      <c r="P882" t="s">
        <v>1306</v>
      </c>
      <c r="Q882" t="s">
        <v>1294</v>
      </c>
      <c r="S882" t="s">
        <v>1294</v>
      </c>
      <c r="T882" t="s">
        <v>2346</v>
      </c>
      <c r="U882">
        <v>96</v>
      </c>
      <c r="V882" t="s">
        <v>1536</v>
      </c>
    </row>
    <row r="883" spans="1:22" ht="30" x14ac:dyDescent="0.25">
      <c r="A883" t="s">
        <v>1871</v>
      </c>
      <c r="B883" s="1" t="s">
        <v>1330</v>
      </c>
      <c r="C883" s="1" t="s">
        <v>1530</v>
      </c>
      <c r="D883" s="1" t="s">
        <v>1288</v>
      </c>
      <c r="E883" s="1" t="s">
        <v>1410</v>
      </c>
      <c r="F883" t="s">
        <v>2347</v>
      </c>
      <c r="G883" t="s">
        <v>1533</v>
      </c>
      <c r="H883" t="s">
        <v>381</v>
      </c>
      <c r="I883" t="s">
        <v>1285</v>
      </c>
      <c r="J883" t="s">
        <v>1332</v>
      </c>
      <c r="K883" t="s">
        <v>1534</v>
      </c>
      <c r="L883" t="s">
        <v>1535</v>
      </c>
      <c r="M883" t="s">
        <v>1335</v>
      </c>
      <c r="N883">
        <v>52000</v>
      </c>
      <c r="O883" s="1" t="s">
        <v>1336</v>
      </c>
      <c r="P883" t="s">
        <v>1306</v>
      </c>
      <c r="Q883" t="s">
        <v>1294</v>
      </c>
      <c r="S883" t="s">
        <v>1294</v>
      </c>
      <c r="T883" t="s">
        <v>2348</v>
      </c>
      <c r="U883">
        <v>809</v>
      </c>
      <c r="V883" t="s">
        <v>1536</v>
      </c>
    </row>
    <row r="884" spans="1:22" ht="30" x14ac:dyDescent="0.25">
      <c r="A884" t="s">
        <v>1871</v>
      </c>
      <c r="B884" s="1" t="s">
        <v>1330</v>
      </c>
      <c r="C884" s="1" t="s">
        <v>1530</v>
      </c>
      <c r="D884" s="1" t="s">
        <v>1288</v>
      </c>
      <c r="E884" s="1" t="s">
        <v>1410</v>
      </c>
      <c r="F884" t="s">
        <v>2349</v>
      </c>
      <c r="G884" t="s">
        <v>1533</v>
      </c>
      <c r="H884" t="s">
        <v>381</v>
      </c>
      <c r="I884" t="s">
        <v>1285</v>
      </c>
      <c r="J884" t="s">
        <v>1332</v>
      </c>
      <c r="K884" t="s">
        <v>1534</v>
      </c>
      <c r="L884" t="s">
        <v>1535</v>
      </c>
      <c r="M884" t="s">
        <v>1335</v>
      </c>
      <c r="N884">
        <v>52000</v>
      </c>
      <c r="O884" s="1" t="s">
        <v>1336</v>
      </c>
      <c r="P884" t="s">
        <v>1306</v>
      </c>
      <c r="Q884" t="s">
        <v>1294</v>
      </c>
      <c r="S884" t="s">
        <v>1294</v>
      </c>
      <c r="T884" t="s">
        <v>2350</v>
      </c>
      <c r="U884">
        <v>160</v>
      </c>
      <c r="V884" t="s">
        <v>1536</v>
      </c>
    </row>
    <row r="885" spans="1:22" ht="30" x14ac:dyDescent="0.25">
      <c r="A885" t="s">
        <v>1871</v>
      </c>
      <c r="B885" s="1" t="s">
        <v>1330</v>
      </c>
      <c r="C885" s="1" t="s">
        <v>1530</v>
      </c>
      <c r="D885" s="1" t="s">
        <v>1288</v>
      </c>
      <c r="E885" s="1" t="s">
        <v>1410</v>
      </c>
      <c r="F885" t="s">
        <v>2351</v>
      </c>
      <c r="G885" t="s">
        <v>1533</v>
      </c>
      <c r="H885" t="s">
        <v>381</v>
      </c>
      <c r="I885" t="s">
        <v>1285</v>
      </c>
      <c r="J885" t="s">
        <v>1332</v>
      </c>
      <c r="K885" t="s">
        <v>1534</v>
      </c>
      <c r="L885" t="s">
        <v>1535</v>
      </c>
      <c r="M885" t="s">
        <v>1335</v>
      </c>
      <c r="N885">
        <v>52000</v>
      </c>
      <c r="O885" s="1" t="s">
        <v>1336</v>
      </c>
      <c r="P885" t="s">
        <v>1306</v>
      </c>
      <c r="Q885" t="s">
        <v>1294</v>
      </c>
      <c r="S885" t="s">
        <v>1294</v>
      </c>
      <c r="T885" t="s">
        <v>2352</v>
      </c>
      <c r="U885">
        <v>354</v>
      </c>
      <c r="V885" t="s">
        <v>1536</v>
      </c>
    </row>
    <row r="886" spans="1:22" ht="30" x14ac:dyDescent="0.25">
      <c r="A886" t="s">
        <v>1871</v>
      </c>
      <c r="B886" s="1" t="s">
        <v>1330</v>
      </c>
      <c r="C886" s="1" t="s">
        <v>1530</v>
      </c>
      <c r="D886" s="1" t="s">
        <v>1288</v>
      </c>
      <c r="E886" s="1" t="s">
        <v>1410</v>
      </c>
      <c r="F886" t="s">
        <v>2353</v>
      </c>
      <c r="G886" t="s">
        <v>1533</v>
      </c>
      <c r="H886" t="s">
        <v>381</v>
      </c>
      <c r="I886" t="s">
        <v>1285</v>
      </c>
      <c r="J886" t="s">
        <v>1332</v>
      </c>
      <c r="K886" t="s">
        <v>1534</v>
      </c>
      <c r="L886" t="s">
        <v>1535</v>
      </c>
      <c r="M886" t="s">
        <v>1335</v>
      </c>
      <c r="N886">
        <v>52000</v>
      </c>
      <c r="O886" s="1" t="s">
        <v>1336</v>
      </c>
      <c r="P886" t="s">
        <v>1306</v>
      </c>
      <c r="Q886" t="s">
        <v>1294</v>
      </c>
      <c r="S886" t="s">
        <v>1294</v>
      </c>
      <c r="T886" t="s">
        <v>2354</v>
      </c>
      <c r="U886">
        <v>475</v>
      </c>
      <c r="V886" t="s">
        <v>1536</v>
      </c>
    </row>
    <row r="887" spans="1:22" ht="30" x14ac:dyDescent="0.25">
      <c r="A887" t="s">
        <v>1871</v>
      </c>
      <c r="B887" s="1" t="s">
        <v>1330</v>
      </c>
      <c r="C887" s="1" t="s">
        <v>1530</v>
      </c>
      <c r="D887" s="1" t="s">
        <v>1288</v>
      </c>
      <c r="E887" s="1" t="s">
        <v>1410</v>
      </c>
      <c r="F887" t="s">
        <v>2355</v>
      </c>
      <c r="G887" t="s">
        <v>1533</v>
      </c>
      <c r="H887" t="s">
        <v>381</v>
      </c>
      <c r="I887" t="s">
        <v>1285</v>
      </c>
      <c r="J887" t="s">
        <v>1332</v>
      </c>
      <c r="K887" t="s">
        <v>1534</v>
      </c>
      <c r="L887" t="s">
        <v>1535</v>
      </c>
      <c r="M887" t="s">
        <v>1335</v>
      </c>
      <c r="N887">
        <v>52000</v>
      </c>
      <c r="O887" s="1" t="s">
        <v>1336</v>
      </c>
      <c r="P887" t="s">
        <v>1306</v>
      </c>
      <c r="Q887" t="s">
        <v>1294</v>
      </c>
      <c r="S887" t="s">
        <v>1294</v>
      </c>
      <c r="T887" t="s">
        <v>2356</v>
      </c>
      <c r="U887">
        <v>0</v>
      </c>
      <c r="V887" t="s">
        <v>1536</v>
      </c>
    </row>
    <row r="888" spans="1:22" ht="30" x14ac:dyDescent="0.25">
      <c r="A888" t="s">
        <v>1871</v>
      </c>
      <c r="B888" s="1" t="s">
        <v>1330</v>
      </c>
      <c r="C888" s="1" t="s">
        <v>1530</v>
      </c>
      <c r="D888" s="1" t="s">
        <v>1288</v>
      </c>
      <c r="E888" s="1" t="s">
        <v>1410</v>
      </c>
      <c r="F888" t="s">
        <v>2357</v>
      </c>
      <c r="G888" t="s">
        <v>1533</v>
      </c>
      <c r="H888" t="s">
        <v>381</v>
      </c>
      <c r="I888" t="s">
        <v>1285</v>
      </c>
      <c r="J888" t="s">
        <v>1332</v>
      </c>
      <c r="K888" t="s">
        <v>1534</v>
      </c>
      <c r="L888" t="s">
        <v>1535</v>
      </c>
      <c r="M888" t="s">
        <v>1335</v>
      </c>
      <c r="N888">
        <v>52000</v>
      </c>
      <c r="O888" s="1" t="s">
        <v>1336</v>
      </c>
      <c r="P888" t="s">
        <v>1306</v>
      </c>
      <c r="Q888" t="s">
        <v>1294</v>
      </c>
      <c r="S888" t="s">
        <v>1294</v>
      </c>
      <c r="T888" t="s">
        <v>2358</v>
      </c>
      <c r="U888">
        <v>1467</v>
      </c>
      <c r="V888" t="s">
        <v>1536</v>
      </c>
    </row>
    <row r="889" spans="1:22" ht="30" x14ac:dyDescent="0.25">
      <c r="A889" t="s">
        <v>1871</v>
      </c>
      <c r="B889" s="1" t="s">
        <v>1330</v>
      </c>
      <c r="C889" s="1" t="s">
        <v>1530</v>
      </c>
      <c r="D889" s="1" t="s">
        <v>1288</v>
      </c>
      <c r="E889" s="1" t="s">
        <v>1410</v>
      </c>
      <c r="F889" t="s">
        <v>2359</v>
      </c>
      <c r="G889" t="s">
        <v>1533</v>
      </c>
      <c r="H889" t="s">
        <v>381</v>
      </c>
      <c r="I889" t="s">
        <v>1285</v>
      </c>
      <c r="J889" t="s">
        <v>1332</v>
      </c>
      <c r="K889" t="s">
        <v>1534</v>
      </c>
      <c r="L889" t="s">
        <v>1535</v>
      </c>
      <c r="M889" t="s">
        <v>1335</v>
      </c>
      <c r="N889">
        <v>52000</v>
      </c>
      <c r="O889" s="1" t="s">
        <v>1336</v>
      </c>
      <c r="P889" t="s">
        <v>1306</v>
      </c>
      <c r="Q889" t="s">
        <v>1294</v>
      </c>
      <c r="S889" t="s">
        <v>1294</v>
      </c>
      <c r="T889" t="s">
        <v>2360</v>
      </c>
      <c r="U889">
        <v>1236</v>
      </c>
      <c r="V889" t="s">
        <v>1536</v>
      </c>
    </row>
    <row r="890" spans="1:22" ht="30" x14ac:dyDescent="0.25">
      <c r="A890" t="s">
        <v>1871</v>
      </c>
      <c r="B890" s="1" t="s">
        <v>1330</v>
      </c>
      <c r="C890" s="1" t="s">
        <v>1530</v>
      </c>
      <c r="D890" s="1" t="s">
        <v>1288</v>
      </c>
      <c r="E890" s="1" t="s">
        <v>1410</v>
      </c>
      <c r="F890" t="s">
        <v>2361</v>
      </c>
      <c r="G890" t="s">
        <v>1533</v>
      </c>
      <c r="H890" t="s">
        <v>381</v>
      </c>
      <c r="I890" t="s">
        <v>1285</v>
      </c>
      <c r="J890" t="s">
        <v>1332</v>
      </c>
      <c r="K890" t="s">
        <v>1534</v>
      </c>
      <c r="L890" t="s">
        <v>1535</v>
      </c>
      <c r="M890" t="s">
        <v>1335</v>
      </c>
      <c r="N890">
        <v>52000</v>
      </c>
      <c r="O890" s="1" t="s">
        <v>1336</v>
      </c>
      <c r="P890" t="s">
        <v>1306</v>
      </c>
      <c r="Q890" t="s">
        <v>1294</v>
      </c>
      <c r="S890" t="s">
        <v>1294</v>
      </c>
      <c r="T890" t="s">
        <v>2362</v>
      </c>
      <c r="U890">
        <v>4399</v>
      </c>
      <c r="V890" t="s">
        <v>1536</v>
      </c>
    </row>
    <row r="891" spans="1:22" ht="30" x14ac:dyDescent="0.25">
      <c r="A891" t="s">
        <v>1871</v>
      </c>
      <c r="B891" s="1" t="s">
        <v>1330</v>
      </c>
      <c r="C891" s="1" t="s">
        <v>1530</v>
      </c>
      <c r="D891" s="1" t="s">
        <v>1288</v>
      </c>
      <c r="E891" s="1" t="s">
        <v>1410</v>
      </c>
      <c r="F891" t="s">
        <v>2363</v>
      </c>
      <c r="G891" t="s">
        <v>1533</v>
      </c>
      <c r="H891" t="s">
        <v>381</v>
      </c>
      <c r="I891" t="s">
        <v>1285</v>
      </c>
      <c r="J891" t="s">
        <v>1332</v>
      </c>
      <c r="K891" t="s">
        <v>1534</v>
      </c>
      <c r="L891" t="s">
        <v>1535</v>
      </c>
      <c r="M891" t="s">
        <v>1335</v>
      </c>
      <c r="N891">
        <v>52000</v>
      </c>
      <c r="O891" s="1" t="s">
        <v>1336</v>
      </c>
      <c r="P891" t="s">
        <v>1306</v>
      </c>
      <c r="Q891" t="s">
        <v>1294</v>
      </c>
      <c r="S891" t="s">
        <v>1294</v>
      </c>
      <c r="T891" t="s">
        <v>2364</v>
      </c>
      <c r="U891">
        <v>5700</v>
      </c>
      <c r="V891" t="s">
        <v>1536</v>
      </c>
    </row>
    <row r="892" spans="1:22" ht="30" x14ac:dyDescent="0.25">
      <c r="A892" t="s">
        <v>1871</v>
      </c>
      <c r="B892" s="1" t="s">
        <v>1330</v>
      </c>
      <c r="C892" s="1" t="s">
        <v>1530</v>
      </c>
      <c r="D892" s="1" t="s">
        <v>1288</v>
      </c>
      <c r="E892" s="1" t="s">
        <v>1410</v>
      </c>
      <c r="F892" t="s">
        <v>2365</v>
      </c>
      <c r="G892" t="s">
        <v>1533</v>
      </c>
      <c r="H892" t="s">
        <v>381</v>
      </c>
      <c r="I892" t="s">
        <v>1285</v>
      </c>
      <c r="J892" t="s">
        <v>1332</v>
      </c>
      <c r="K892" t="s">
        <v>1534</v>
      </c>
      <c r="L892" t="s">
        <v>1535</v>
      </c>
      <c r="M892" t="s">
        <v>1335</v>
      </c>
      <c r="N892">
        <v>52000</v>
      </c>
      <c r="O892" s="1" t="s">
        <v>1336</v>
      </c>
      <c r="P892" t="s">
        <v>1306</v>
      </c>
      <c r="Q892" t="s">
        <v>1294</v>
      </c>
      <c r="S892" t="s">
        <v>1294</v>
      </c>
      <c r="T892" t="s">
        <v>2366</v>
      </c>
      <c r="U892">
        <v>9744</v>
      </c>
      <c r="V892" t="s">
        <v>1536</v>
      </c>
    </row>
    <row r="893" spans="1:22" ht="30" x14ac:dyDescent="0.25">
      <c r="A893" t="s">
        <v>1871</v>
      </c>
      <c r="B893" s="1" t="s">
        <v>1330</v>
      </c>
      <c r="C893" s="1" t="s">
        <v>1530</v>
      </c>
      <c r="D893" s="1" t="s">
        <v>1288</v>
      </c>
      <c r="E893" s="1" t="s">
        <v>1410</v>
      </c>
      <c r="F893" t="s">
        <v>2367</v>
      </c>
      <c r="G893" t="s">
        <v>1533</v>
      </c>
      <c r="H893" t="s">
        <v>381</v>
      </c>
      <c r="I893" t="s">
        <v>1285</v>
      </c>
      <c r="J893" t="s">
        <v>1332</v>
      </c>
      <c r="K893" t="s">
        <v>1534</v>
      </c>
      <c r="L893" t="s">
        <v>1535</v>
      </c>
      <c r="M893" t="s">
        <v>1335</v>
      </c>
      <c r="N893">
        <v>52000</v>
      </c>
      <c r="O893" s="1" t="s">
        <v>1336</v>
      </c>
      <c r="P893" t="s">
        <v>1306</v>
      </c>
      <c r="Q893" t="s">
        <v>1294</v>
      </c>
      <c r="S893" t="s">
        <v>1294</v>
      </c>
      <c r="T893" t="s">
        <v>2368</v>
      </c>
      <c r="U893">
        <v>1544</v>
      </c>
      <c r="V893" t="s">
        <v>1536</v>
      </c>
    </row>
    <row r="894" spans="1:22" ht="30" x14ac:dyDescent="0.25">
      <c r="A894" t="s">
        <v>1871</v>
      </c>
      <c r="B894" s="1" t="s">
        <v>1330</v>
      </c>
      <c r="C894" s="1" t="s">
        <v>1530</v>
      </c>
      <c r="D894" s="1" t="s">
        <v>1288</v>
      </c>
      <c r="E894" s="1" t="s">
        <v>1410</v>
      </c>
      <c r="F894" t="s">
        <v>2369</v>
      </c>
      <c r="G894" t="s">
        <v>1533</v>
      </c>
      <c r="H894" t="s">
        <v>381</v>
      </c>
      <c r="I894" t="s">
        <v>1285</v>
      </c>
      <c r="J894" t="s">
        <v>1332</v>
      </c>
      <c r="K894" t="s">
        <v>1534</v>
      </c>
      <c r="L894" t="s">
        <v>1535</v>
      </c>
      <c r="M894" t="s">
        <v>1335</v>
      </c>
      <c r="N894">
        <v>52000</v>
      </c>
      <c r="O894" s="1" t="s">
        <v>1336</v>
      </c>
      <c r="P894" t="s">
        <v>1306</v>
      </c>
      <c r="Q894" t="s">
        <v>1294</v>
      </c>
      <c r="S894" t="s">
        <v>1294</v>
      </c>
      <c r="T894" t="s">
        <v>2370</v>
      </c>
      <c r="U894">
        <v>5264</v>
      </c>
      <c r="V894" t="s">
        <v>1536</v>
      </c>
    </row>
    <row r="895" spans="1:22" ht="30" x14ac:dyDescent="0.25">
      <c r="A895" t="s">
        <v>1871</v>
      </c>
      <c r="B895" s="1" t="s">
        <v>1330</v>
      </c>
      <c r="C895" s="1" t="s">
        <v>1530</v>
      </c>
      <c r="D895" s="1" t="s">
        <v>1288</v>
      </c>
      <c r="E895" s="1" t="s">
        <v>1410</v>
      </c>
      <c r="F895" t="s">
        <v>2371</v>
      </c>
      <c r="G895" t="s">
        <v>1533</v>
      </c>
      <c r="H895" t="s">
        <v>381</v>
      </c>
      <c r="I895" t="s">
        <v>1285</v>
      </c>
      <c r="J895" t="s">
        <v>1332</v>
      </c>
      <c r="K895" t="s">
        <v>1534</v>
      </c>
      <c r="L895" t="s">
        <v>1535</v>
      </c>
      <c r="M895" t="s">
        <v>1335</v>
      </c>
      <c r="N895">
        <v>52000</v>
      </c>
      <c r="O895" s="1" t="s">
        <v>1336</v>
      </c>
      <c r="P895" t="s">
        <v>1306</v>
      </c>
      <c r="Q895" t="s">
        <v>1294</v>
      </c>
      <c r="S895" t="s">
        <v>1294</v>
      </c>
      <c r="T895" t="s">
        <v>2372</v>
      </c>
      <c r="U895">
        <v>0</v>
      </c>
      <c r="V895" t="s">
        <v>1536</v>
      </c>
    </row>
    <row r="896" spans="1:22" ht="30" x14ac:dyDescent="0.25">
      <c r="A896" t="s">
        <v>1871</v>
      </c>
      <c r="B896" s="1" t="s">
        <v>1330</v>
      </c>
      <c r="C896" s="1" t="s">
        <v>1530</v>
      </c>
      <c r="D896" s="1" t="s">
        <v>1288</v>
      </c>
      <c r="E896" s="1" t="s">
        <v>1410</v>
      </c>
      <c r="F896" t="s">
        <v>2373</v>
      </c>
      <c r="G896" t="s">
        <v>1533</v>
      </c>
      <c r="H896" t="s">
        <v>381</v>
      </c>
      <c r="I896" t="s">
        <v>1285</v>
      </c>
      <c r="J896" t="s">
        <v>1332</v>
      </c>
      <c r="K896" t="s">
        <v>1534</v>
      </c>
      <c r="L896" t="s">
        <v>1535</v>
      </c>
      <c r="M896" t="s">
        <v>1335</v>
      </c>
      <c r="N896">
        <v>52000</v>
      </c>
      <c r="O896" s="1" t="s">
        <v>1336</v>
      </c>
      <c r="P896" t="s">
        <v>1306</v>
      </c>
      <c r="Q896" t="s">
        <v>1294</v>
      </c>
      <c r="S896" t="s">
        <v>1294</v>
      </c>
      <c r="T896" t="s">
        <v>2374</v>
      </c>
      <c r="U896">
        <v>7335</v>
      </c>
      <c r="V896" t="s">
        <v>1536</v>
      </c>
    </row>
    <row r="897" spans="1:22" ht="30" x14ac:dyDescent="0.25">
      <c r="A897" t="s">
        <v>1871</v>
      </c>
      <c r="B897" s="1" t="s">
        <v>1330</v>
      </c>
      <c r="C897" s="1" t="s">
        <v>1530</v>
      </c>
      <c r="D897" s="1" t="s">
        <v>1288</v>
      </c>
      <c r="E897" s="1" t="s">
        <v>1410</v>
      </c>
      <c r="F897" t="s">
        <v>2375</v>
      </c>
      <c r="G897" t="s">
        <v>1533</v>
      </c>
      <c r="H897" t="s">
        <v>381</v>
      </c>
      <c r="I897" t="s">
        <v>1285</v>
      </c>
      <c r="J897" t="s">
        <v>1332</v>
      </c>
      <c r="K897" t="s">
        <v>1534</v>
      </c>
      <c r="L897" t="s">
        <v>1535</v>
      </c>
      <c r="M897" t="s">
        <v>1335</v>
      </c>
      <c r="N897">
        <v>52000</v>
      </c>
      <c r="O897" s="1" t="s">
        <v>1336</v>
      </c>
      <c r="P897" t="s">
        <v>1306</v>
      </c>
      <c r="Q897" t="s">
        <v>1294</v>
      </c>
      <c r="S897" t="s">
        <v>1294</v>
      </c>
      <c r="T897" t="s">
        <v>2376</v>
      </c>
      <c r="U897">
        <v>4</v>
      </c>
      <c r="V897" t="s">
        <v>1536</v>
      </c>
    </row>
    <row r="898" spans="1:22" ht="30" x14ac:dyDescent="0.25">
      <c r="A898" t="s">
        <v>1871</v>
      </c>
      <c r="B898" s="1" t="s">
        <v>1330</v>
      </c>
      <c r="C898" s="1" t="s">
        <v>1530</v>
      </c>
      <c r="D898" s="1" t="s">
        <v>1288</v>
      </c>
      <c r="E898" s="1" t="s">
        <v>1410</v>
      </c>
      <c r="F898" t="s">
        <v>2377</v>
      </c>
      <c r="G898" t="s">
        <v>1533</v>
      </c>
      <c r="H898" t="s">
        <v>381</v>
      </c>
      <c r="I898" t="s">
        <v>1285</v>
      </c>
      <c r="J898" t="s">
        <v>1332</v>
      </c>
      <c r="K898" t="s">
        <v>1534</v>
      </c>
      <c r="L898" t="s">
        <v>1535</v>
      </c>
      <c r="M898" t="s">
        <v>1335</v>
      </c>
      <c r="N898">
        <v>52000</v>
      </c>
      <c r="O898" s="1" t="s">
        <v>1336</v>
      </c>
      <c r="P898" t="s">
        <v>1306</v>
      </c>
      <c r="Q898" t="s">
        <v>1294</v>
      </c>
      <c r="S898" t="s">
        <v>1294</v>
      </c>
      <c r="T898" t="s">
        <v>2378</v>
      </c>
      <c r="U898">
        <v>0</v>
      </c>
      <c r="V898" t="s">
        <v>1536</v>
      </c>
    </row>
    <row r="899" spans="1:22" ht="30" x14ac:dyDescent="0.25">
      <c r="A899" t="s">
        <v>1871</v>
      </c>
      <c r="B899" s="1" t="s">
        <v>1330</v>
      </c>
      <c r="C899" s="1" t="s">
        <v>1530</v>
      </c>
      <c r="D899" s="1" t="s">
        <v>1288</v>
      </c>
      <c r="E899" s="1" t="s">
        <v>1410</v>
      </c>
      <c r="F899" t="s">
        <v>2379</v>
      </c>
      <c r="G899" t="s">
        <v>1533</v>
      </c>
      <c r="H899" t="s">
        <v>381</v>
      </c>
      <c r="I899" t="s">
        <v>1285</v>
      </c>
      <c r="J899" t="s">
        <v>1332</v>
      </c>
      <c r="K899" t="s">
        <v>1534</v>
      </c>
      <c r="L899" t="s">
        <v>1535</v>
      </c>
      <c r="M899" t="s">
        <v>1335</v>
      </c>
      <c r="N899">
        <v>52000</v>
      </c>
      <c r="O899" s="1" t="s">
        <v>1336</v>
      </c>
      <c r="P899" t="s">
        <v>1306</v>
      </c>
      <c r="Q899" t="s">
        <v>1294</v>
      </c>
      <c r="S899" t="s">
        <v>1294</v>
      </c>
      <c r="T899" t="s">
        <v>2380</v>
      </c>
      <c r="U899">
        <v>4592</v>
      </c>
      <c r="V899" t="s">
        <v>1536</v>
      </c>
    </row>
    <row r="900" spans="1:22" ht="30" x14ac:dyDescent="0.25">
      <c r="A900" t="s">
        <v>1871</v>
      </c>
      <c r="B900" s="1" t="s">
        <v>1330</v>
      </c>
      <c r="C900" s="1" t="s">
        <v>1530</v>
      </c>
      <c r="D900" s="1" t="s">
        <v>1288</v>
      </c>
      <c r="E900" s="1" t="s">
        <v>1410</v>
      </c>
      <c r="F900" t="s">
        <v>2381</v>
      </c>
      <c r="G900" t="s">
        <v>1533</v>
      </c>
      <c r="H900" t="s">
        <v>381</v>
      </c>
      <c r="I900" t="s">
        <v>1285</v>
      </c>
      <c r="J900" t="s">
        <v>1332</v>
      </c>
      <c r="K900" t="s">
        <v>1534</v>
      </c>
      <c r="L900" t="s">
        <v>1535</v>
      </c>
      <c r="M900" t="s">
        <v>1335</v>
      </c>
      <c r="N900">
        <v>52000</v>
      </c>
      <c r="O900" s="1" t="s">
        <v>1336</v>
      </c>
      <c r="P900" t="s">
        <v>1306</v>
      </c>
      <c r="Q900" t="s">
        <v>1294</v>
      </c>
      <c r="S900" t="s">
        <v>1294</v>
      </c>
      <c r="T900" t="s">
        <v>2382</v>
      </c>
      <c r="U900">
        <v>512</v>
      </c>
      <c r="V900" t="s">
        <v>1536</v>
      </c>
    </row>
    <row r="901" spans="1:22" ht="30" x14ac:dyDescent="0.25">
      <c r="A901" t="s">
        <v>1871</v>
      </c>
      <c r="B901" s="1" t="s">
        <v>1330</v>
      </c>
      <c r="C901" s="1" t="s">
        <v>1530</v>
      </c>
      <c r="D901" s="1" t="s">
        <v>1288</v>
      </c>
      <c r="E901" s="1" t="s">
        <v>1410</v>
      </c>
      <c r="F901" t="s">
        <v>2383</v>
      </c>
      <c r="G901" t="s">
        <v>1533</v>
      </c>
      <c r="H901" t="s">
        <v>381</v>
      </c>
      <c r="I901" t="s">
        <v>1285</v>
      </c>
      <c r="J901" t="s">
        <v>1332</v>
      </c>
      <c r="K901" t="s">
        <v>1534</v>
      </c>
      <c r="L901" t="s">
        <v>1535</v>
      </c>
      <c r="M901" t="s">
        <v>1335</v>
      </c>
      <c r="N901">
        <v>52000</v>
      </c>
      <c r="O901" s="1" t="s">
        <v>1336</v>
      </c>
      <c r="P901" t="s">
        <v>1306</v>
      </c>
      <c r="Q901" t="s">
        <v>1294</v>
      </c>
      <c r="S901" t="s">
        <v>1294</v>
      </c>
      <c r="T901" t="s">
        <v>2384</v>
      </c>
      <c r="U901">
        <v>5209</v>
      </c>
      <c r="V901" t="s">
        <v>1536</v>
      </c>
    </row>
    <row r="902" spans="1:22" ht="30" x14ac:dyDescent="0.25">
      <c r="A902" t="s">
        <v>1871</v>
      </c>
      <c r="B902" s="1" t="s">
        <v>1330</v>
      </c>
      <c r="C902" s="1" t="s">
        <v>1530</v>
      </c>
      <c r="D902" s="1" t="s">
        <v>1288</v>
      </c>
      <c r="E902" s="1" t="s">
        <v>1410</v>
      </c>
      <c r="F902" t="s">
        <v>2385</v>
      </c>
      <c r="G902" t="s">
        <v>1533</v>
      </c>
      <c r="H902" t="s">
        <v>381</v>
      </c>
      <c r="I902" t="s">
        <v>1285</v>
      </c>
      <c r="J902" t="s">
        <v>1332</v>
      </c>
      <c r="K902" t="s">
        <v>1534</v>
      </c>
      <c r="L902" t="s">
        <v>1535</v>
      </c>
      <c r="M902" t="s">
        <v>1335</v>
      </c>
      <c r="N902">
        <v>52000</v>
      </c>
      <c r="O902" s="1" t="s">
        <v>1336</v>
      </c>
      <c r="P902" t="s">
        <v>1306</v>
      </c>
      <c r="Q902" t="s">
        <v>1294</v>
      </c>
      <c r="S902" t="s">
        <v>1294</v>
      </c>
      <c r="T902" t="s">
        <v>2386</v>
      </c>
      <c r="U902">
        <v>0</v>
      </c>
      <c r="V902" t="s">
        <v>1536</v>
      </c>
    </row>
    <row r="903" spans="1:22" ht="30" x14ac:dyDescent="0.25">
      <c r="A903" t="s">
        <v>1871</v>
      </c>
      <c r="B903" s="1" t="s">
        <v>1330</v>
      </c>
      <c r="C903" s="1" t="s">
        <v>1530</v>
      </c>
      <c r="D903" s="1" t="s">
        <v>1288</v>
      </c>
      <c r="E903" s="1" t="s">
        <v>1410</v>
      </c>
      <c r="F903" t="s">
        <v>2387</v>
      </c>
      <c r="G903" t="s">
        <v>1533</v>
      </c>
      <c r="H903" t="s">
        <v>381</v>
      </c>
      <c r="I903" t="s">
        <v>1285</v>
      </c>
      <c r="J903" t="s">
        <v>1332</v>
      </c>
      <c r="K903" t="s">
        <v>1534</v>
      </c>
      <c r="L903" t="s">
        <v>1535</v>
      </c>
      <c r="M903" t="s">
        <v>1335</v>
      </c>
      <c r="N903">
        <v>52000</v>
      </c>
      <c r="O903" s="1" t="s">
        <v>1336</v>
      </c>
      <c r="P903" t="s">
        <v>1306</v>
      </c>
      <c r="Q903" t="s">
        <v>1294</v>
      </c>
      <c r="S903" t="s">
        <v>1294</v>
      </c>
      <c r="T903" t="s">
        <v>2388</v>
      </c>
      <c r="U903">
        <v>0</v>
      </c>
      <c r="V903" t="s">
        <v>1536</v>
      </c>
    </row>
    <row r="904" spans="1:22" ht="30" x14ac:dyDescent="0.25">
      <c r="A904" t="s">
        <v>1871</v>
      </c>
      <c r="B904" s="1" t="s">
        <v>1330</v>
      </c>
      <c r="C904" s="1" t="s">
        <v>1530</v>
      </c>
      <c r="D904" s="1" t="s">
        <v>1288</v>
      </c>
      <c r="E904" s="1" t="s">
        <v>1410</v>
      </c>
      <c r="F904" t="s">
        <v>2389</v>
      </c>
      <c r="G904" t="s">
        <v>1533</v>
      </c>
      <c r="H904" t="s">
        <v>381</v>
      </c>
      <c r="I904" t="s">
        <v>1285</v>
      </c>
      <c r="J904" t="s">
        <v>1332</v>
      </c>
      <c r="K904" t="s">
        <v>1534</v>
      </c>
      <c r="L904" t="s">
        <v>1535</v>
      </c>
      <c r="M904" t="s">
        <v>1335</v>
      </c>
      <c r="N904">
        <v>52000</v>
      </c>
      <c r="O904" s="1" t="s">
        <v>1336</v>
      </c>
      <c r="P904" t="s">
        <v>1306</v>
      </c>
      <c r="Q904" t="s">
        <v>1294</v>
      </c>
      <c r="S904" t="s">
        <v>1294</v>
      </c>
      <c r="T904" t="s">
        <v>2390</v>
      </c>
      <c r="U904">
        <v>130</v>
      </c>
      <c r="V904" t="s">
        <v>1536</v>
      </c>
    </row>
    <row r="905" spans="1:22" ht="30" x14ac:dyDescent="0.25">
      <c r="A905" t="s">
        <v>1871</v>
      </c>
      <c r="B905" s="1" t="s">
        <v>1330</v>
      </c>
      <c r="C905" s="1" t="s">
        <v>1530</v>
      </c>
      <c r="D905" s="1" t="s">
        <v>1288</v>
      </c>
      <c r="E905" s="1" t="s">
        <v>1410</v>
      </c>
      <c r="F905" t="s">
        <v>2391</v>
      </c>
      <c r="G905" t="s">
        <v>1533</v>
      </c>
      <c r="H905" t="s">
        <v>381</v>
      </c>
      <c r="I905" t="s">
        <v>1285</v>
      </c>
      <c r="J905" t="s">
        <v>1332</v>
      </c>
      <c r="K905" t="s">
        <v>1534</v>
      </c>
      <c r="L905" t="s">
        <v>1535</v>
      </c>
      <c r="M905" t="s">
        <v>1335</v>
      </c>
      <c r="N905">
        <v>52000</v>
      </c>
      <c r="O905" s="1" t="s">
        <v>1336</v>
      </c>
      <c r="P905" t="s">
        <v>1306</v>
      </c>
      <c r="Q905" t="s">
        <v>1294</v>
      </c>
      <c r="S905" t="s">
        <v>1294</v>
      </c>
      <c r="T905" t="s">
        <v>2392</v>
      </c>
      <c r="U905">
        <v>22</v>
      </c>
      <c r="V905" t="s">
        <v>1536</v>
      </c>
    </row>
    <row r="906" spans="1:22" ht="30" x14ac:dyDescent="0.25">
      <c r="A906" t="s">
        <v>1871</v>
      </c>
      <c r="B906" s="1" t="s">
        <v>1330</v>
      </c>
      <c r="C906" s="1" t="s">
        <v>1530</v>
      </c>
      <c r="D906" s="1" t="s">
        <v>1288</v>
      </c>
      <c r="E906" s="1" t="s">
        <v>1410</v>
      </c>
      <c r="F906" t="s">
        <v>2393</v>
      </c>
      <c r="G906" t="s">
        <v>1533</v>
      </c>
      <c r="H906" t="s">
        <v>381</v>
      </c>
      <c r="I906" t="s">
        <v>1285</v>
      </c>
      <c r="J906" t="s">
        <v>1332</v>
      </c>
      <c r="K906" t="s">
        <v>1534</v>
      </c>
      <c r="L906" t="s">
        <v>1535</v>
      </c>
      <c r="M906" t="s">
        <v>1335</v>
      </c>
      <c r="N906">
        <v>52000</v>
      </c>
      <c r="O906" s="1" t="s">
        <v>1336</v>
      </c>
      <c r="P906" t="s">
        <v>1306</v>
      </c>
      <c r="Q906" t="s">
        <v>1294</v>
      </c>
      <c r="S906" t="s">
        <v>1294</v>
      </c>
      <c r="T906" t="s">
        <v>2394</v>
      </c>
      <c r="U906">
        <v>133</v>
      </c>
      <c r="V906" t="s">
        <v>1536</v>
      </c>
    </row>
    <row r="907" spans="1:22" ht="30" x14ac:dyDescent="0.25">
      <c r="A907" t="s">
        <v>1871</v>
      </c>
      <c r="B907" s="1" t="s">
        <v>1330</v>
      </c>
      <c r="C907" s="1" t="s">
        <v>1530</v>
      </c>
      <c r="D907" s="1" t="s">
        <v>1288</v>
      </c>
      <c r="E907" s="1" t="s">
        <v>1410</v>
      </c>
      <c r="F907" t="s">
        <v>2395</v>
      </c>
      <c r="G907" t="s">
        <v>1533</v>
      </c>
      <c r="H907" t="s">
        <v>381</v>
      </c>
      <c r="I907" t="s">
        <v>1285</v>
      </c>
      <c r="J907" t="s">
        <v>1332</v>
      </c>
      <c r="K907" t="s">
        <v>1534</v>
      </c>
      <c r="L907" t="s">
        <v>1535</v>
      </c>
      <c r="M907" t="s">
        <v>1335</v>
      </c>
      <c r="N907">
        <v>52000</v>
      </c>
      <c r="O907" s="1" t="s">
        <v>1336</v>
      </c>
      <c r="P907" t="s">
        <v>1306</v>
      </c>
      <c r="Q907" t="s">
        <v>1294</v>
      </c>
      <c r="S907" t="s">
        <v>1294</v>
      </c>
      <c r="T907" t="s">
        <v>2396</v>
      </c>
      <c r="U907">
        <v>27</v>
      </c>
      <c r="V907" t="s">
        <v>1536</v>
      </c>
    </row>
    <row r="908" spans="1:22" ht="30" x14ac:dyDescent="0.25">
      <c r="A908" t="s">
        <v>1871</v>
      </c>
      <c r="B908" s="1" t="s">
        <v>1330</v>
      </c>
      <c r="C908" s="1" t="s">
        <v>1530</v>
      </c>
      <c r="D908" s="1" t="s">
        <v>1288</v>
      </c>
      <c r="E908" s="1" t="s">
        <v>1410</v>
      </c>
      <c r="F908" t="s">
        <v>2397</v>
      </c>
      <c r="G908" t="s">
        <v>1533</v>
      </c>
      <c r="H908" t="s">
        <v>381</v>
      </c>
      <c r="I908" t="s">
        <v>1285</v>
      </c>
      <c r="J908" t="s">
        <v>1332</v>
      </c>
      <c r="K908" t="s">
        <v>1534</v>
      </c>
      <c r="L908" t="s">
        <v>1535</v>
      </c>
      <c r="M908" t="s">
        <v>1335</v>
      </c>
      <c r="N908">
        <v>52000</v>
      </c>
      <c r="O908" s="1" t="s">
        <v>1336</v>
      </c>
      <c r="P908" t="s">
        <v>1306</v>
      </c>
      <c r="Q908" t="s">
        <v>1294</v>
      </c>
      <c r="S908" t="s">
        <v>1294</v>
      </c>
      <c r="T908" t="s">
        <v>2398</v>
      </c>
      <c r="U908">
        <v>176</v>
      </c>
      <c r="V908" t="s">
        <v>1536</v>
      </c>
    </row>
    <row r="909" spans="1:22" ht="30" x14ac:dyDescent="0.25">
      <c r="A909" t="s">
        <v>1871</v>
      </c>
      <c r="B909" s="1" t="s">
        <v>1330</v>
      </c>
      <c r="C909" s="1" t="s">
        <v>1530</v>
      </c>
      <c r="D909" s="1" t="s">
        <v>1288</v>
      </c>
      <c r="E909" s="1" t="s">
        <v>1410</v>
      </c>
      <c r="F909" t="s">
        <v>2399</v>
      </c>
      <c r="G909" t="s">
        <v>1533</v>
      </c>
      <c r="H909" t="s">
        <v>381</v>
      </c>
      <c r="I909" t="s">
        <v>1285</v>
      </c>
      <c r="J909" t="s">
        <v>1332</v>
      </c>
      <c r="K909" t="s">
        <v>1534</v>
      </c>
      <c r="L909" t="s">
        <v>1535</v>
      </c>
      <c r="M909" t="s">
        <v>1335</v>
      </c>
      <c r="N909">
        <v>52000</v>
      </c>
      <c r="O909" s="1" t="s">
        <v>1336</v>
      </c>
      <c r="P909" t="s">
        <v>1306</v>
      </c>
      <c r="Q909" t="s">
        <v>1294</v>
      </c>
      <c r="S909" t="s">
        <v>1294</v>
      </c>
      <c r="T909" t="s">
        <v>2400</v>
      </c>
      <c r="U909">
        <v>12</v>
      </c>
      <c r="V909" t="s">
        <v>1536</v>
      </c>
    </row>
    <row r="910" spans="1:22" ht="30" x14ac:dyDescent="0.25">
      <c r="A910" t="s">
        <v>1871</v>
      </c>
      <c r="B910" s="1" t="s">
        <v>1330</v>
      </c>
      <c r="C910" s="1" t="s">
        <v>1530</v>
      </c>
      <c r="D910" s="1" t="s">
        <v>1288</v>
      </c>
      <c r="E910" s="1" t="s">
        <v>1410</v>
      </c>
      <c r="F910" t="s">
        <v>2401</v>
      </c>
      <c r="G910" t="s">
        <v>1533</v>
      </c>
      <c r="H910" t="s">
        <v>381</v>
      </c>
      <c r="I910" t="s">
        <v>1285</v>
      </c>
      <c r="J910" t="s">
        <v>1332</v>
      </c>
      <c r="K910" t="s">
        <v>1534</v>
      </c>
      <c r="L910" t="s">
        <v>1535</v>
      </c>
      <c r="M910" t="s">
        <v>1335</v>
      </c>
      <c r="N910">
        <v>52000</v>
      </c>
      <c r="O910" s="1" t="s">
        <v>1336</v>
      </c>
      <c r="P910" t="s">
        <v>1306</v>
      </c>
      <c r="Q910" t="s">
        <v>1294</v>
      </c>
      <c r="S910" t="s">
        <v>1294</v>
      </c>
      <c r="T910" t="s">
        <v>2402</v>
      </c>
      <c r="U910">
        <v>447</v>
      </c>
      <c r="V910" t="s">
        <v>1536</v>
      </c>
    </row>
    <row r="911" spans="1:22" ht="30" x14ac:dyDescent="0.25">
      <c r="A911" t="s">
        <v>1871</v>
      </c>
      <c r="B911" s="1" t="s">
        <v>1330</v>
      </c>
      <c r="C911" s="1" t="s">
        <v>1530</v>
      </c>
      <c r="D911" s="1" t="s">
        <v>1288</v>
      </c>
      <c r="E911" s="1" t="s">
        <v>1410</v>
      </c>
      <c r="F911" t="s">
        <v>2403</v>
      </c>
      <c r="G911" t="s">
        <v>1533</v>
      </c>
      <c r="H911" t="s">
        <v>381</v>
      </c>
      <c r="I911" t="s">
        <v>1285</v>
      </c>
      <c r="J911" t="s">
        <v>1332</v>
      </c>
      <c r="K911" t="s">
        <v>1534</v>
      </c>
      <c r="L911" t="s">
        <v>1535</v>
      </c>
      <c r="M911" t="s">
        <v>1335</v>
      </c>
      <c r="N911">
        <v>52000</v>
      </c>
      <c r="O911" s="1" t="s">
        <v>1336</v>
      </c>
      <c r="P911" t="s">
        <v>1306</v>
      </c>
      <c r="Q911" t="s">
        <v>1294</v>
      </c>
      <c r="S911" t="s">
        <v>1294</v>
      </c>
      <c r="T911" t="s">
        <v>2404</v>
      </c>
      <c r="U911">
        <v>427</v>
      </c>
      <c r="V911" t="s">
        <v>1536</v>
      </c>
    </row>
    <row r="912" spans="1:22" ht="30" x14ac:dyDescent="0.25">
      <c r="A912" t="s">
        <v>1871</v>
      </c>
      <c r="B912" s="1" t="s">
        <v>1330</v>
      </c>
      <c r="C912" s="1" t="s">
        <v>1530</v>
      </c>
      <c r="D912" s="1" t="s">
        <v>1288</v>
      </c>
      <c r="E912" s="1" t="s">
        <v>1410</v>
      </c>
      <c r="F912" t="s">
        <v>2405</v>
      </c>
      <c r="G912" t="s">
        <v>1533</v>
      </c>
      <c r="H912" t="s">
        <v>381</v>
      </c>
      <c r="I912" t="s">
        <v>1285</v>
      </c>
      <c r="J912" t="s">
        <v>1332</v>
      </c>
      <c r="K912" t="s">
        <v>1534</v>
      </c>
      <c r="L912" t="s">
        <v>1535</v>
      </c>
      <c r="M912" t="s">
        <v>1335</v>
      </c>
      <c r="N912">
        <v>52000</v>
      </c>
      <c r="O912" s="1" t="s">
        <v>1336</v>
      </c>
      <c r="P912" t="s">
        <v>1306</v>
      </c>
      <c r="Q912" t="s">
        <v>1294</v>
      </c>
      <c r="S912" t="s">
        <v>1294</v>
      </c>
      <c r="T912" t="s">
        <v>2406</v>
      </c>
      <c r="U912">
        <v>389</v>
      </c>
      <c r="V912" t="s">
        <v>1536</v>
      </c>
    </row>
    <row r="913" spans="1:22" ht="30" x14ac:dyDescent="0.25">
      <c r="A913" t="s">
        <v>1871</v>
      </c>
      <c r="B913" s="1" t="s">
        <v>1330</v>
      </c>
      <c r="C913" s="1" t="s">
        <v>1530</v>
      </c>
      <c r="D913" s="1" t="s">
        <v>1288</v>
      </c>
      <c r="E913" s="1" t="s">
        <v>1504</v>
      </c>
      <c r="F913" t="s">
        <v>2415</v>
      </c>
      <c r="G913" t="s">
        <v>1533</v>
      </c>
      <c r="H913" t="s">
        <v>381</v>
      </c>
      <c r="I913" t="s">
        <v>1285</v>
      </c>
      <c r="J913" t="s">
        <v>1332</v>
      </c>
      <c r="K913" t="s">
        <v>1534</v>
      </c>
      <c r="L913" t="s">
        <v>1535</v>
      </c>
      <c r="M913" t="s">
        <v>1335</v>
      </c>
      <c r="N913">
        <v>52000</v>
      </c>
      <c r="O913" s="1" t="s">
        <v>1336</v>
      </c>
      <c r="P913" t="s">
        <v>1306</v>
      </c>
      <c r="Q913" t="s">
        <v>1294</v>
      </c>
      <c r="S913" t="s">
        <v>1294</v>
      </c>
      <c r="T913" t="s">
        <v>2416</v>
      </c>
      <c r="U913">
        <v>20562</v>
      </c>
      <c r="V913" t="s">
        <v>1536</v>
      </c>
    </row>
    <row r="914" spans="1:22" ht="30" x14ac:dyDescent="0.25">
      <c r="A914" t="s">
        <v>1871</v>
      </c>
      <c r="B914" s="1" t="s">
        <v>1330</v>
      </c>
      <c r="C914" s="1" t="s">
        <v>1530</v>
      </c>
      <c r="D914" s="1" t="s">
        <v>1288</v>
      </c>
      <c r="E914" s="1" t="s">
        <v>1504</v>
      </c>
      <c r="F914" t="s">
        <v>2417</v>
      </c>
      <c r="G914" t="s">
        <v>1533</v>
      </c>
      <c r="H914" t="s">
        <v>381</v>
      </c>
      <c r="I914" t="s">
        <v>1285</v>
      </c>
      <c r="J914" t="s">
        <v>1332</v>
      </c>
      <c r="K914" t="s">
        <v>1534</v>
      </c>
      <c r="L914" t="s">
        <v>1535</v>
      </c>
      <c r="M914" t="s">
        <v>1335</v>
      </c>
      <c r="N914">
        <v>52000</v>
      </c>
      <c r="O914" s="1" t="s">
        <v>1336</v>
      </c>
      <c r="P914" t="s">
        <v>1306</v>
      </c>
      <c r="Q914" t="s">
        <v>1294</v>
      </c>
      <c r="S914" t="s">
        <v>1294</v>
      </c>
      <c r="T914" t="s">
        <v>2418</v>
      </c>
      <c r="U914">
        <v>0</v>
      </c>
      <c r="V914" t="s">
        <v>1536</v>
      </c>
    </row>
    <row r="915" spans="1:22" ht="30" x14ac:dyDescent="0.25">
      <c r="A915" t="s">
        <v>1871</v>
      </c>
      <c r="B915" s="1" t="s">
        <v>1330</v>
      </c>
      <c r="C915" s="1" t="s">
        <v>1530</v>
      </c>
      <c r="D915" s="1" t="s">
        <v>1288</v>
      </c>
      <c r="E915" s="1" t="s">
        <v>1358</v>
      </c>
      <c r="F915" t="s">
        <v>2667</v>
      </c>
      <c r="G915" t="s">
        <v>1533</v>
      </c>
      <c r="H915" t="s">
        <v>381</v>
      </c>
      <c r="I915" t="s">
        <v>1285</v>
      </c>
      <c r="J915" t="s">
        <v>1332</v>
      </c>
      <c r="K915" t="s">
        <v>1534</v>
      </c>
      <c r="L915" t="s">
        <v>1535</v>
      </c>
      <c r="M915" t="s">
        <v>1335</v>
      </c>
      <c r="N915">
        <v>52000</v>
      </c>
      <c r="O915" s="1" t="s">
        <v>1336</v>
      </c>
      <c r="P915" t="s">
        <v>1306</v>
      </c>
      <c r="Q915" t="s">
        <v>1294</v>
      </c>
      <c r="S915" t="s">
        <v>1294</v>
      </c>
      <c r="T915" t="s">
        <v>2668</v>
      </c>
      <c r="U915">
        <v>1732</v>
      </c>
      <c r="V915" t="s">
        <v>1536</v>
      </c>
    </row>
    <row r="916" spans="1:22" ht="30" x14ac:dyDescent="0.25">
      <c r="A916" t="s">
        <v>1871</v>
      </c>
      <c r="B916" s="1" t="s">
        <v>1330</v>
      </c>
      <c r="C916" s="1" t="s">
        <v>1530</v>
      </c>
      <c r="D916" s="1" t="s">
        <v>1288</v>
      </c>
      <c r="E916" s="1" t="s">
        <v>1504</v>
      </c>
      <c r="F916" t="s">
        <v>2894</v>
      </c>
      <c r="G916" t="s">
        <v>1533</v>
      </c>
      <c r="H916" t="s">
        <v>381</v>
      </c>
      <c r="I916" t="s">
        <v>1285</v>
      </c>
      <c r="J916" t="s">
        <v>1332</v>
      </c>
      <c r="K916" t="s">
        <v>1534</v>
      </c>
      <c r="L916" t="s">
        <v>1535</v>
      </c>
      <c r="M916" t="s">
        <v>1335</v>
      </c>
      <c r="N916">
        <v>52000</v>
      </c>
      <c r="O916" s="1" t="s">
        <v>1336</v>
      </c>
      <c r="P916" t="s">
        <v>1306</v>
      </c>
      <c r="Q916" t="s">
        <v>1294</v>
      </c>
      <c r="S916" t="s">
        <v>1294</v>
      </c>
      <c r="T916" t="s">
        <v>2895</v>
      </c>
      <c r="U916">
        <v>10765</v>
      </c>
      <c r="V916" t="s">
        <v>1536</v>
      </c>
    </row>
    <row r="917" spans="1:22" ht="30" x14ac:dyDescent="0.25">
      <c r="A917" t="s">
        <v>1871</v>
      </c>
      <c r="B917" s="1" t="s">
        <v>1330</v>
      </c>
      <c r="C917" s="1" t="s">
        <v>1530</v>
      </c>
      <c r="D917" s="1" t="s">
        <v>1288</v>
      </c>
      <c r="E917" s="1" t="s">
        <v>1504</v>
      </c>
      <c r="F917" t="s">
        <v>3338</v>
      </c>
      <c r="G917" t="s">
        <v>1533</v>
      </c>
      <c r="H917" t="s">
        <v>381</v>
      </c>
      <c r="I917" t="s">
        <v>1285</v>
      </c>
      <c r="J917" t="s">
        <v>1332</v>
      </c>
      <c r="K917" t="s">
        <v>1534</v>
      </c>
      <c r="L917" t="s">
        <v>1535</v>
      </c>
      <c r="M917" t="s">
        <v>1335</v>
      </c>
      <c r="N917">
        <v>52000</v>
      </c>
      <c r="O917" s="1" t="s">
        <v>1336</v>
      </c>
      <c r="P917" t="s">
        <v>1306</v>
      </c>
      <c r="Q917" t="s">
        <v>1294</v>
      </c>
      <c r="S917" t="s">
        <v>1294</v>
      </c>
      <c r="T917" t="s">
        <v>3339</v>
      </c>
      <c r="U917">
        <v>6767</v>
      </c>
      <c r="V917" t="s">
        <v>1536</v>
      </c>
    </row>
    <row r="918" spans="1:22" ht="30" x14ac:dyDescent="0.25">
      <c r="A918" t="s">
        <v>1871</v>
      </c>
      <c r="B918" s="1" t="s">
        <v>1330</v>
      </c>
      <c r="C918" s="1" t="s">
        <v>1530</v>
      </c>
      <c r="D918" s="1" t="s">
        <v>1288</v>
      </c>
      <c r="E918" s="1" t="s">
        <v>1504</v>
      </c>
      <c r="F918" t="s">
        <v>3340</v>
      </c>
      <c r="G918" t="s">
        <v>1533</v>
      </c>
      <c r="H918" t="s">
        <v>381</v>
      </c>
      <c r="I918" t="s">
        <v>1285</v>
      </c>
      <c r="J918" t="s">
        <v>1332</v>
      </c>
      <c r="K918" t="s">
        <v>1534</v>
      </c>
      <c r="L918" t="s">
        <v>1535</v>
      </c>
      <c r="M918" t="s">
        <v>1335</v>
      </c>
      <c r="N918">
        <v>52000</v>
      </c>
      <c r="O918" s="1" t="s">
        <v>1336</v>
      </c>
      <c r="P918" t="s">
        <v>1306</v>
      </c>
      <c r="Q918" t="s">
        <v>1294</v>
      </c>
      <c r="S918" t="s">
        <v>1294</v>
      </c>
      <c r="T918" t="s">
        <v>3341</v>
      </c>
      <c r="U918">
        <v>102</v>
      </c>
      <c r="V918" t="s">
        <v>1536</v>
      </c>
    </row>
    <row r="919" spans="1:22" ht="30" x14ac:dyDescent="0.25">
      <c r="A919" t="s">
        <v>1871</v>
      </c>
      <c r="B919" s="1" t="s">
        <v>1330</v>
      </c>
      <c r="C919" s="1" t="s">
        <v>1530</v>
      </c>
      <c r="D919" s="1" t="s">
        <v>1288</v>
      </c>
      <c r="E919" s="1" t="s">
        <v>1504</v>
      </c>
      <c r="F919" t="s">
        <v>3357</v>
      </c>
      <c r="G919" t="s">
        <v>1533</v>
      </c>
      <c r="H919" t="s">
        <v>381</v>
      </c>
      <c r="I919" t="s">
        <v>1285</v>
      </c>
      <c r="J919" t="s">
        <v>1332</v>
      </c>
      <c r="K919" t="s">
        <v>1534</v>
      </c>
      <c r="L919" t="s">
        <v>1535</v>
      </c>
      <c r="M919" t="s">
        <v>1335</v>
      </c>
      <c r="N919">
        <v>52000</v>
      </c>
      <c r="O919" s="1" t="s">
        <v>1336</v>
      </c>
      <c r="P919" t="s">
        <v>1306</v>
      </c>
      <c r="Q919" t="s">
        <v>1294</v>
      </c>
      <c r="S919" t="s">
        <v>1294</v>
      </c>
      <c r="T919" t="s">
        <v>3358</v>
      </c>
      <c r="U919">
        <v>19537</v>
      </c>
      <c r="V919" t="s">
        <v>1536</v>
      </c>
    </row>
    <row r="920" spans="1:22" ht="30" x14ac:dyDescent="0.25">
      <c r="A920" t="s">
        <v>1871</v>
      </c>
      <c r="B920" s="1" t="s">
        <v>1330</v>
      </c>
      <c r="C920" s="1" t="s">
        <v>1530</v>
      </c>
      <c r="D920" s="1" t="s">
        <v>1288</v>
      </c>
      <c r="E920" s="1" t="s">
        <v>1358</v>
      </c>
      <c r="F920" t="s">
        <v>3380</v>
      </c>
      <c r="G920" t="s">
        <v>1533</v>
      </c>
      <c r="H920" t="s">
        <v>381</v>
      </c>
      <c r="I920" t="s">
        <v>1285</v>
      </c>
      <c r="J920" t="s">
        <v>1332</v>
      </c>
      <c r="K920" t="s">
        <v>1534</v>
      </c>
      <c r="L920" t="s">
        <v>1535</v>
      </c>
      <c r="M920" t="s">
        <v>1335</v>
      </c>
      <c r="N920">
        <v>52000</v>
      </c>
      <c r="O920" s="1" t="s">
        <v>1336</v>
      </c>
      <c r="P920" t="s">
        <v>1306</v>
      </c>
      <c r="Q920" t="s">
        <v>1294</v>
      </c>
      <c r="S920" t="s">
        <v>1294</v>
      </c>
      <c r="T920" t="s">
        <v>3381</v>
      </c>
      <c r="U920">
        <v>16250</v>
      </c>
      <c r="V920" t="s">
        <v>1536</v>
      </c>
    </row>
    <row r="921" spans="1:22" ht="30" x14ac:dyDescent="0.25">
      <c r="A921" t="s">
        <v>1325</v>
      </c>
      <c r="B921" s="1" t="s">
        <v>3489</v>
      </c>
      <c r="C921" s="1" t="s">
        <v>1530</v>
      </c>
      <c r="D921" s="1" t="s">
        <v>1325</v>
      </c>
      <c r="E921" s="1" t="s">
        <v>1410</v>
      </c>
      <c r="F921" t="s">
        <v>3488</v>
      </c>
      <c r="G921" t="s">
        <v>3490</v>
      </c>
      <c r="H921" t="s">
        <v>381</v>
      </c>
      <c r="I921" t="s">
        <v>1285</v>
      </c>
      <c r="J921" t="s">
        <v>1170</v>
      </c>
      <c r="K921" t="s">
        <v>3491</v>
      </c>
      <c r="L921" t="s">
        <v>3492</v>
      </c>
      <c r="M921" t="s">
        <v>1325</v>
      </c>
      <c r="N921">
        <v>59780</v>
      </c>
      <c r="O921" s="1" t="s">
        <v>795</v>
      </c>
      <c r="P921" t="s">
        <v>1306</v>
      </c>
      <c r="Q921" t="s">
        <v>1294</v>
      </c>
      <c r="S921" t="s">
        <v>1294</v>
      </c>
      <c r="T921" t="s">
        <v>1296</v>
      </c>
      <c r="U921">
        <v>0</v>
      </c>
      <c r="V921" t="s">
        <v>3489</v>
      </c>
    </row>
    <row r="922" spans="1:22" x14ac:dyDescent="0.25">
      <c r="A922" t="s">
        <v>1460</v>
      </c>
      <c r="B922" s="1" t="s">
        <v>1812</v>
      </c>
      <c r="C922" s="1" t="s">
        <v>1327</v>
      </c>
      <c r="D922" s="1" t="s">
        <v>1288</v>
      </c>
      <c r="E922" s="1" t="s">
        <v>1350</v>
      </c>
      <c r="F922" t="s">
        <v>1811</v>
      </c>
      <c r="G922" t="s">
        <v>1813</v>
      </c>
      <c r="H922" t="s">
        <v>381</v>
      </c>
      <c r="I922" t="s">
        <v>1285</v>
      </c>
      <c r="J922" t="s">
        <v>1170</v>
      </c>
      <c r="K922" t="s">
        <v>1231</v>
      </c>
      <c r="L922" t="s">
        <v>1814</v>
      </c>
      <c r="M922" t="s">
        <v>1815</v>
      </c>
      <c r="N922" t="s">
        <v>1289</v>
      </c>
      <c r="O922" s="1" t="s">
        <v>1305</v>
      </c>
      <c r="P922" t="s">
        <v>1291</v>
      </c>
      <c r="Q922" t="s">
        <v>1294</v>
      </c>
      <c r="S922" t="s">
        <v>1294</v>
      </c>
      <c r="T922" t="s">
        <v>1816</v>
      </c>
      <c r="U922">
        <v>0</v>
      </c>
      <c r="V922" t="s">
        <v>1812</v>
      </c>
    </row>
    <row r="923" spans="1:22" ht="30" x14ac:dyDescent="0.25">
      <c r="A923" t="s">
        <v>1460</v>
      </c>
      <c r="B923" s="1" t="s">
        <v>1812</v>
      </c>
      <c r="C923" s="1" t="s">
        <v>1295</v>
      </c>
      <c r="D923" s="1" t="s">
        <v>1288</v>
      </c>
      <c r="E923" s="1" t="s">
        <v>1293</v>
      </c>
      <c r="F923" t="s">
        <v>1860</v>
      </c>
      <c r="G923" t="s">
        <v>1813</v>
      </c>
      <c r="H923" t="s">
        <v>381</v>
      </c>
      <c r="I923" t="s">
        <v>1285</v>
      </c>
      <c r="J923" t="s">
        <v>1170</v>
      </c>
      <c r="K923" t="s">
        <v>1231</v>
      </c>
      <c r="L923" t="s">
        <v>1814</v>
      </c>
      <c r="M923" t="s">
        <v>1815</v>
      </c>
      <c r="N923" t="s">
        <v>1289</v>
      </c>
      <c r="O923" s="1" t="s">
        <v>1305</v>
      </c>
      <c r="P923" t="s">
        <v>1291</v>
      </c>
      <c r="Q923" t="s">
        <v>1294</v>
      </c>
      <c r="S923" t="s">
        <v>1294</v>
      </c>
      <c r="T923" t="s">
        <v>1861</v>
      </c>
      <c r="U923">
        <v>0</v>
      </c>
      <c r="V923" t="s">
        <v>1812</v>
      </c>
    </row>
    <row r="924" spans="1:22" x14ac:dyDescent="0.25">
      <c r="A924" t="s">
        <v>1871</v>
      </c>
      <c r="B924" s="1" t="s">
        <v>1812</v>
      </c>
      <c r="C924" s="1" t="s">
        <v>1530</v>
      </c>
      <c r="D924" s="1" t="s">
        <v>1288</v>
      </c>
      <c r="E924" s="1" t="s">
        <v>1358</v>
      </c>
      <c r="F924" t="s">
        <v>2973</v>
      </c>
      <c r="G924" t="s">
        <v>1813</v>
      </c>
      <c r="H924" t="s">
        <v>381</v>
      </c>
      <c r="I924" t="s">
        <v>1285</v>
      </c>
      <c r="J924" t="s">
        <v>1170</v>
      </c>
      <c r="K924" t="s">
        <v>1231</v>
      </c>
      <c r="L924" t="s">
        <v>1814</v>
      </c>
      <c r="M924" t="s">
        <v>1815</v>
      </c>
      <c r="N924" t="s">
        <v>1289</v>
      </c>
      <c r="O924" s="1" t="s">
        <v>1305</v>
      </c>
      <c r="P924" t="s">
        <v>1291</v>
      </c>
      <c r="Q924" t="s">
        <v>1294</v>
      </c>
      <c r="S924" t="s">
        <v>1294</v>
      </c>
      <c r="T924" t="s">
        <v>2974</v>
      </c>
      <c r="U924">
        <v>0</v>
      </c>
      <c r="V924" t="s">
        <v>1812</v>
      </c>
    </row>
    <row r="925" spans="1:22" ht="30" x14ac:dyDescent="0.25">
      <c r="A925" t="s">
        <v>1281</v>
      </c>
      <c r="B925" s="1" t="s">
        <v>1420</v>
      </c>
      <c r="C925" s="1" t="s">
        <v>1345</v>
      </c>
      <c r="D925" s="1" t="s">
        <v>1288</v>
      </c>
      <c r="E925" s="1" t="s">
        <v>1350</v>
      </c>
      <c r="F925" t="s">
        <v>1419</v>
      </c>
      <c r="G925" t="s">
        <v>1421</v>
      </c>
      <c r="H925" t="s">
        <v>381</v>
      </c>
      <c r="I925" t="s">
        <v>1285</v>
      </c>
      <c r="J925" t="s">
        <v>1170</v>
      </c>
      <c r="K925" t="s">
        <v>1234</v>
      </c>
      <c r="L925" t="s">
        <v>1422</v>
      </c>
      <c r="M925" t="s">
        <v>1423</v>
      </c>
      <c r="N925" t="s">
        <v>1289</v>
      </c>
      <c r="O925" s="1" t="s">
        <v>1305</v>
      </c>
      <c r="P925" t="s">
        <v>1291</v>
      </c>
      <c r="Q925" t="s">
        <v>1294</v>
      </c>
      <c r="S925" t="s">
        <v>1294</v>
      </c>
      <c r="T925" t="s">
        <v>1296</v>
      </c>
      <c r="U925">
        <v>0</v>
      </c>
      <c r="V925" t="s">
        <v>1420</v>
      </c>
    </row>
    <row r="926" spans="1:22" ht="30" x14ac:dyDescent="0.25">
      <c r="A926" t="s">
        <v>1281</v>
      </c>
      <c r="B926" s="1" t="s">
        <v>1420</v>
      </c>
      <c r="C926" s="1" t="s">
        <v>1327</v>
      </c>
      <c r="D926" s="1" t="s">
        <v>1288</v>
      </c>
      <c r="E926" s="1" t="s">
        <v>1350</v>
      </c>
      <c r="F926" t="s">
        <v>1432</v>
      </c>
      <c r="G926" t="s">
        <v>1421</v>
      </c>
      <c r="H926" t="s">
        <v>381</v>
      </c>
      <c r="I926" t="s">
        <v>1285</v>
      </c>
      <c r="J926" t="s">
        <v>1170</v>
      </c>
      <c r="K926" t="s">
        <v>1234</v>
      </c>
      <c r="L926" t="s">
        <v>1422</v>
      </c>
      <c r="M926" t="s">
        <v>1423</v>
      </c>
      <c r="N926" t="s">
        <v>1289</v>
      </c>
      <c r="O926" s="1" t="s">
        <v>1305</v>
      </c>
      <c r="P926" t="s">
        <v>1291</v>
      </c>
      <c r="Q926" t="s">
        <v>1294</v>
      </c>
      <c r="S926" t="s">
        <v>1294</v>
      </c>
      <c r="T926" t="s">
        <v>1296</v>
      </c>
      <c r="U926">
        <v>0</v>
      </c>
      <c r="V926" t="s">
        <v>1420</v>
      </c>
    </row>
    <row r="927" spans="1:22" ht="30" x14ac:dyDescent="0.25">
      <c r="A927" t="s">
        <v>1460</v>
      </c>
      <c r="B927" s="1" t="s">
        <v>1420</v>
      </c>
      <c r="C927" s="1" t="s">
        <v>1345</v>
      </c>
      <c r="D927" s="1" t="s">
        <v>1288</v>
      </c>
      <c r="E927" s="1" t="s">
        <v>1350</v>
      </c>
      <c r="F927" t="s">
        <v>1795</v>
      </c>
      <c r="G927" t="s">
        <v>1421</v>
      </c>
      <c r="H927" t="s">
        <v>381</v>
      </c>
      <c r="I927" t="s">
        <v>1285</v>
      </c>
      <c r="J927" t="s">
        <v>1170</v>
      </c>
      <c r="K927" t="s">
        <v>1234</v>
      </c>
      <c r="L927" t="s">
        <v>1422</v>
      </c>
      <c r="M927" t="s">
        <v>1423</v>
      </c>
      <c r="N927" t="s">
        <v>1289</v>
      </c>
      <c r="O927" s="1" t="s">
        <v>1305</v>
      </c>
      <c r="P927" t="s">
        <v>1291</v>
      </c>
      <c r="Q927" t="s">
        <v>1294</v>
      </c>
      <c r="S927" t="s">
        <v>1294</v>
      </c>
      <c r="T927" t="s">
        <v>1796</v>
      </c>
      <c r="U927">
        <v>0</v>
      </c>
      <c r="V927" t="s">
        <v>1420</v>
      </c>
    </row>
    <row r="928" spans="1:22" ht="30" x14ac:dyDescent="0.25">
      <c r="A928" t="s">
        <v>1460</v>
      </c>
      <c r="B928" s="1" t="s">
        <v>1420</v>
      </c>
      <c r="C928" s="1" t="s">
        <v>1345</v>
      </c>
      <c r="D928" s="1" t="s">
        <v>1288</v>
      </c>
      <c r="E928" s="1" t="s">
        <v>1350</v>
      </c>
      <c r="F928" t="s">
        <v>1817</v>
      </c>
      <c r="G928" t="s">
        <v>1421</v>
      </c>
      <c r="H928" t="s">
        <v>381</v>
      </c>
      <c r="I928" t="s">
        <v>1285</v>
      </c>
      <c r="J928" t="s">
        <v>1170</v>
      </c>
      <c r="K928" t="s">
        <v>1234</v>
      </c>
      <c r="L928" t="s">
        <v>1422</v>
      </c>
      <c r="M928" t="s">
        <v>1423</v>
      </c>
      <c r="N928" t="s">
        <v>1289</v>
      </c>
      <c r="O928" s="1" t="s">
        <v>1305</v>
      </c>
      <c r="P928" t="s">
        <v>1291</v>
      </c>
      <c r="Q928" t="s">
        <v>1294</v>
      </c>
      <c r="S928" t="s">
        <v>1294</v>
      </c>
      <c r="T928" t="s">
        <v>1818</v>
      </c>
      <c r="U928">
        <v>0</v>
      </c>
      <c r="V928" t="s">
        <v>1420</v>
      </c>
    </row>
    <row r="929" spans="1:22" ht="30" x14ac:dyDescent="0.25">
      <c r="A929" t="s">
        <v>1460</v>
      </c>
      <c r="B929" s="1" t="s">
        <v>1420</v>
      </c>
      <c r="C929" s="1" t="s">
        <v>1345</v>
      </c>
      <c r="D929" s="1" t="s">
        <v>1288</v>
      </c>
      <c r="E929" s="1" t="s">
        <v>1350</v>
      </c>
      <c r="F929" t="s">
        <v>1823</v>
      </c>
      <c r="G929" t="s">
        <v>1421</v>
      </c>
      <c r="H929" t="s">
        <v>381</v>
      </c>
      <c r="I929" t="s">
        <v>1285</v>
      </c>
      <c r="J929" t="s">
        <v>1170</v>
      </c>
      <c r="K929" t="s">
        <v>1234</v>
      </c>
      <c r="L929" t="s">
        <v>1422</v>
      </c>
      <c r="M929" t="s">
        <v>1423</v>
      </c>
      <c r="N929" t="s">
        <v>1289</v>
      </c>
      <c r="O929" s="1" t="s">
        <v>1305</v>
      </c>
      <c r="P929" t="s">
        <v>1291</v>
      </c>
      <c r="Q929" t="s">
        <v>1294</v>
      </c>
      <c r="S929" t="s">
        <v>1294</v>
      </c>
      <c r="T929" t="s">
        <v>1824</v>
      </c>
      <c r="U929">
        <v>0</v>
      </c>
      <c r="V929" t="s">
        <v>1420</v>
      </c>
    </row>
    <row r="930" spans="1:22" ht="30" x14ac:dyDescent="0.25">
      <c r="A930" t="s">
        <v>1460</v>
      </c>
      <c r="B930" s="1" t="s">
        <v>1420</v>
      </c>
      <c r="C930" s="1" t="s">
        <v>1327</v>
      </c>
      <c r="D930" s="1" t="s">
        <v>1288</v>
      </c>
      <c r="E930" s="1" t="s">
        <v>1350</v>
      </c>
      <c r="F930" t="s">
        <v>1825</v>
      </c>
      <c r="G930" t="s">
        <v>1421</v>
      </c>
      <c r="H930" t="s">
        <v>381</v>
      </c>
      <c r="I930" t="s">
        <v>1285</v>
      </c>
      <c r="J930" t="s">
        <v>1170</v>
      </c>
      <c r="K930" t="s">
        <v>1234</v>
      </c>
      <c r="L930" t="s">
        <v>1422</v>
      </c>
      <c r="M930" t="s">
        <v>1423</v>
      </c>
      <c r="N930" t="s">
        <v>1289</v>
      </c>
      <c r="O930" s="1" t="s">
        <v>1305</v>
      </c>
      <c r="P930" t="s">
        <v>1291</v>
      </c>
      <c r="Q930" t="s">
        <v>1294</v>
      </c>
      <c r="S930" t="s">
        <v>1294</v>
      </c>
      <c r="T930" t="s">
        <v>1826</v>
      </c>
      <c r="U930">
        <v>0</v>
      </c>
      <c r="V930" t="s">
        <v>1420</v>
      </c>
    </row>
    <row r="931" spans="1:22" ht="30" x14ac:dyDescent="0.25">
      <c r="A931" t="s">
        <v>1871</v>
      </c>
      <c r="B931" s="1" t="s">
        <v>1420</v>
      </c>
      <c r="C931" s="1" t="s">
        <v>1530</v>
      </c>
      <c r="D931" s="1" t="s">
        <v>1288</v>
      </c>
      <c r="E931" s="1" t="s">
        <v>1462</v>
      </c>
      <c r="F931" t="s">
        <v>1971</v>
      </c>
      <c r="G931" t="s">
        <v>1421</v>
      </c>
      <c r="H931" t="s">
        <v>381</v>
      </c>
      <c r="I931" t="s">
        <v>1285</v>
      </c>
      <c r="J931" t="s">
        <v>1170</v>
      </c>
      <c r="K931" t="s">
        <v>1234</v>
      </c>
      <c r="L931" t="s">
        <v>1422</v>
      </c>
      <c r="M931" t="s">
        <v>1423</v>
      </c>
      <c r="N931" t="s">
        <v>1289</v>
      </c>
      <c r="O931" s="1" t="s">
        <v>1305</v>
      </c>
      <c r="P931" t="s">
        <v>1291</v>
      </c>
      <c r="Q931" t="s">
        <v>1294</v>
      </c>
      <c r="S931" t="s">
        <v>1294</v>
      </c>
      <c r="T931" t="s">
        <v>1972</v>
      </c>
      <c r="U931">
        <v>0</v>
      </c>
      <c r="V931" t="s">
        <v>1420</v>
      </c>
    </row>
    <row r="932" spans="1:22" ht="30" x14ac:dyDescent="0.25">
      <c r="A932" t="s">
        <v>1871</v>
      </c>
      <c r="B932" s="1" t="s">
        <v>1420</v>
      </c>
      <c r="C932" s="1" t="s">
        <v>1530</v>
      </c>
      <c r="D932" s="1" t="s">
        <v>1288</v>
      </c>
      <c r="E932" s="1" t="s">
        <v>1462</v>
      </c>
      <c r="F932" t="s">
        <v>1973</v>
      </c>
      <c r="G932" t="s">
        <v>1421</v>
      </c>
      <c r="H932" t="s">
        <v>381</v>
      </c>
      <c r="I932" t="s">
        <v>1285</v>
      </c>
      <c r="J932" t="s">
        <v>1170</v>
      </c>
      <c r="K932" t="s">
        <v>1234</v>
      </c>
      <c r="L932" t="s">
        <v>1422</v>
      </c>
      <c r="M932" t="s">
        <v>1423</v>
      </c>
      <c r="N932" t="s">
        <v>1289</v>
      </c>
      <c r="O932" s="1" t="s">
        <v>1305</v>
      </c>
      <c r="P932" t="s">
        <v>1291</v>
      </c>
      <c r="Q932" t="s">
        <v>1294</v>
      </c>
      <c r="S932" t="s">
        <v>1294</v>
      </c>
      <c r="T932" t="s">
        <v>1974</v>
      </c>
      <c r="U932">
        <v>0</v>
      </c>
      <c r="V932" t="s">
        <v>1420</v>
      </c>
    </row>
    <row r="933" spans="1:22" ht="30" x14ac:dyDescent="0.25">
      <c r="A933" t="s">
        <v>1871</v>
      </c>
      <c r="B933" s="1" t="s">
        <v>1420</v>
      </c>
      <c r="C933" s="1" t="s">
        <v>1530</v>
      </c>
      <c r="D933" s="1" t="s">
        <v>1288</v>
      </c>
      <c r="E933" s="1" t="s">
        <v>1293</v>
      </c>
      <c r="F933" t="s">
        <v>2076</v>
      </c>
      <c r="G933" t="s">
        <v>1421</v>
      </c>
      <c r="H933" t="s">
        <v>381</v>
      </c>
      <c r="I933" t="s">
        <v>1285</v>
      </c>
      <c r="J933" t="s">
        <v>1170</v>
      </c>
      <c r="K933" t="s">
        <v>1234</v>
      </c>
      <c r="L933" t="s">
        <v>1422</v>
      </c>
      <c r="M933" t="s">
        <v>1423</v>
      </c>
      <c r="N933" t="s">
        <v>1289</v>
      </c>
      <c r="O933" s="1" t="s">
        <v>1305</v>
      </c>
      <c r="P933" t="s">
        <v>1291</v>
      </c>
      <c r="Q933" t="s">
        <v>1294</v>
      </c>
      <c r="S933" t="s">
        <v>1294</v>
      </c>
      <c r="T933" t="s">
        <v>2077</v>
      </c>
      <c r="U933">
        <v>0</v>
      </c>
      <c r="V933" t="s">
        <v>1420</v>
      </c>
    </row>
    <row r="934" spans="1:22" ht="30" x14ac:dyDescent="0.25">
      <c r="A934" t="s">
        <v>1871</v>
      </c>
      <c r="B934" s="1" t="s">
        <v>1420</v>
      </c>
      <c r="C934" s="1" t="s">
        <v>1530</v>
      </c>
      <c r="D934" s="1" t="s">
        <v>1288</v>
      </c>
      <c r="E934" s="1" t="s">
        <v>1293</v>
      </c>
      <c r="F934" t="s">
        <v>2084</v>
      </c>
      <c r="G934" t="s">
        <v>1421</v>
      </c>
      <c r="H934" t="s">
        <v>381</v>
      </c>
      <c r="I934" t="s">
        <v>1285</v>
      </c>
      <c r="J934" t="s">
        <v>1170</v>
      </c>
      <c r="K934" t="s">
        <v>1234</v>
      </c>
      <c r="L934" t="s">
        <v>1422</v>
      </c>
      <c r="M934" t="s">
        <v>1423</v>
      </c>
      <c r="N934" t="s">
        <v>1289</v>
      </c>
      <c r="O934" s="1" t="s">
        <v>1305</v>
      </c>
      <c r="P934" t="s">
        <v>1291</v>
      </c>
      <c r="Q934" t="s">
        <v>1294</v>
      </c>
      <c r="S934" t="s">
        <v>1294</v>
      </c>
      <c r="T934" t="s">
        <v>2085</v>
      </c>
      <c r="U934">
        <v>0</v>
      </c>
      <c r="V934" t="s">
        <v>1420</v>
      </c>
    </row>
    <row r="935" spans="1:22" ht="30" x14ac:dyDescent="0.25">
      <c r="A935" t="s">
        <v>1871</v>
      </c>
      <c r="B935" s="1" t="s">
        <v>1420</v>
      </c>
      <c r="C935" s="1" t="s">
        <v>1530</v>
      </c>
      <c r="D935" s="1" t="s">
        <v>1288</v>
      </c>
      <c r="E935" s="1" t="s">
        <v>1293</v>
      </c>
      <c r="F935" t="s">
        <v>2094</v>
      </c>
      <c r="G935" t="s">
        <v>1421</v>
      </c>
      <c r="H935" t="s">
        <v>381</v>
      </c>
      <c r="I935" t="s">
        <v>1285</v>
      </c>
      <c r="J935" t="s">
        <v>1170</v>
      </c>
      <c r="K935" t="s">
        <v>1234</v>
      </c>
      <c r="L935" t="s">
        <v>1422</v>
      </c>
      <c r="M935" t="s">
        <v>1423</v>
      </c>
      <c r="N935" t="s">
        <v>1289</v>
      </c>
      <c r="O935" s="1" t="s">
        <v>1305</v>
      </c>
      <c r="P935" t="s">
        <v>1291</v>
      </c>
      <c r="Q935" t="s">
        <v>1294</v>
      </c>
      <c r="S935" t="s">
        <v>1294</v>
      </c>
      <c r="T935" t="s">
        <v>2095</v>
      </c>
      <c r="U935">
        <v>0</v>
      </c>
      <c r="V935" t="s">
        <v>1420</v>
      </c>
    </row>
    <row r="936" spans="1:22" ht="30" x14ac:dyDescent="0.25">
      <c r="A936" t="s">
        <v>1871</v>
      </c>
      <c r="B936" s="1" t="s">
        <v>1420</v>
      </c>
      <c r="C936" s="1" t="s">
        <v>1530</v>
      </c>
      <c r="D936" s="1" t="s">
        <v>1288</v>
      </c>
      <c r="E936" s="1" t="s">
        <v>1368</v>
      </c>
      <c r="F936" t="s">
        <v>2862</v>
      </c>
      <c r="G936" t="s">
        <v>1421</v>
      </c>
      <c r="H936" t="s">
        <v>381</v>
      </c>
      <c r="I936" t="s">
        <v>1285</v>
      </c>
      <c r="J936" t="s">
        <v>1170</v>
      </c>
      <c r="K936" t="s">
        <v>1234</v>
      </c>
      <c r="L936" t="s">
        <v>1422</v>
      </c>
      <c r="M936" t="s">
        <v>1423</v>
      </c>
      <c r="N936" t="s">
        <v>1289</v>
      </c>
      <c r="O936" s="1" t="s">
        <v>1305</v>
      </c>
      <c r="P936" t="s">
        <v>1291</v>
      </c>
      <c r="Q936" t="s">
        <v>1294</v>
      </c>
      <c r="S936" t="s">
        <v>1294</v>
      </c>
      <c r="T936" t="s">
        <v>2863</v>
      </c>
      <c r="U936">
        <v>0</v>
      </c>
      <c r="V936" t="s">
        <v>1420</v>
      </c>
    </row>
    <row r="937" spans="1:22" ht="30" x14ac:dyDescent="0.25">
      <c r="A937" t="s">
        <v>1871</v>
      </c>
      <c r="B937" s="1" t="s">
        <v>1420</v>
      </c>
      <c r="C937" s="1" t="s">
        <v>1530</v>
      </c>
      <c r="D937" s="1" t="s">
        <v>1288</v>
      </c>
      <c r="E937" s="1" t="s">
        <v>1368</v>
      </c>
      <c r="F937" t="s">
        <v>2864</v>
      </c>
      <c r="G937" t="s">
        <v>1421</v>
      </c>
      <c r="H937" t="s">
        <v>381</v>
      </c>
      <c r="I937" t="s">
        <v>1285</v>
      </c>
      <c r="J937" t="s">
        <v>1170</v>
      </c>
      <c r="K937" t="s">
        <v>1234</v>
      </c>
      <c r="L937" t="s">
        <v>1422</v>
      </c>
      <c r="M937" t="s">
        <v>1423</v>
      </c>
      <c r="N937" t="s">
        <v>1289</v>
      </c>
      <c r="O937" s="1" t="s">
        <v>1305</v>
      </c>
      <c r="P937" t="s">
        <v>1291</v>
      </c>
      <c r="Q937" t="s">
        <v>1294</v>
      </c>
      <c r="S937" t="s">
        <v>1294</v>
      </c>
      <c r="T937" t="s">
        <v>2865</v>
      </c>
      <c r="U937">
        <v>0</v>
      </c>
      <c r="V937" t="s">
        <v>1420</v>
      </c>
    </row>
    <row r="938" spans="1:22" ht="30" x14ac:dyDescent="0.25">
      <c r="A938" t="s">
        <v>1871</v>
      </c>
      <c r="B938" s="1" t="s">
        <v>1420</v>
      </c>
      <c r="C938" s="1" t="s">
        <v>1530</v>
      </c>
      <c r="D938" s="1" t="s">
        <v>1288</v>
      </c>
      <c r="E938" s="1" t="s">
        <v>1368</v>
      </c>
      <c r="F938" t="s">
        <v>3130</v>
      </c>
      <c r="G938" t="s">
        <v>1421</v>
      </c>
      <c r="H938" t="s">
        <v>381</v>
      </c>
      <c r="I938" t="s">
        <v>1285</v>
      </c>
      <c r="J938" t="s">
        <v>1170</v>
      </c>
      <c r="K938" t="s">
        <v>1234</v>
      </c>
      <c r="L938" t="s">
        <v>1422</v>
      </c>
      <c r="M938" t="s">
        <v>1423</v>
      </c>
      <c r="N938" t="s">
        <v>1289</v>
      </c>
      <c r="O938" s="1" t="s">
        <v>1305</v>
      </c>
      <c r="P938" t="s">
        <v>1291</v>
      </c>
      <c r="Q938" t="s">
        <v>1294</v>
      </c>
      <c r="S938" t="s">
        <v>1294</v>
      </c>
      <c r="T938" t="s">
        <v>3131</v>
      </c>
      <c r="U938">
        <v>0</v>
      </c>
      <c r="V938" t="s">
        <v>1420</v>
      </c>
    </row>
    <row r="939" spans="1:22" ht="30" x14ac:dyDescent="0.25">
      <c r="A939" t="s">
        <v>1871</v>
      </c>
      <c r="B939" s="1" t="s">
        <v>1420</v>
      </c>
      <c r="C939" s="1" t="s">
        <v>1530</v>
      </c>
      <c r="D939" s="1" t="s">
        <v>1288</v>
      </c>
      <c r="E939" s="1" t="s">
        <v>1350</v>
      </c>
      <c r="F939" t="s">
        <v>3267</v>
      </c>
      <c r="G939" t="s">
        <v>1421</v>
      </c>
      <c r="H939" t="s">
        <v>381</v>
      </c>
      <c r="I939" t="s">
        <v>1285</v>
      </c>
      <c r="J939" t="s">
        <v>1170</v>
      </c>
      <c r="K939" t="s">
        <v>1234</v>
      </c>
      <c r="L939" t="s">
        <v>1422</v>
      </c>
      <c r="M939" t="s">
        <v>1423</v>
      </c>
      <c r="N939" t="s">
        <v>1289</v>
      </c>
      <c r="O939" s="1" t="s">
        <v>1305</v>
      </c>
      <c r="P939" t="s">
        <v>1291</v>
      </c>
      <c r="Q939" t="s">
        <v>1294</v>
      </c>
      <c r="S939" t="s">
        <v>1294</v>
      </c>
      <c r="T939" t="s">
        <v>3268</v>
      </c>
      <c r="U939">
        <v>0</v>
      </c>
      <c r="V939" t="s">
        <v>1420</v>
      </c>
    </row>
    <row r="940" spans="1:22" ht="30" x14ac:dyDescent="0.25">
      <c r="A940" t="s">
        <v>1871</v>
      </c>
      <c r="B940" s="1" t="s">
        <v>1420</v>
      </c>
      <c r="C940" s="1" t="s">
        <v>1530</v>
      </c>
      <c r="D940" s="1" t="s">
        <v>1288</v>
      </c>
      <c r="E940" s="1" t="s">
        <v>1350</v>
      </c>
      <c r="F940" t="s">
        <v>3286</v>
      </c>
      <c r="G940" t="s">
        <v>1421</v>
      </c>
      <c r="H940" t="s">
        <v>381</v>
      </c>
      <c r="I940" t="s">
        <v>1285</v>
      </c>
      <c r="J940" t="s">
        <v>1170</v>
      </c>
      <c r="K940" t="s">
        <v>1234</v>
      </c>
      <c r="L940" t="s">
        <v>1422</v>
      </c>
      <c r="M940" t="s">
        <v>1423</v>
      </c>
      <c r="N940" t="s">
        <v>1289</v>
      </c>
      <c r="O940" s="1" t="s">
        <v>1305</v>
      </c>
      <c r="P940" t="s">
        <v>1291</v>
      </c>
      <c r="Q940" t="s">
        <v>1294</v>
      </c>
      <c r="S940" t="s">
        <v>1294</v>
      </c>
      <c r="T940" t="s">
        <v>3287</v>
      </c>
      <c r="U940">
        <v>0</v>
      </c>
      <c r="V940" t="s">
        <v>1420</v>
      </c>
    </row>
    <row r="941" spans="1:22" ht="30" x14ac:dyDescent="0.25">
      <c r="A941" t="s">
        <v>1871</v>
      </c>
      <c r="B941" s="1" t="s">
        <v>1420</v>
      </c>
      <c r="C941" s="1" t="s">
        <v>1530</v>
      </c>
      <c r="D941" s="1" t="s">
        <v>1288</v>
      </c>
      <c r="E941" s="1" t="s">
        <v>1462</v>
      </c>
      <c r="F941" t="s">
        <v>3429</v>
      </c>
      <c r="G941" t="s">
        <v>1421</v>
      </c>
      <c r="H941" t="s">
        <v>381</v>
      </c>
      <c r="I941" t="s">
        <v>1285</v>
      </c>
      <c r="J941" t="s">
        <v>1170</v>
      </c>
      <c r="K941" t="s">
        <v>1234</v>
      </c>
      <c r="L941" t="s">
        <v>1422</v>
      </c>
      <c r="M941" t="s">
        <v>1423</v>
      </c>
      <c r="N941" t="s">
        <v>1289</v>
      </c>
      <c r="O941" s="1" t="s">
        <v>1305</v>
      </c>
      <c r="P941" t="s">
        <v>1291</v>
      </c>
      <c r="Q941" t="s">
        <v>1294</v>
      </c>
      <c r="S941" t="s">
        <v>1294</v>
      </c>
      <c r="T941" t="s">
        <v>3430</v>
      </c>
      <c r="U941">
        <v>0</v>
      </c>
      <c r="V941" t="s">
        <v>1420</v>
      </c>
    </row>
    <row r="942" spans="1:22" ht="30" x14ac:dyDescent="0.25">
      <c r="A942" t="s">
        <v>1871</v>
      </c>
      <c r="B942" s="1" t="s">
        <v>1420</v>
      </c>
      <c r="C942" s="1" t="s">
        <v>1530</v>
      </c>
      <c r="D942" s="1" t="s">
        <v>1288</v>
      </c>
      <c r="E942" s="1" t="s">
        <v>1462</v>
      </c>
      <c r="F942" t="s">
        <v>3431</v>
      </c>
      <c r="G942" t="s">
        <v>1421</v>
      </c>
      <c r="H942" t="s">
        <v>381</v>
      </c>
      <c r="I942" t="s">
        <v>1285</v>
      </c>
      <c r="J942" t="s">
        <v>1170</v>
      </c>
      <c r="K942" t="s">
        <v>1234</v>
      </c>
      <c r="L942" t="s">
        <v>1422</v>
      </c>
      <c r="M942" t="s">
        <v>1423</v>
      </c>
      <c r="N942" t="s">
        <v>1289</v>
      </c>
      <c r="O942" s="1" t="s">
        <v>1305</v>
      </c>
      <c r="P942" t="s">
        <v>1291</v>
      </c>
      <c r="Q942" t="s">
        <v>1294</v>
      </c>
      <c r="S942" t="s">
        <v>1294</v>
      </c>
      <c r="T942" t="s">
        <v>3432</v>
      </c>
      <c r="U942">
        <v>0</v>
      </c>
      <c r="V942" t="s">
        <v>1420</v>
      </c>
    </row>
    <row r="943" spans="1:22" ht="30" x14ac:dyDescent="0.25">
      <c r="A943" t="s">
        <v>1871</v>
      </c>
      <c r="B943" s="1" t="s">
        <v>1420</v>
      </c>
      <c r="C943" s="1" t="s">
        <v>1530</v>
      </c>
      <c r="D943" s="1" t="s">
        <v>1288</v>
      </c>
      <c r="E943" s="1" t="s">
        <v>1462</v>
      </c>
      <c r="F943" t="s">
        <v>3433</v>
      </c>
      <c r="G943" t="s">
        <v>1421</v>
      </c>
      <c r="H943" t="s">
        <v>381</v>
      </c>
      <c r="I943" t="s">
        <v>1285</v>
      </c>
      <c r="J943" t="s">
        <v>1170</v>
      </c>
      <c r="K943" t="s">
        <v>1234</v>
      </c>
      <c r="L943" t="s">
        <v>1422</v>
      </c>
      <c r="M943" t="s">
        <v>1423</v>
      </c>
      <c r="N943" t="s">
        <v>1289</v>
      </c>
      <c r="O943" s="1" t="s">
        <v>1305</v>
      </c>
      <c r="P943" t="s">
        <v>1291</v>
      </c>
      <c r="Q943" t="s">
        <v>1294</v>
      </c>
      <c r="S943" t="s">
        <v>1294</v>
      </c>
      <c r="T943" t="s">
        <v>3434</v>
      </c>
      <c r="U943">
        <v>0</v>
      </c>
      <c r="V943" t="s">
        <v>1420</v>
      </c>
    </row>
    <row r="944" spans="1:22" ht="30" x14ac:dyDescent="0.25">
      <c r="A944" t="s">
        <v>1871</v>
      </c>
      <c r="B944" s="1" t="s">
        <v>1420</v>
      </c>
      <c r="C944" s="1" t="s">
        <v>1530</v>
      </c>
      <c r="D944" s="1" t="s">
        <v>1288</v>
      </c>
      <c r="E944" s="1" t="s">
        <v>1462</v>
      </c>
      <c r="F944" t="s">
        <v>3435</v>
      </c>
      <c r="G944" t="s">
        <v>1421</v>
      </c>
      <c r="H944" t="s">
        <v>381</v>
      </c>
      <c r="I944" t="s">
        <v>1285</v>
      </c>
      <c r="J944" t="s">
        <v>1170</v>
      </c>
      <c r="K944" t="s">
        <v>1234</v>
      </c>
      <c r="L944" t="s">
        <v>1422</v>
      </c>
      <c r="M944" t="s">
        <v>1423</v>
      </c>
      <c r="N944" t="s">
        <v>1289</v>
      </c>
      <c r="O944" s="1" t="s">
        <v>1305</v>
      </c>
      <c r="P944" t="s">
        <v>1291</v>
      </c>
      <c r="Q944" t="s">
        <v>1294</v>
      </c>
      <c r="S944" t="s">
        <v>1294</v>
      </c>
      <c r="T944" t="s">
        <v>3436</v>
      </c>
      <c r="U944">
        <v>0</v>
      </c>
      <c r="V944" t="s">
        <v>1420</v>
      </c>
    </row>
    <row r="945" spans="1:22" ht="30" x14ac:dyDescent="0.25">
      <c r="A945" t="s">
        <v>1871</v>
      </c>
      <c r="B945" s="1" t="s">
        <v>1420</v>
      </c>
      <c r="C945" s="1" t="s">
        <v>1530</v>
      </c>
      <c r="D945" s="1" t="s">
        <v>1288</v>
      </c>
      <c r="E945" s="1" t="s">
        <v>1462</v>
      </c>
      <c r="F945" t="s">
        <v>3437</v>
      </c>
      <c r="G945" t="s">
        <v>1421</v>
      </c>
      <c r="H945" t="s">
        <v>381</v>
      </c>
      <c r="I945" t="s">
        <v>1285</v>
      </c>
      <c r="J945" t="s">
        <v>1170</v>
      </c>
      <c r="K945" t="s">
        <v>1234</v>
      </c>
      <c r="L945" t="s">
        <v>1422</v>
      </c>
      <c r="M945" t="s">
        <v>1423</v>
      </c>
      <c r="N945" t="s">
        <v>1289</v>
      </c>
      <c r="O945" s="1" t="s">
        <v>1305</v>
      </c>
      <c r="P945" t="s">
        <v>1291</v>
      </c>
      <c r="Q945" t="s">
        <v>1294</v>
      </c>
      <c r="S945" t="s">
        <v>1294</v>
      </c>
      <c r="T945" t="s">
        <v>3438</v>
      </c>
      <c r="U945">
        <v>0</v>
      </c>
      <c r="V945" t="s">
        <v>1420</v>
      </c>
    </row>
    <row r="946" spans="1:22" ht="30" x14ac:dyDescent="0.25">
      <c r="A946" t="s">
        <v>1871</v>
      </c>
      <c r="B946" s="1" t="s">
        <v>1420</v>
      </c>
      <c r="C946" s="1" t="s">
        <v>1530</v>
      </c>
      <c r="D946" s="1" t="s">
        <v>1288</v>
      </c>
      <c r="E946" s="1" t="s">
        <v>1462</v>
      </c>
      <c r="F946" t="s">
        <v>3439</v>
      </c>
      <c r="G946" t="s">
        <v>1421</v>
      </c>
      <c r="H946" t="s">
        <v>381</v>
      </c>
      <c r="I946" t="s">
        <v>1285</v>
      </c>
      <c r="J946" t="s">
        <v>1170</v>
      </c>
      <c r="K946" t="s">
        <v>1234</v>
      </c>
      <c r="L946" t="s">
        <v>1422</v>
      </c>
      <c r="M946" t="s">
        <v>1423</v>
      </c>
      <c r="N946" t="s">
        <v>1289</v>
      </c>
      <c r="O946" s="1" t="s">
        <v>1305</v>
      </c>
      <c r="P946" t="s">
        <v>1291</v>
      </c>
      <c r="Q946" t="s">
        <v>1294</v>
      </c>
      <c r="S946" t="s">
        <v>1294</v>
      </c>
      <c r="T946" t="s">
        <v>3440</v>
      </c>
      <c r="U946">
        <v>0</v>
      </c>
      <c r="V946" t="s">
        <v>1420</v>
      </c>
    </row>
    <row r="947" spans="1:22" ht="30" x14ac:dyDescent="0.25">
      <c r="A947" t="s">
        <v>1871</v>
      </c>
      <c r="B947" s="1" t="s">
        <v>1420</v>
      </c>
      <c r="C947" s="1" t="s">
        <v>1530</v>
      </c>
      <c r="D947" s="1" t="s">
        <v>1288</v>
      </c>
      <c r="E947" s="1" t="s">
        <v>1462</v>
      </c>
      <c r="F947" t="s">
        <v>3441</v>
      </c>
      <c r="G947" t="s">
        <v>1421</v>
      </c>
      <c r="H947" t="s">
        <v>381</v>
      </c>
      <c r="I947" t="s">
        <v>1285</v>
      </c>
      <c r="J947" t="s">
        <v>1170</v>
      </c>
      <c r="K947" t="s">
        <v>1234</v>
      </c>
      <c r="L947" t="s">
        <v>1422</v>
      </c>
      <c r="M947" t="s">
        <v>1423</v>
      </c>
      <c r="N947" t="s">
        <v>1289</v>
      </c>
      <c r="O947" s="1" t="s">
        <v>1305</v>
      </c>
      <c r="P947" t="s">
        <v>1291</v>
      </c>
      <c r="Q947" t="s">
        <v>1294</v>
      </c>
      <c r="S947" t="s">
        <v>1294</v>
      </c>
      <c r="T947" t="s">
        <v>3442</v>
      </c>
      <c r="U947">
        <v>0</v>
      </c>
      <c r="V947" t="s">
        <v>1420</v>
      </c>
    </row>
    <row r="948" spans="1:22" x14ac:dyDescent="0.25">
      <c r="A948" t="s">
        <v>1281</v>
      </c>
      <c r="B948" s="1" t="s">
        <v>1236</v>
      </c>
      <c r="C948" s="1" t="s">
        <v>1343</v>
      </c>
      <c r="D948" s="1" t="s">
        <v>1288</v>
      </c>
      <c r="E948" s="1" t="s">
        <v>1316</v>
      </c>
      <c r="F948" t="s">
        <v>1359</v>
      </c>
      <c r="G948" t="s">
        <v>1360</v>
      </c>
      <c r="H948" t="s">
        <v>381</v>
      </c>
      <c r="I948" t="s">
        <v>1285</v>
      </c>
      <c r="J948" t="s">
        <v>1361</v>
      </c>
      <c r="K948" t="s">
        <v>1362</v>
      </c>
      <c r="L948" t="s">
        <v>1363</v>
      </c>
      <c r="M948" t="s">
        <v>1325</v>
      </c>
      <c r="N948">
        <v>50000</v>
      </c>
      <c r="O948" s="1" t="s">
        <v>562</v>
      </c>
      <c r="P948" t="s">
        <v>1306</v>
      </c>
      <c r="Q948" t="s">
        <v>1294</v>
      </c>
      <c r="S948" t="s">
        <v>1294</v>
      </c>
      <c r="T948" t="s">
        <v>1296</v>
      </c>
      <c r="U948">
        <v>0</v>
      </c>
      <c r="V948" t="s">
        <v>1236</v>
      </c>
    </row>
    <row r="949" spans="1:22" x14ac:dyDescent="0.25">
      <c r="A949" t="s">
        <v>1871</v>
      </c>
      <c r="B949" s="1" t="s">
        <v>1236</v>
      </c>
      <c r="C949" s="1" t="s">
        <v>1530</v>
      </c>
      <c r="D949" s="1" t="s">
        <v>1288</v>
      </c>
      <c r="E949" s="1" t="s">
        <v>1350</v>
      </c>
      <c r="F949" t="s">
        <v>1920</v>
      </c>
      <c r="G949" t="s">
        <v>1360</v>
      </c>
      <c r="H949" t="s">
        <v>381</v>
      </c>
      <c r="I949" t="s">
        <v>1285</v>
      </c>
      <c r="J949" t="s">
        <v>1361</v>
      </c>
      <c r="K949" t="s">
        <v>1362</v>
      </c>
      <c r="L949" t="s">
        <v>1363</v>
      </c>
      <c r="M949" t="s">
        <v>1325</v>
      </c>
      <c r="N949">
        <v>50000</v>
      </c>
      <c r="O949" s="1" t="s">
        <v>562</v>
      </c>
      <c r="P949" t="s">
        <v>1306</v>
      </c>
      <c r="Q949" t="s">
        <v>1294</v>
      </c>
      <c r="S949" t="s">
        <v>1294</v>
      </c>
      <c r="T949" t="s">
        <v>1921</v>
      </c>
      <c r="U949">
        <v>618.22199999999998</v>
      </c>
      <c r="V949" t="s">
        <v>1236</v>
      </c>
    </row>
    <row r="950" spans="1:22" x14ac:dyDescent="0.25">
      <c r="A950" t="s">
        <v>1871</v>
      </c>
      <c r="B950" s="1" t="s">
        <v>1236</v>
      </c>
      <c r="C950" s="1" t="s">
        <v>1530</v>
      </c>
      <c r="D950" s="1" t="s">
        <v>1288</v>
      </c>
      <c r="E950" s="1" t="s">
        <v>1393</v>
      </c>
      <c r="F950" t="s">
        <v>1934</v>
      </c>
      <c r="G950" t="s">
        <v>1360</v>
      </c>
      <c r="H950" t="s">
        <v>381</v>
      </c>
      <c r="I950" t="s">
        <v>1285</v>
      </c>
      <c r="J950" t="s">
        <v>1361</v>
      </c>
      <c r="K950" t="s">
        <v>1362</v>
      </c>
      <c r="L950" t="s">
        <v>1363</v>
      </c>
      <c r="M950" t="s">
        <v>1325</v>
      </c>
      <c r="N950">
        <v>50000</v>
      </c>
      <c r="O950" s="1" t="s">
        <v>562</v>
      </c>
      <c r="P950" t="s">
        <v>1306</v>
      </c>
      <c r="Q950" t="s">
        <v>1294</v>
      </c>
      <c r="S950" t="s">
        <v>1294</v>
      </c>
      <c r="T950" t="s">
        <v>1935</v>
      </c>
      <c r="U950">
        <v>238.35499999999999</v>
      </c>
      <c r="V950" t="s">
        <v>1236</v>
      </c>
    </row>
    <row r="951" spans="1:22" x14ac:dyDescent="0.25">
      <c r="A951" t="s">
        <v>1871</v>
      </c>
      <c r="B951" s="1" t="s">
        <v>1236</v>
      </c>
      <c r="C951" s="1" t="s">
        <v>1530</v>
      </c>
      <c r="D951" s="1" t="s">
        <v>1288</v>
      </c>
      <c r="E951" s="1" t="s">
        <v>1393</v>
      </c>
      <c r="F951" t="s">
        <v>1936</v>
      </c>
      <c r="G951" t="s">
        <v>1360</v>
      </c>
      <c r="H951" t="s">
        <v>381</v>
      </c>
      <c r="I951" t="s">
        <v>1285</v>
      </c>
      <c r="J951" t="s">
        <v>1361</v>
      </c>
      <c r="K951" t="s">
        <v>1362</v>
      </c>
      <c r="L951" t="s">
        <v>1363</v>
      </c>
      <c r="M951" t="s">
        <v>1325</v>
      </c>
      <c r="N951">
        <v>50000</v>
      </c>
      <c r="O951" s="1" t="s">
        <v>562</v>
      </c>
      <c r="P951" t="s">
        <v>1306</v>
      </c>
      <c r="Q951" t="s">
        <v>1294</v>
      </c>
      <c r="S951" t="s">
        <v>1294</v>
      </c>
      <c r="T951" t="s">
        <v>1937</v>
      </c>
      <c r="U951">
        <v>795.37699999999995</v>
      </c>
      <c r="V951" t="s">
        <v>1236</v>
      </c>
    </row>
    <row r="952" spans="1:22" ht="30" x14ac:dyDescent="0.25">
      <c r="A952" t="s">
        <v>1871</v>
      </c>
      <c r="B952" s="1" t="s">
        <v>1236</v>
      </c>
      <c r="C952" s="1" t="s">
        <v>1530</v>
      </c>
      <c r="D952" s="1" t="s">
        <v>1288</v>
      </c>
      <c r="E952" s="1" t="s">
        <v>1293</v>
      </c>
      <c r="F952" t="s">
        <v>1940</v>
      </c>
      <c r="G952" t="s">
        <v>1360</v>
      </c>
      <c r="H952" t="s">
        <v>381</v>
      </c>
      <c r="I952" t="s">
        <v>1285</v>
      </c>
      <c r="J952" t="s">
        <v>1361</v>
      </c>
      <c r="K952" t="s">
        <v>1362</v>
      </c>
      <c r="L952" t="s">
        <v>1363</v>
      </c>
      <c r="M952" t="s">
        <v>1325</v>
      </c>
      <c r="N952">
        <v>50000</v>
      </c>
      <c r="O952" s="1" t="s">
        <v>562</v>
      </c>
      <c r="P952" t="s">
        <v>1306</v>
      </c>
      <c r="Q952" t="s">
        <v>1294</v>
      </c>
      <c r="S952" t="s">
        <v>1294</v>
      </c>
      <c r="T952" t="s">
        <v>1941</v>
      </c>
      <c r="U952">
        <v>1320.7729999999999</v>
      </c>
      <c r="V952" t="s">
        <v>1236</v>
      </c>
    </row>
    <row r="953" spans="1:22" x14ac:dyDescent="0.25">
      <c r="A953" t="s">
        <v>1871</v>
      </c>
      <c r="B953" s="1" t="s">
        <v>1236</v>
      </c>
      <c r="C953" s="1" t="s">
        <v>1530</v>
      </c>
      <c r="D953" s="1" t="s">
        <v>1288</v>
      </c>
      <c r="E953" s="1" t="s">
        <v>1350</v>
      </c>
      <c r="F953" t="s">
        <v>1945</v>
      </c>
      <c r="G953" t="s">
        <v>1360</v>
      </c>
      <c r="H953" t="s">
        <v>381</v>
      </c>
      <c r="I953" t="s">
        <v>1285</v>
      </c>
      <c r="J953" t="s">
        <v>1361</v>
      </c>
      <c r="K953" t="s">
        <v>1362</v>
      </c>
      <c r="L953" t="s">
        <v>1363</v>
      </c>
      <c r="M953" t="s">
        <v>1325</v>
      </c>
      <c r="N953">
        <v>50000</v>
      </c>
      <c r="O953" s="1" t="s">
        <v>562</v>
      </c>
      <c r="P953" t="s">
        <v>1306</v>
      </c>
      <c r="Q953" t="s">
        <v>1294</v>
      </c>
      <c r="S953" t="s">
        <v>1294</v>
      </c>
      <c r="T953" t="s">
        <v>1946</v>
      </c>
      <c r="U953">
        <v>904.91700000000003</v>
      </c>
      <c r="V953" t="s">
        <v>1236</v>
      </c>
    </row>
    <row r="954" spans="1:22" x14ac:dyDescent="0.25">
      <c r="A954" t="s">
        <v>1871</v>
      </c>
      <c r="B954" s="1" t="s">
        <v>1236</v>
      </c>
      <c r="C954" s="1" t="s">
        <v>1530</v>
      </c>
      <c r="D954" s="1" t="s">
        <v>1288</v>
      </c>
      <c r="E954" s="1" t="s">
        <v>1374</v>
      </c>
      <c r="F954" t="s">
        <v>1960</v>
      </c>
      <c r="G954" t="s">
        <v>1360</v>
      </c>
      <c r="H954" t="s">
        <v>381</v>
      </c>
      <c r="I954" t="s">
        <v>1285</v>
      </c>
      <c r="J954" t="s">
        <v>1361</v>
      </c>
      <c r="K954" t="s">
        <v>1362</v>
      </c>
      <c r="L954" t="s">
        <v>1363</v>
      </c>
      <c r="M954" t="s">
        <v>1325</v>
      </c>
      <c r="N954">
        <v>50000</v>
      </c>
      <c r="O954" s="1" t="s">
        <v>562</v>
      </c>
      <c r="P954" t="s">
        <v>1306</v>
      </c>
      <c r="Q954" t="s">
        <v>1294</v>
      </c>
      <c r="S954" t="s">
        <v>1294</v>
      </c>
      <c r="T954" t="s">
        <v>1961</v>
      </c>
      <c r="U954">
        <v>1599</v>
      </c>
      <c r="V954" t="s">
        <v>1236</v>
      </c>
    </row>
    <row r="955" spans="1:22" x14ac:dyDescent="0.25">
      <c r="A955" t="s">
        <v>1871</v>
      </c>
      <c r="B955" s="1" t="s">
        <v>1236</v>
      </c>
      <c r="C955" s="1" t="s">
        <v>1530</v>
      </c>
      <c r="D955" s="1" t="s">
        <v>1288</v>
      </c>
      <c r="E955" s="1" t="s">
        <v>1393</v>
      </c>
      <c r="F955" t="s">
        <v>1982</v>
      </c>
      <c r="G955" t="s">
        <v>1360</v>
      </c>
      <c r="H955" t="s">
        <v>381</v>
      </c>
      <c r="I955" t="s">
        <v>1285</v>
      </c>
      <c r="J955" t="s">
        <v>1361</v>
      </c>
      <c r="K955" t="s">
        <v>1362</v>
      </c>
      <c r="L955" t="s">
        <v>1363</v>
      </c>
      <c r="M955" t="s">
        <v>1325</v>
      </c>
      <c r="N955">
        <v>50000</v>
      </c>
      <c r="O955" s="1" t="s">
        <v>562</v>
      </c>
      <c r="P955" t="s">
        <v>1306</v>
      </c>
      <c r="Q955" t="s">
        <v>1294</v>
      </c>
      <c r="S955" t="s">
        <v>1294</v>
      </c>
      <c r="T955" t="s">
        <v>1983</v>
      </c>
      <c r="U955">
        <v>4516.6769999999997</v>
      </c>
      <c r="V955" t="s">
        <v>1236</v>
      </c>
    </row>
    <row r="956" spans="1:22" x14ac:dyDescent="0.25">
      <c r="A956" t="s">
        <v>1871</v>
      </c>
      <c r="B956" s="1" t="s">
        <v>1236</v>
      </c>
      <c r="C956" s="1" t="s">
        <v>1530</v>
      </c>
      <c r="D956" s="1" t="s">
        <v>1288</v>
      </c>
      <c r="E956" s="1" t="s">
        <v>1374</v>
      </c>
      <c r="F956" t="s">
        <v>1998</v>
      </c>
      <c r="G956" t="s">
        <v>1360</v>
      </c>
      <c r="H956" t="s">
        <v>381</v>
      </c>
      <c r="I956" t="s">
        <v>1285</v>
      </c>
      <c r="J956" t="s">
        <v>1361</v>
      </c>
      <c r="K956" t="s">
        <v>1362</v>
      </c>
      <c r="L956" t="s">
        <v>1363</v>
      </c>
      <c r="M956" t="s">
        <v>1325</v>
      </c>
      <c r="N956">
        <v>50000</v>
      </c>
      <c r="O956" s="1" t="s">
        <v>562</v>
      </c>
      <c r="P956" t="s">
        <v>1306</v>
      </c>
      <c r="Q956" t="s">
        <v>1294</v>
      </c>
      <c r="S956" t="s">
        <v>1294</v>
      </c>
      <c r="T956" t="s">
        <v>1999</v>
      </c>
      <c r="U956">
        <v>2860.7220000000002</v>
      </c>
      <c r="V956" t="s">
        <v>1236</v>
      </c>
    </row>
    <row r="957" spans="1:22" x14ac:dyDescent="0.25">
      <c r="A957" t="s">
        <v>1871</v>
      </c>
      <c r="B957" s="1" t="s">
        <v>1236</v>
      </c>
      <c r="C957" s="1" t="s">
        <v>1530</v>
      </c>
      <c r="D957" s="1" t="s">
        <v>1288</v>
      </c>
      <c r="E957" s="1" t="s">
        <v>1368</v>
      </c>
      <c r="F957" t="s">
        <v>2010</v>
      </c>
      <c r="G957" t="s">
        <v>1360</v>
      </c>
      <c r="H957" t="s">
        <v>381</v>
      </c>
      <c r="I957" t="s">
        <v>1285</v>
      </c>
      <c r="J957" t="s">
        <v>1361</v>
      </c>
      <c r="K957" t="s">
        <v>1362</v>
      </c>
      <c r="L957" t="s">
        <v>1363</v>
      </c>
      <c r="M957" t="s">
        <v>1325</v>
      </c>
      <c r="N957">
        <v>50000</v>
      </c>
      <c r="O957" s="1" t="s">
        <v>562</v>
      </c>
      <c r="P957" t="s">
        <v>1306</v>
      </c>
      <c r="Q957" t="s">
        <v>1294</v>
      </c>
      <c r="S957" t="s">
        <v>1294</v>
      </c>
      <c r="T957" t="s">
        <v>2011</v>
      </c>
      <c r="U957">
        <v>4110.6769999999997</v>
      </c>
      <c r="V957" t="s">
        <v>1236</v>
      </c>
    </row>
    <row r="958" spans="1:22" x14ac:dyDescent="0.25">
      <c r="A958" t="s">
        <v>1871</v>
      </c>
      <c r="B958" s="1" t="s">
        <v>1236</v>
      </c>
      <c r="C958" s="1" t="s">
        <v>1530</v>
      </c>
      <c r="D958" s="1" t="s">
        <v>1288</v>
      </c>
      <c r="E958" s="1" t="s">
        <v>1350</v>
      </c>
      <c r="F958" t="s">
        <v>2039</v>
      </c>
      <c r="G958" t="s">
        <v>1360</v>
      </c>
      <c r="H958" t="s">
        <v>381</v>
      </c>
      <c r="I958" t="s">
        <v>1285</v>
      </c>
      <c r="J958" t="s">
        <v>1361</v>
      </c>
      <c r="K958" t="s">
        <v>1362</v>
      </c>
      <c r="L958" t="s">
        <v>1363</v>
      </c>
      <c r="M958" t="s">
        <v>1325</v>
      </c>
      <c r="N958">
        <v>50000</v>
      </c>
      <c r="O958" s="1" t="s">
        <v>562</v>
      </c>
      <c r="P958" t="s">
        <v>1306</v>
      </c>
      <c r="Q958" t="s">
        <v>1294</v>
      </c>
      <c r="S958" t="s">
        <v>1294</v>
      </c>
      <c r="T958" t="s">
        <v>2040</v>
      </c>
      <c r="U958">
        <v>0</v>
      </c>
      <c r="V958" t="s">
        <v>1236</v>
      </c>
    </row>
    <row r="959" spans="1:22" x14ac:dyDescent="0.25">
      <c r="A959" t="s">
        <v>1871</v>
      </c>
      <c r="B959" s="1" t="s">
        <v>1236</v>
      </c>
      <c r="C959" s="1" t="s">
        <v>1530</v>
      </c>
      <c r="D959" s="1" t="s">
        <v>1288</v>
      </c>
      <c r="E959" s="1" t="s">
        <v>1316</v>
      </c>
      <c r="F959" t="s">
        <v>2041</v>
      </c>
      <c r="G959" t="s">
        <v>1360</v>
      </c>
      <c r="H959" t="s">
        <v>381</v>
      </c>
      <c r="I959" t="s">
        <v>1285</v>
      </c>
      <c r="J959" t="s">
        <v>1361</v>
      </c>
      <c r="K959" t="s">
        <v>1362</v>
      </c>
      <c r="L959" t="s">
        <v>1363</v>
      </c>
      <c r="M959" t="s">
        <v>1325</v>
      </c>
      <c r="N959">
        <v>50000</v>
      </c>
      <c r="O959" s="1" t="s">
        <v>562</v>
      </c>
      <c r="P959" t="s">
        <v>1306</v>
      </c>
      <c r="Q959" t="s">
        <v>1294</v>
      </c>
      <c r="S959" t="s">
        <v>1294</v>
      </c>
      <c r="T959" t="s">
        <v>2042</v>
      </c>
      <c r="U959">
        <v>8080.067</v>
      </c>
      <c r="V959" t="s">
        <v>1236</v>
      </c>
    </row>
    <row r="960" spans="1:22" x14ac:dyDescent="0.25">
      <c r="A960" t="s">
        <v>1871</v>
      </c>
      <c r="B960" s="1" t="s">
        <v>1236</v>
      </c>
      <c r="C960" s="1" t="s">
        <v>1530</v>
      </c>
      <c r="D960" s="1" t="s">
        <v>1288</v>
      </c>
      <c r="E960" s="1" t="s">
        <v>1319</v>
      </c>
      <c r="F960" t="s">
        <v>1319</v>
      </c>
      <c r="G960" t="s">
        <v>1360</v>
      </c>
      <c r="H960" t="s">
        <v>381</v>
      </c>
      <c r="I960" t="s">
        <v>1285</v>
      </c>
      <c r="J960" t="s">
        <v>1361</v>
      </c>
      <c r="K960" t="s">
        <v>1362</v>
      </c>
      <c r="L960" t="s">
        <v>1363</v>
      </c>
      <c r="M960" t="s">
        <v>1325</v>
      </c>
      <c r="N960">
        <v>50000</v>
      </c>
      <c r="O960" s="1" t="s">
        <v>562</v>
      </c>
      <c r="P960" t="s">
        <v>1306</v>
      </c>
      <c r="Q960" t="s">
        <v>1294</v>
      </c>
      <c r="S960" t="s">
        <v>1294</v>
      </c>
      <c r="T960" t="s">
        <v>2135</v>
      </c>
      <c r="U960">
        <v>5368.143</v>
      </c>
      <c r="V960" t="s">
        <v>1236</v>
      </c>
    </row>
    <row r="961" spans="1:22" ht="30" x14ac:dyDescent="0.25">
      <c r="A961" t="s">
        <v>1871</v>
      </c>
      <c r="B961" s="1" t="s">
        <v>1236</v>
      </c>
      <c r="C961" s="1" t="s">
        <v>1530</v>
      </c>
      <c r="D961" s="1" t="s">
        <v>1288</v>
      </c>
      <c r="E961" s="1" t="s">
        <v>1462</v>
      </c>
      <c r="F961" t="s">
        <v>2409</v>
      </c>
      <c r="G961" t="s">
        <v>1360</v>
      </c>
      <c r="H961" t="s">
        <v>381</v>
      </c>
      <c r="I961" t="s">
        <v>1285</v>
      </c>
      <c r="J961" t="s">
        <v>1361</v>
      </c>
      <c r="K961" t="s">
        <v>1362</v>
      </c>
      <c r="L961" t="s">
        <v>1363</v>
      </c>
      <c r="M961" t="s">
        <v>1325</v>
      </c>
      <c r="N961">
        <v>50000</v>
      </c>
      <c r="O961" s="1" t="s">
        <v>562</v>
      </c>
      <c r="P961" t="s">
        <v>1306</v>
      </c>
      <c r="Q961" t="s">
        <v>1294</v>
      </c>
      <c r="S961" t="s">
        <v>1294</v>
      </c>
      <c r="T961" t="s">
        <v>2410</v>
      </c>
      <c r="U961">
        <v>4493.2730000000001</v>
      </c>
      <c r="V961" t="s">
        <v>1236</v>
      </c>
    </row>
    <row r="962" spans="1:22" x14ac:dyDescent="0.25">
      <c r="A962" t="s">
        <v>1871</v>
      </c>
      <c r="B962" s="1" t="s">
        <v>1236</v>
      </c>
      <c r="C962" s="1" t="s">
        <v>1530</v>
      </c>
      <c r="D962" s="1" t="s">
        <v>1288</v>
      </c>
      <c r="E962" s="1" t="s">
        <v>1350</v>
      </c>
      <c r="F962" t="s">
        <v>2583</v>
      </c>
      <c r="G962" t="s">
        <v>1360</v>
      </c>
      <c r="H962" t="s">
        <v>381</v>
      </c>
      <c r="I962" t="s">
        <v>1285</v>
      </c>
      <c r="J962" t="s">
        <v>1361</v>
      </c>
      <c r="K962" t="s">
        <v>1362</v>
      </c>
      <c r="L962" t="s">
        <v>1363</v>
      </c>
      <c r="M962" t="s">
        <v>1325</v>
      </c>
      <c r="N962">
        <v>50000</v>
      </c>
      <c r="O962" s="1" t="s">
        <v>562</v>
      </c>
      <c r="P962" t="s">
        <v>1306</v>
      </c>
      <c r="Q962" t="s">
        <v>1294</v>
      </c>
      <c r="S962" t="s">
        <v>1294</v>
      </c>
      <c r="T962" t="s">
        <v>2584</v>
      </c>
      <c r="U962">
        <v>15508.437</v>
      </c>
      <c r="V962" t="s">
        <v>1236</v>
      </c>
    </row>
    <row r="963" spans="1:22" x14ac:dyDescent="0.25">
      <c r="A963" t="s">
        <v>1871</v>
      </c>
      <c r="B963" s="1" t="s">
        <v>1236</v>
      </c>
      <c r="C963" s="1" t="s">
        <v>1530</v>
      </c>
      <c r="D963" s="1" t="s">
        <v>1288</v>
      </c>
      <c r="E963" s="1" t="s">
        <v>1350</v>
      </c>
      <c r="F963" t="s">
        <v>2645</v>
      </c>
      <c r="G963" t="s">
        <v>1360</v>
      </c>
      <c r="H963" t="s">
        <v>381</v>
      </c>
      <c r="I963" t="s">
        <v>1285</v>
      </c>
      <c r="J963" t="s">
        <v>1361</v>
      </c>
      <c r="K963" t="s">
        <v>1362</v>
      </c>
      <c r="L963" t="s">
        <v>1363</v>
      </c>
      <c r="M963" t="s">
        <v>1325</v>
      </c>
      <c r="N963">
        <v>50000</v>
      </c>
      <c r="O963" s="1" t="s">
        <v>562</v>
      </c>
      <c r="P963" t="s">
        <v>1306</v>
      </c>
      <c r="Q963" t="s">
        <v>1294</v>
      </c>
      <c r="S963" t="s">
        <v>1294</v>
      </c>
      <c r="T963" t="s">
        <v>2646</v>
      </c>
      <c r="U963">
        <v>8534.5419999999995</v>
      </c>
      <c r="V963" t="s">
        <v>1236</v>
      </c>
    </row>
    <row r="964" spans="1:22" x14ac:dyDescent="0.25">
      <c r="A964" t="s">
        <v>1871</v>
      </c>
      <c r="B964" s="1" t="s">
        <v>1236</v>
      </c>
      <c r="C964" s="1" t="s">
        <v>1530</v>
      </c>
      <c r="D964" s="1" t="s">
        <v>1288</v>
      </c>
      <c r="E964" s="1" t="s">
        <v>1350</v>
      </c>
      <c r="F964" t="s">
        <v>2890</v>
      </c>
      <c r="G964" t="s">
        <v>1360</v>
      </c>
      <c r="H964" t="s">
        <v>381</v>
      </c>
      <c r="I964" t="s">
        <v>1285</v>
      </c>
      <c r="J964" t="s">
        <v>1361</v>
      </c>
      <c r="K964" t="s">
        <v>1362</v>
      </c>
      <c r="L964" t="s">
        <v>1363</v>
      </c>
      <c r="M964" t="s">
        <v>1325</v>
      </c>
      <c r="N964">
        <v>50000</v>
      </c>
      <c r="O964" s="1" t="s">
        <v>562</v>
      </c>
      <c r="P964" t="s">
        <v>1306</v>
      </c>
      <c r="Q964" t="s">
        <v>1294</v>
      </c>
      <c r="S964" t="s">
        <v>1294</v>
      </c>
      <c r="T964" t="s">
        <v>2891</v>
      </c>
      <c r="U964">
        <v>1664.7</v>
      </c>
      <c r="V964" t="s">
        <v>1236</v>
      </c>
    </row>
    <row r="965" spans="1:22" x14ac:dyDescent="0.25">
      <c r="A965" t="s">
        <v>1871</v>
      </c>
      <c r="B965" s="1" t="s">
        <v>1236</v>
      </c>
      <c r="C965" s="1" t="s">
        <v>1530</v>
      </c>
      <c r="D965" s="1" t="s">
        <v>1288</v>
      </c>
      <c r="E965" s="1" t="s">
        <v>1316</v>
      </c>
      <c r="F965" t="s">
        <v>2931</v>
      </c>
      <c r="G965" t="s">
        <v>1360</v>
      </c>
      <c r="H965" t="s">
        <v>381</v>
      </c>
      <c r="I965" t="s">
        <v>1285</v>
      </c>
      <c r="J965" t="s">
        <v>1361</v>
      </c>
      <c r="K965" t="s">
        <v>1362</v>
      </c>
      <c r="L965" t="s">
        <v>1363</v>
      </c>
      <c r="M965" t="s">
        <v>1325</v>
      </c>
      <c r="N965">
        <v>50000</v>
      </c>
      <c r="O965" s="1" t="s">
        <v>562</v>
      </c>
      <c r="P965" t="s">
        <v>1306</v>
      </c>
      <c r="Q965" t="s">
        <v>1294</v>
      </c>
      <c r="S965" t="s">
        <v>1294</v>
      </c>
      <c r="T965" t="s">
        <v>2932</v>
      </c>
      <c r="U965">
        <v>1146.6980000000001</v>
      </c>
      <c r="V965" t="s">
        <v>1236</v>
      </c>
    </row>
    <row r="966" spans="1:22" ht="30" x14ac:dyDescent="0.25">
      <c r="A966" t="s">
        <v>1871</v>
      </c>
      <c r="B966" s="1" t="s">
        <v>1236</v>
      </c>
      <c r="C966" s="1" t="s">
        <v>1530</v>
      </c>
      <c r="D966" s="1" t="s">
        <v>1288</v>
      </c>
      <c r="E966" s="1" t="s">
        <v>1410</v>
      </c>
      <c r="F966" t="s">
        <v>3009</v>
      </c>
      <c r="G966" t="s">
        <v>1360</v>
      </c>
      <c r="H966" t="s">
        <v>381</v>
      </c>
      <c r="I966" t="s">
        <v>1285</v>
      </c>
      <c r="J966" t="s">
        <v>1361</v>
      </c>
      <c r="K966" t="s">
        <v>1362</v>
      </c>
      <c r="L966" t="s">
        <v>1363</v>
      </c>
      <c r="M966" t="s">
        <v>1325</v>
      </c>
      <c r="N966">
        <v>50000</v>
      </c>
      <c r="O966" s="1" t="s">
        <v>562</v>
      </c>
      <c r="P966" t="s">
        <v>1306</v>
      </c>
      <c r="Q966" t="s">
        <v>1294</v>
      </c>
      <c r="S966" t="s">
        <v>1294</v>
      </c>
      <c r="T966" t="s">
        <v>1296</v>
      </c>
      <c r="U966">
        <v>0</v>
      </c>
      <c r="V966" t="s">
        <v>1236</v>
      </c>
    </row>
    <row r="967" spans="1:22" ht="30" x14ac:dyDescent="0.25">
      <c r="A967" t="s">
        <v>1871</v>
      </c>
      <c r="B967" s="1" t="s">
        <v>1236</v>
      </c>
      <c r="C967" s="1" t="s">
        <v>1530</v>
      </c>
      <c r="D967" s="1" t="s">
        <v>1288</v>
      </c>
      <c r="E967" s="1" t="s">
        <v>1410</v>
      </c>
      <c r="F967" t="s">
        <v>3010</v>
      </c>
      <c r="G967" t="s">
        <v>1360</v>
      </c>
      <c r="H967" t="s">
        <v>381</v>
      </c>
      <c r="I967" t="s">
        <v>1285</v>
      </c>
      <c r="J967" t="s">
        <v>1361</v>
      </c>
      <c r="K967" t="s">
        <v>1362</v>
      </c>
      <c r="L967" t="s">
        <v>1363</v>
      </c>
      <c r="M967" t="s">
        <v>1325</v>
      </c>
      <c r="N967">
        <v>50000</v>
      </c>
      <c r="O967" s="1" t="s">
        <v>562</v>
      </c>
      <c r="P967" t="s">
        <v>1306</v>
      </c>
      <c r="Q967" t="s">
        <v>1294</v>
      </c>
      <c r="S967" t="s">
        <v>1294</v>
      </c>
      <c r="T967" t="s">
        <v>1296</v>
      </c>
      <c r="U967">
        <v>0</v>
      </c>
      <c r="V967" t="s">
        <v>1236</v>
      </c>
    </row>
    <row r="968" spans="1:22" x14ac:dyDescent="0.25">
      <c r="A968" t="s">
        <v>1871</v>
      </c>
      <c r="B968" s="1" t="s">
        <v>1236</v>
      </c>
      <c r="C968" s="1" t="s">
        <v>1530</v>
      </c>
      <c r="D968" s="1" t="s">
        <v>1288</v>
      </c>
      <c r="E968" s="1" t="s">
        <v>1504</v>
      </c>
      <c r="F968" t="s">
        <v>3011</v>
      </c>
      <c r="G968" t="s">
        <v>1360</v>
      </c>
      <c r="H968" t="s">
        <v>381</v>
      </c>
      <c r="I968" t="s">
        <v>1285</v>
      </c>
      <c r="J968" t="s">
        <v>1361</v>
      </c>
      <c r="K968" t="s">
        <v>1362</v>
      </c>
      <c r="L968" t="s">
        <v>1363</v>
      </c>
      <c r="M968" t="s">
        <v>1325</v>
      </c>
      <c r="N968">
        <v>50000</v>
      </c>
      <c r="O968" s="1" t="s">
        <v>562</v>
      </c>
      <c r="P968" t="s">
        <v>1306</v>
      </c>
      <c r="Q968" t="s">
        <v>1294</v>
      </c>
      <c r="S968" t="s">
        <v>1294</v>
      </c>
      <c r="T968" t="s">
        <v>1296</v>
      </c>
      <c r="U968">
        <v>112681</v>
      </c>
      <c r="V968" t="s">
        <v>1236</v>
      </c>
    </row>
    <row r="969" spans="1:22" x14ac:dyDescent="0.25">
      <c r="A969" t="s">
        <v>1871</v>
      </c>
      <c r="B969" s="1" t="s">
        <v>1236</v>
      </c>
      <c r="C969" s="1" t="s">
        <v>1530</v>
      </c>
      <c r="D969" s="1" t="s">
        <v>1288</v>
      </c>
      <c r="E969" s="1" t="s">
        <v>1504</v>
      </c>
      <c r="F969" t="s">
        <v>3012</v>
      </c>
      <c r="G969" t="s">
        <v>1360</v>
      </c>
      <c r="H969" t="s">
        <v>381</v>
      </c>
      <c r="I969" t="s">
        <v>1285</v>
      </c>
      <c r="J969" t="s">
        <v>1361</v>
      </c>
      <c r="K969" t="s">
        <v>1362</v>
      </c>
      <c r="L969" t="s">
        <v>1363</v>
      </c>
      <c r="M969" t="s">
        <v>1325</v>
      </c>
      <c r="N969">
        <v>50000</v>
      </c>
      <c r="O969" s="1" t="s">
        <v>562</v>
      </c>
      <c r="P969" t="s">
        <v>1306</v>
      </c>
      <c r="Q969" t="s">
        <v>1294</v>
      </c>
      <c r="S969" t="s">
        <v>1294</v>
      </c>
      <c r="T969" t="s">
        <v>1296</v>
      </c>
      <c r="U969">
        <v>45225</v>
      </c>
      <c r="V969" t="s">
        <v>1236</v>
      </c>
    </row>
    <row r="970" spans="1:22" x14ac:dyDescent="0.25">
      <c r="A970" t="s">
        <v>1871</v>
      </c>
      <c r="B970" s="1" t="s">
        <v>1236</v>
      </c>
      <c r="C970" s="1" t="s">
        <v>1530</v>
      </c>
      <c r="D970" s="1" t="s">
        <v>1288</v>
      </c>
      <c r="E970" s="1" t="s">
        <v>1504</v>
      </c>
      <c r="F970" t="s">
        <v>3017</v>
      </c>
      <c r="G970" t="s">
        <v>1360</v>
      </c>
      <c r="H970" t="s">
        <v>381</v>
      </c>
      <c r="I970" t="s">
        <v>1285</v>
      </c>
      <c r="J970" t="s">
        <v>1361</v>
      </c>
      <c r="K970" t="s">
        <v>1362</v>
      </c>
      <c r="L970" t="s">
        <v>1363</v>
      </c>
      <c r="M970" t="s">
        <v>1325</v>
      </c>
      <c r="N970">
        <v>50000</v>
      </c>
      <c r="O970" s="1" t="s">
        <v>562</v>
      </c>
      <c r="P970" t="s">
        <v>1306</v>
      </c>
      <c r="Q970" t="s">
        <v>1294</v>
      </c>
      <c r="S970" t="s">
        <v>1294</v>
      </c>
      <c r="T970" t="s">
        <v>3018</v>
      </c>
      <c r="U970">
        <v>127736</v>
      </c>
      <c r="V970" t="s">
        <v>1236</v>
      </c>
    </row>
    <row r="971" spans="1:22" x14ac:dyDescent="0.25">
      <c r="A971" t="s">
        <v>1871</v>
      </c>
      <c r="B971" s="1" t="s">
        <v>1236</v>
      </c>
      <c r="C971" s="1" t="s">
        <v>1530</v>
      </c>
      <c r="D971" s="1" t="s">
        <v>1288</v>
      </c>
      <c r="E971" s="1" t="s">
        <v>1504</v>
      </c>
      <c r="F971" t="s">
        <v>3026</v>
      </c>
      <c r="G971" t="s">
        <v>1360</v>
      </c>
      <c r="H971" t="s">
        <v>381</v>
      </c>
      <c r="I971" t="s">
        <v>1285</v>
      </c>
      <c r="J971" t="s">
        <v>1361</v>
      </c>
      <c r="K971" t="s">
        <v>1362</v>
      </c>
      <c r="L971" t="s">
        <v>1363</v>
      </c>
      <c r="M971" t="s">
        <v>1325</v>
      </c>
      <c r="N971">
        <v>50000</v>
      </c>
      <c r="O971" s="1" t="s">
        <v>562</v>
      </c>
      <c r="P971" t="s">
        <v>1306</v>
      </c>
      <c r="Q971" t="s">
        <v>1294</v>
      </c>
      <c r="S971" t="s">
        <v>1294</v>
      </c>
      <c r="T971" t="s">
        <v>3027</v>
      </c>
      <c r="U971">
        <v>9868</v>
      </c>
      <c r="V971" t="s">
        <v>1236</v>
      </c>
    </row>
    <row r="972" spans="1:22" x14ac:dyDescent="0.25">
      <c r="A972" t="s">
        <v>1871</v>
      </c>
      <c r="B972" s="1" t="s">
        <v>1236</v>
      </c>
      <c r="C972" s="1" t="s">
        <v>1530</v>
      </c>
      <c r="D972" s="1" t="s">
        <v>1288</v>
      </c>
      <c r="E972" s="1" t="s">
        <v>1368</v>
      </c>
      <c r="F972" t="s">
        <v>3028</v>
      </c>
      <c r="G972" t="s">
        <v>1360</v>
      </c>
      <c r="H972" t="s">
        <v>381</v>
      </c>
      <c r="I972" t="s">
        <v>1285</v>
      </c>
      <c r="J972" t="s">
        <v>1361</v>
      </c>
      <c r="K972" t="s">
        <v>1362</v>
      </c>
      <c r="L972" t="s">
        <v>1363</v>
      </c>
      <c r="M972" t="s">
        <v>1325</v>
      </c>
      <c r="N972">
        <v>50000</v>
      </c>
      <c r="O972" s="1" t="s">
        <v>562</v>
      </c>
      <c r="P972" t="s">
        <v>1306</v>
      </c>
      <c r="Q972" t="s">
        <v>1294</v>
      </c>
      <c r="S972" t="s">
        <v>1294</v>
      </c>
      <c r="T972" t="s">
        <v>3029</v>
      </c>
      <c r="U972">
        <v>6273.19</v>
      </c>
      <c r="V972" t="s">
        <v>1236</v>
      </c>
    </row>
    <row r="973" spans="1:22" x14ac:dyDescent="0.25">
      <c r="A973" t="s">
        <v>1871</v>
      </c>
      <c r="B973" s="1" t="s">
        <v>1236</v>
      </c>
      <c r="C973" s="1" t="s">
        <v>1530</v>
      </c>
      <c r="D973" s="1" t="s">
        <v>1288</v>
      </c>
      <c r="E973" s="1" t="s">
        <v>1374</v>
      </c>
      <c r="F973" t="s">
        <v>3032</v>
      </c>
      <c r="G973" t="s">
        <v>1360</v>
      </c>
      <c r="H973" t="s">
        <v>381</v>
      </c>
      <c r="I973" t="s">
        <v>1285</v>
      </c>
      <c r="J973" t="s">
        <v>1361</v>
      </c>
      <c r="K973" t="s">
        <v>1362</v>
      </c>
      <c r="L973" t="s">
        <v>1363</v>
      </c>
      <c r="M973" t="s">
        <v>1325</v>
      </c>
      <c r="N973">
        <v>50000</v>
      </c>
      <c r="O973" s="1" t="s">
        <v>562</v>
      </c>
      <c r="P973" t="s">
        <v>1306</v>
      </c>
      <c r="Q973" t="s">
        <v>1294</v>
      </c>
      <c r="S973" t="s">
        <v>1294</v>
      </c>
      <c r="T973" t="s">
        <v>3033</v>
      </c>
      <c r="U973">
        <v>21966.190999999999</v>
      </c>
      <c r="V973" t="s">
        <v>1236</v>
      </c>
    </row>
    <row r="974" spans="1:22" x14ac:dyDescent="0.25">
      <c r="A974" t="s">
        <v>1871</v>
      </c>
      <c r="B974" s="1" t="s">
        <v>1236</v>
      </c>
      <c r="C974" s="1" t="s">
        <v>1530</v>
      </c>
      <c r="D974" s="1" t="s">
        <v>1288</v>
      </c>
      <c r="E974" s="1" t="s">
        <v>1368</v>
      </c>
      <c r="F974" t="s">
        <v>3054</v>
      </c>
      <c r="G974" t="s">
        <v>1360</v>
      </c>
      <c r="H974" t="s">
        <v>381</v>
      </c>
      <c r="I974" t="s">
        <v>1285</v>
      </c>
      <c r="J974" t="s">
        <v>1361</v>
      </c>
      <c r="K974" t="s">
        <v>1362</v>
      </c>
      <c r="L974" t="s">
        <v>1363</v>
      </c>
      <c r="M974" t="s">
        <v>1325</v>
      </c>
      <c r="N974">
        <v>50000</v>
      </c>
      <c r="O974" s="1" t="s">
        <v>562</v>
      </c>
      <c r="P974" t="s">
        <v>1306</v>
      </c>
      <c r="Q974" t="s">
        <v>1294</v>
      </c>
      <c r="S974" t="s">
        <v>1294</v>
      </c>
      <c r="T974" t="s">
        <v>3055</v>
      </c>
      <c r="U974">
        <v>0</v>
      </c>
      <c r="V974" t="s">
        <v>1236</v>
      </c>
    </row>
    <row r="975" spans="1:22" x14ac:dyDescent="0.25">
      <c r="A975" t="s">
        <v>1871</v>
      </c>
      <c r="B975" s="1" t="s">
        <v>1236</v>
      </c>
      <c r="C975" s="1" t="s">
        <v>1530</v>
      </c>
      <c r="D975" s="1" t="s">
        <v>1288</v>
      </c>
      <c r="E975" s="1" t="s">
        <v>1393</v>
      </c>
      <c r="F975" t="s">
        <v>3120</v>
      </c>
      <c r="G975" t="s">
        <v>1360</v>
      </c>
      <c r="H975" t="s">
        <v>381</v>
      </c>
      <c r="I975" t="s">
        <v>1285</v>
      </c>
      <c r="J975" t="s">
        <v>1361</v>
      </c>
      <c r="K975" t="s">
        <v>1362</v>
      </c>
      <c r="L975" t="s">
        <v>1363</v>
      </c>
      <c r="M975" t="s">
        <v>1325</v>
      </c>
      <c r="N975">
        <v>50000</v>
      </c>
      <c r="O975" s="1" t="s">
        <v>562</v>
      </c>
      <c r="P975" t="s">
        <v>1306</v>
      </c>
      <c r="Q975" t="s">
        <v>1294</v>
      </c>
      <c r="S975" t="s">
        <v>1294</v>
      </c>
      <c r="T975" t="s">
        <v>3121</v>
      </c>
      <c r="U975">
        <v>3246.11</v>
      </c>
      <c r="V975" t="s">
        <v>1236</v>
      </c>
    </row>
    <row r="976" spans="1:22" x14ac:dyDescent="0.25">
      <c r="A976" t="s">
        <v>1871</v>
      </c>
      <c r="B976" s="1" t="s">
        <v>1236</v>
      </c>
      <c r="C976" s="1" t="s">
        <v>1530</v>
      </c>
      <c r="D976" s="1" t="s">
        <v>1288</v>
      </c>
      <c r="E976" s="1" t="s">
        <v>1374</v>
      </c>
      <c r="F976" t="s">
        <v>3159</v>
      </c>
      <c r="G976" t="s">
        <v>1360</v>
      </c>
      <c r="H976" t="s">
        <v>381</v>
      </c>
      <c r="I976" t="s">
        <v>1285</v>
      </c>
      <c r="J976" t="s">
        <v>1361</v>
      </c>
      <c r="K976" t="s">
        <v>1362</v>
      </c>
      <c r="L976" t="s">
        <v>1363</v>
      </c>
      <c r="M976" t="s">
        <v>1325</v>
      </c>
      <c r="N976">
        <v>50000</v>
      </c>
      <c r="O976" s="1" t="s">
        <v>562</v>
      </c>
      <c r="P976" t="s">
        <v>1306</v>
      </c>
      <c r="Q976" t="s">
        <v>1294</v>
      </c>
      <c r="S976" t="s">
        <v>1294</v>
      </c>
      <c r="T976" t="s">
        <v>3160</v>
      </c>
      <c r="U976">
        <v>5358</v>
      </c>
      <c r="V976" t="s">
        <v>1236</v>
      </c>
    </row>
    <row r="977" spans="1:22" x14ac:dyDescent="0.25">
      <c r="A977" t="s">
        <v>1871</v>
      </c>
      <c r="B977" s="1" t="s">
        <v>1236</v>
      </c>
      <c r="C977" s="1" t="s">
        <v>1530</v>
      </c>
      <c r="D977" s="1" t="s">
        <v>1288</v>
      </c>
      <c r="E977" s="1" t="s">
        <v>1350</v>
      </c>
      <c r="F977" t="s">
        <v>3225</v>
      </c>
      <c r="G977" t="s">
        <v>1360</v>
      </c>
      <c r="H977" t="s">
        <v>381</v>
      </c>
      <c r="I977" t="s">
        <v>1285</v>
      </c>
      <c r="J977" t="s">
        <v>1361</v>
      </c>
      <c r="K977" t="s">
        <v>1362</v>
      </c>
      <c r="L977" t="s">
        <v>1363</v>
      </c>
      <c r="M977" t="s">
        <v>1325</v>
      </c>
      <c r="N977">
        <v>50000</v>
      </c>
      <c r="O977" s="1" t="s">
        <v>562</v>
      </c>
      <c r="P977" t="s">
        <v>1306</v>
      </c>
      <c r="Q977" t="s">
        <v>1294</v>
      </c>
      <c r="S977" t="s">
        <v>1294</v>
      </c>
      <c r="T977" t="s">
        <v>3226</v>
      </c>
      <c r="U977">
        <v>6428.8239999999996</v>
      </c>
      <c r="V977" t="s">
        <v>1236</v>
      </c>
    </row>
    <row r="978" spans="1:22" ht="30" x14ac:dyDescent="0.25">
      <c r="A978" t="s">
        <v>1871</v>
      </c>
      <c r="B978" s="1" t="s">
        <v>1236</v>
      </c>
      <c r="C978" s="1" t="s">
        <v>1530</v>
      </c>
      <c r="D978" s="1" t="s">
        <v>1288</v>
      </c>
      <c r="E978" s="1" t="s">
        <v>1293</v>
      </c>
      <c r="F978" t="s">
        <v>3311</v>
      </c>
      <c r="G978" t="s">
        <v>1360</v>
      </c>
      <c r="H978" t="s">
        <v>381</v>
      </c>
      <c r="I978" t="s">
        <v>1285</v>
      </c>
      <c r="J978" t="s">
        <v>1361</v>
      </c>
      <c r="K978" t="s">
        <v>1362</v>
      </c>
      <c r="L978" t="s">
        <v>1363</v>
      </c>
      <c r="M978" t="s">
        <v>1325</v>
      </c>
      <c r="N978">
        <v>50000</v>
      </c>
      <c r="O978" s="1" t="s">
        <v>562</v>
      </c>
      <c r="P978" t="s">
        <v>1306</v>
      </c>
      <c r="Q978" t="s">
        <v>1294</v>
      </c>
      <c r="S978" t="s">
        <v>1294</v>
      </c>
      <c r="T978" t="s">
        <v>3312</v>
      </c>
      <c r="U978">
        <v>563.45000000000005</v>
      </c>
      <c r="V978" t="s">
        <v>1236</v>
      </c>
    </row>
    <row r="979" spans="1:22" ht="30" x14ac:dyDescent="0.25">
      <c r="A979" t="s">
        <v>1871</v>
      </c>
      <c r="B979" s="1" t="s">
        <v>1236</v>
      </c>
      <c r="C979" s="1" t="s">
        <v>1530</v>
      </c>
      <c r="D979" s="1" t="s">
        <v>1288</v>
      </c>
      <c r="E979" s="1" t="s">
        <v>1293</v>
      </c>
      <c r="F979" t="s">
        <v>3317</v>
      </c>
      <c r="G979" t="s">
        <v>1360</v>
      </c>
      <c r="H979" t="s">
        <v>381</v>
      </c>
      <c r="I979" t="s">
        <v>1285</v>
      </c>
      <c r="J979" t="s">
        <v>1361</v>
      </c>
      <c r="K979" t="s">
        <v>1362</v>
      </c>
      <c r="L979" t="s">
        <v>1363</v>
      </c>
      <c r="M979" t="s">
        <v>1325</v>
      </c>
      <c r="N979">
        <v>50000</v>
      </c>
      <c r="O979" s="1" t="s">
        <v>562</v>
      </c>
      <c r="P979" t="s">
        <v>1306</v>
      </c>
      <c r="Q979" t="s">
        <v>1294</v>
      </c>
      <c r="S979" t="s">
        <v>1294</v>
      </c>
      <c r="T979" t="s">
        <v>3318</v>
      </c>
      <c r="U979">
        <v>16714.882000000001</v>
      </c>
      <c r="V979" t="s">
        <v>1236</v>
      </c>
    </row>
    <row r="980" spans="1:22" x14ac:dyDescent="0.25">
      <c r="A980" t="s">
        <v>1871</v>
      </c>
      <c r="B980" s="1" t="s">
        <v>1236</v>
      </c>
      <c r="C980" s="1" t="s">
        <v>1530</v>
      </c>
      <c r="D980" s="1" t="s">
        <v>1288</v>
      </c>
      <c r="E980" s="1" t="s">
        <v>1368</v>
      </c>
      <c r="F980" t="s">
        <v>3329</v>
      </c>
      <c r="G980" t="s">
        <v>1360</v>
      </c>
      <c r="H980" t="s">
        <v>381</v>
      </c>
      <c r="I980" t="s">
        <v>1285</v>
      </c>
      <c r="J980" t="s">
        <v>1361</v>
      </c>
      <c r="K980" t="s">
        <v>1362</v>
      </c>
      <c r="L980" t="s">
        <v>1363</v>
      </c>
      <c r="M980" t="s">
        <v>1325</v>
      </c>
      <c r="N980">
        <v>50000</v>
      </c>
      <c r="O980" s="1" t="s">
        <v>562</v>
      </c>
      <c r="P980" t="s">
        <v>1306</v>
      </c>
      <c r="Q980" t="s">
        <v>1294</v>
      </c>
      <c r="S980" t="s">
        <v>1294</v>
      </c>
      <c r="T980" t="s">
        <v>3330</v>
      </c>
      <c r="U980">
        <v>0</v>
      </c>
      <c r="V980" t="s">
        <v>1236</v>
      </c>
    </row>
    <row r="981" spans="1:22" x14ac:dyDescent="0.25">
      <c r="A981" t="s">
        <v>1871</v>
      </c>
      <c r="B981" s="1" t="s">
        <v>1236</v>
      </c>
      <c r="C981" s="1" t="s">
        <v>1530</v>
      </c>
      <c r="D981" s="1" t="s">
        <v>1288</v>
      </c>
      <c r="E981" s="1" t="s">
        <v>1393</v>
      </c>
      <c r="F981" t="s">
        <v>3342</v>
      </c>
      <c r="G981" t="s">
        <v>1360</v>
      </c>
      <c r="H981" t="s">
        <v>381</v>
      </c>
      <c r="I981" t="s">
        <v>1285</v>
      </c>
      <c r="J981" t="s">
        <v>1361</v>
      </c>
      <c r="K981" t="s">
        <v>1362</v>
      </c>
      <c r="L981" t="s">
        <v>1363</v>
      </c>
      <c r="M981" t="s">
        <v>1325</v>
      </c>
      <c r="N981">
        <v>50000</v>
      </c>
      <c r="O981" s="1" t="s">
        <v>562</v>
      </c>
      <c r="P981" t="s">
        <v>1306</v>
      </c>
      <c r="Q981" t="s">
        <v>1294</v>
      </c>
      <c r="S981" t="s">
        <v>1294</v>
      </c>
      <c r="T981" t="s">
        <v>3343</v>
      </c>
      <c r="U981">
        <v>10911.713</v>
      </c>
      <c r="V981" t="s">
        <v>1236</v>
      </c>
    </row>
    <row r="982" spans="1:22" x14ac:dyDescent="0.25">
      <c r="A982" t="s">
        <v>1871</v>
      </c>
      <c r="B982" s="1" t="s">
        <v>1236</v>
      </c>
      <c r="C982" s="1" t="s">
        <v>1530</v>
      </c>
      <c r="D982" s="1" t="s">
        <v>1288</v>
      </c>
      <c r="E982" s="1" t="s">
        <v>1368</v>
      </c>
      <c r="F982" t="s">
        <v>3346</v>
      </c>
      <c r="G982" t="s">
        <v>1360</v>
      </c>
      <c r="H982" t="s">
        <v>381</v>
      </c>
      <c r="I982" t="s">
        <v>1285</v>
      </c>
      <c r="J982" t="s">
        <v>1361</v>
      </c>
      <c r="K982" t="s">
        <v>1362</v>
      </c>
      <c r="L982" t="s">
        <v>1363</v>
      </c>
      <c r="M982" t="s">
        <v>1325</v>
      </c>
      <c r="N982">
        <v>50000</v>
      </c>
      <c r="O982" s="1" t="s">
        <v>562</v>
      </c>
      <c r="P982" t="s">
        <v>1306</v>
      </c>
      <c r="Q982" t="s">
        <v>1294</v>
      </c>
      <c r="S982" t="s">
        <v>1294</v>
      </c>
      <c r="T982" t="s">
        <v>3347</v>
      </c>
      <c r="U982">
        <v>3196.6579999999999</v>
      </c>
      <c r="V982" t="s">
        <v>1236</v>
      </c>
    </row>
    <row r="983" spans="1:22" x14ac:dyDescent="0.25">
      <c r="A983" t="s">
        <v>1871</v>
      </c>
      <c r="B983" s="1" t="s">
        <v>1236</v>
      </c>
      <c r="C983" s="1" t="s">
        <v>1530</v>
      </c>
      <c r="D983" s="1" t="s">
        <v>1288</v>
      </c>
      <c r="E983" s="1" t="s">
        <v>1368</v>
      </c>
      <c r="F983" t="s">
        <v>3351</v>
      </c>
      <c r="G983" t="s">
        <v>1360</v>
      </c>
      <c r="H983" t="s">
        <v>381</v>
      </c>
      <c r="I983" t="s">
        <v>1285</v>
      </c>
      <c r="J983" t="s">
        <v>1361</v>
      </c>
      <c r="K983" t="s">
        <v>1362</v>
      </c>
      <c r="L983" t="s">
        <v>1363</v>
      </c>
      <c r="M983" t="s">
        <v>1325</v>
      </c>
      <c r="N983">
        <v>50000</v>
      </c>
      <c r="O983" s="1" t="s">
        <v>562</v>
      </c>
      <c r="P983" t="s">
        <v>1306</v>
      </c>
      <c r="Q983" t="s">
        <v>1294</v>
      </c>
      <c r="S983" t="s">
        <v>1294</v>
      </c>
      <c r="T983" t="s">
        <v>3352</v>
      </c>
      <c r="U983">
        <v>1513.819</v>
      </c>
      <c r="V983" t="s">
        <v>1236</v>
      </c>
    </row>
    <row r="984" spans="1:22" x14ac:dyDescent="0.25">
      <c r="A984" t="s">
        <v>1871</v>
      </c>
      <c r="B984" s="1" t="s">
        <v>1236</v>
      </c>
      <c r="C984" s="1" t="s">
        <v>1530</v>
      </c>
      <c r="D984" s="1" t="s">
        <v>1288</v>
      </c>
      <c r="E984" s="1" t="s">
        <v>1393</v>
      </c>
      <c r="F984" t="s">
        <v>3359</v>
      </c>
      <c r="G984" t="s">
        <v>1360</v>
      </c>
      <c r="H984" t="s">
        <v>381</v>
      </c>
      <c r="I984" t="s">
        <v>1285</v>
      </c>
      <c r="J984" t="s">
        <v>1361</v>
      </c>
      <c r="K984" t="s">
        <v>1362</v>
      </c>
      <c r="L984" t="s">
        <v>1363</v>
      </c>
      <c r="M984" t="s">
        <v>1325</v>
      </c>
      <c r="N984">
        <v>50000</v>
      </c>
      <c r="O984" s="1" t="s">
        <v>562</v>
      </c>
      <c r="P984" t="s">
        <v>1306</v>
      </c>
      <c r="Q984" t="s">
        <v>1294</v>
      </c>
      <c r="S984" t="s">
        <v>1294</v>
      </c>
      <c r="T984" t="s">
        <v>3360</v>
      </c>
      <c r="U984">
        <v>1226.4829999999999</v>
      </c>
      <c r="V984" t="s">
        <v>1236</v>
      </c>
    </row>
    <row r="985" spans="1:22" x14ac:dyDescent="0.25">
      <c r="A985" t="s">
        <v>1871</v>
      </c>
      <c r="B985" s="1" t="s">
        <v>1236</v>
      </c>
      <c r="C985" s="1" t="s">
        <v>1530</v>
      </c>
      <c r="D985" s="1" t="s">
        <v>1288</v>
      </c>
      <c r="E985" s="1" t="s">
        <v>1316</v>
      </c>
      <c r="F985" t="s">
        <v>3361</v>
      </c>
      <c r="G985" t="s">
        <v>1360</v>
      </c>
      <c r="H985" t="s">
        <v>381</v>
      </c>
      <c r="I985" t="s">
        <v>1285</v>
      </c>
      <c r="J985" t="s">
        <v>1361</v>
      </c>
      <c r="K985" t="s">
        <v>1362</v>
      </c>
      <c r="L985" t="s">
        <v>1363</v>
      </c>
      <c r="M985" t="s">
        <v>1325</v>
      </c>
      <c r="N985">
        <v>50000</v>
      </c>
      <c r="O985" s="1" t="s">
        <v>562</v>
      </c>
      <c r="P985" t="s">
        <v>1306</v>
      </c>
      <c r="Q985" t="s">
        <v>1294</v>
      </c>
      <c r="S985" t="s">
        <v>1294</v>
      </c>
      <c r="T985" t="s">
        <v>3362</v>
      </c>
      <c r="U985">
        <v>0</v>
      </c>
      <c r="V985" t="s">
        <v>1236</v>
      </c>
    </row>
    <row r="986" spans="1:22" ht="30" x14ac:dyDescent="0.25">
      <c r="A986" t="s">
        <v>1460</v>
      </c>
      <c r="B986" s="1" t="s">
        <v>1568</v>
      </c>
      <c r="C986" s="1" t="s">
        <v>1345</v>
      </c>
      <c r="D986" s="1" t="s">
        <v>1288</v>
      </c>
      <c r="E986" s="1" t="s">
        <v>1326</v>
      </c>
      <c r="F986" t="s">
        <v>1567</v>
      </c>
      <c r="G986" t="s">
        <v>290</v>
      </c>
      <c r="H986" t="s">
        <v>381</v>
      </c>
      <c r="I986" t="s">
        <v>1285</v>
      </c>
      <c r="J986" t="s">
        <v>1312</v>
      </c>
      <c r="K986" t="s">
        <v>1569</v>
      </c>
      <c r="L986" t="s">
        <v>1570</v>
      </c>
      <c r="M986" t="s">
        <v>1325</v>
      </c>
      <c r="N986">
        <v>45000</v>
      </c>
      <c r="O986" s="1" t="s">
        <v>1571</v>
      </c>
      <c r="P986" t="s">
        <v>1392</v>
      </c>
      <c r="Q986" t="s">
        <v>1294</v>
      </c>
      <c r="S986" t="s">
        <v>1294</v>
      </c>
      <c r="T986" t="s">
        <v>1296</v>
      </c>
      <c r="U986">
        <v>0</v>
      </c>
      <c r="V986" t="s">
        <v>1568</v>
      </c>
    </row>
    <row r="987" spans="1:22" ht="30" x14ac:dyDescent="0.25">
      <c r="A987" t="s">
        <v>1460</v>
      </c>
      <c r="B987" s="1" t="s">
        <v>1568</v>
      </c>
      <c r="C987" s="1" t="s">
        <v>1345</v>
      </c>
      <c r="D987" s="1" t="s">
        <v>1288</v>
      </c>
      <c r="E987" s="1" t="s">
        <v>1326</v>
      </c>
      <c r="F987" t="s">
        <v>1572</v>
      </c>
      <c r="G987" t="s">
        <v>290</v>
      </c>
      <c r="H987" t="s">
        <v>381</v>
      </c>
      <c r="I987" t="s">
        <v>1285</v>
      </c>
      <c r="J987" t="s">
        <v>1312</v>
      </c>
      <c r="K987" t="s">
        <v>1569</v>
      </c>
      <c r="L987" t="s">
        <v>1570</v>
      </c>
      <c r="M987" t="s">
        <v>1325</v>
      </c>
      <c r="N987">
        <v>45000</v>
      </c>
      <c r="O987" s="1" t="s">
        <v>1571</v>
      </c>
      <c r="P987" t="s">
        <v>1392</v>
      </c>
      <c r="Q987" t="s">
        <v>1294</v>
      </c>
      <c r="S987" t="s">
        <v>1294</v>
      </c>
      <c r="T987" t="s">
        <v>1296</v>
      </c>
      <c r="U987">
        <v>0</v>
      </c>
      <c r="V987" t="s">
        <v>1568</v>
      </c>
    </row>
    <row r="988" spans="1:22" ht="30" x14ac:dyDescent="0.25">
      <c r="A988" t="s">
        <v>1460</v>
      </c>
      <c r="B988" s="1" t="s">
        <v>1568</v>
      </c>
      <c r="C988" s="1" t="s">
        <v>1345</v>
      </c>
      <c r="D988" s="1" t="s">
        <v>1288</v>
      </c>
      <c r="E988" s="1" t="s">
        <v>1326</v>
      </c>
      <c r="F988" t="s">
        <v>1573</v>
      </c>
      <c r="G988" t="s">
        <v>290</v>
      </c>
      <c r="H988" t="s">
        <v>381</v>
      </c>
      <c r="I988" t="s">
        <v>1285</v>
      </c>
      <c r="J988" t="s">
        <v>1312</v>
      </c>
      <c r="K988" t="s">
        <v>1569</v>
      </c>
      <c r="L988" t="s">
        <v>1570</v>
      </c>
      <c r="M988" t="s">
        <v>1325</v>
      </c>
      <c r="N988">
        <v>45000</v>
      </c>
      <c r="O988" s="1" t="s">
        <v>1571</v>
      </c>
      <c r="P988" t="s">
        <v>1392</v>
      </c>
      <c r="Q988" t="s">
        <v>1294</v>
      </c>
      <c r="S988" t="s">
        <v>1294</v>
      </c>
      <c r="T988" t="s">
        <v>1296</v>
      </c>
      <c r="U988">
        <v>0</v>
      </c>
      <c r="V988" t="s">
        <v>1568</v>
      </c>
    </row>
    <row r="989" spans="1:22" x14ac:dyDescent="0.25">
      <c r="A989" t="s">
        <v>1460</v>
      </c>
      <c r="B989" s="1" t="s">
        <v>1568</v>
      </c>
      <c r="C989" s="1" t="s">
        <v>1345</v>
      </c>
      <c r="D989" s="1" t="s">
        <v>1288</v>
      </c>
      <c r="E989" s="1" t="s">
        <v>1504</v>
      </c>
      <c r="F989" t="s">
        <v>1574</v>
      </c>
      <c r="G989" t="s">
        <v>290</v>
      </c>
      <c r="H989" t="s">
        <v>381</v>
      </c>
      <c r="I989" t="s">
        <v>1285</v>
      </c>
      <c r="J989" t="s">
        <v>1312</v>
      </c>
      <c r="K989" t="s">
        <v>1569</v>
      </c>
      <c r="L989" t="s">
        <v>1570</v>
      </c>
      <c r="M989" t="s">
        <v>1325</v>
      </c>
      <c r="N989">
        <v>45000</v>
      </c>
      <c r="O989" s="1" t="s">
        <v>1571</v>
      </c>
      <c r="P989" t="s">
        <v>1392</v>
      </c>
      <c r="Q989" t="s">
        <v>1294</v>
      </c>
      <c r="S989" t="s">
        <v>1294</v>
      </c>
      <c r="T989" t="s">
        <v>1296</v>
      </c>
      <c r="U989">
        <v>0</v>
      </c>
      <c r="V989" t="s">
        <v>1568</v>
      </c>
    </row>
    <row r="990" spans="1:22" x14ac:dyDescent="0.25">
      <c r="A990" t="s">
        <v>1460</v>
      </c>
      <c r="B990" s="1" t="s">
        <v>1568</v>
      </c>
      <c r="C990" s="1" t="s">
        <v>1345</v>
      </c>
      <c r="D990" s="1" t="s">
        <v>1288</v>
      </c>
      <c r="E990" s="1" t="s">
        <v>1368</v>
      </c>
      <c r="F990" t="s">
        <v>1575</v>
      </c>
      <c r="G990" t="s">
        <v>290</v>
      </c>
      <c r="H990" t="s">
        <v>381</v>
      </c>
      <c r="I990" t="s">
        <v>1285</v>
      </c>
      <c r="J990" t="s">
        <v>1312</v>
      </c>
      <c r="K990" t="s">
        <v>1569</v>
      </c>
      <c r="L990" t="s">
        <v>1570</v>
      </c>
      <c r="M990" t="s">
        <v>1325</v>
      </c>
      <c r="N990">
        <v>45000</v>
      </c>
      <c r="O990" s="1" t="s">
        <v>1571</v>
      </c>
      <c r="P990" t="s">
        <v>1392</v>
      </c>
      <c r="Q990" t="s">
        <v>1294</v>
      </c>
      <c r="S990" t="s">
        <v>1294</v>
      </c>
      <c r="T990" t="s">
        <v>1296</v>
      </c>
      <c r="U990">
        <v>0</v>
      </c>
      <c r="V990" t="s">
        <v>1568</v>
      </c>
    </row>
    <row r="991" spans="1:22" ht="30" x14ac:dyDescent="0.25">
      <c r="A991" t="s">
        <v>1460</v>
      </c>
      <c r="B991" s="1" t="s">
        <v>1568</v>
      </c>
      <c r="C991" s="1" t="s">
        <v>1345</v>
      </c>
      <c r="D991" s="1" t="s">
        <v>1288</v>
      </c>
      <c r="E991" s="1" t="s">
        <v>1326</v>
      </c>
      <c r="F991" t="s">
        <v>1576</v>
      </c>
      <c r="G991" t="s">
        <v>290</v>
      </c>
      <c r="H991" t="s">
        <v>381</v>
      </c>
      <c r="I991" t="s">
        <v>1285</v>
      </c>
      <c r="J991" t="s">
        <v>1312</v>
      </c>
      <c r="K991" t="s">
        <v>1569</v>
      </c>
      <c r="L991" t="s">
        <v>1570</v>
      </c>
      <c r="M991" t="s">
        <v>1325</v>
      </c>
      <c r="N991">
        <v>45000</v>
      </c>
      <c r="O991" s="1" t="s">
        <v>1571</v>
      </c>
      <c r="P991" t="s">
        <v>1392</v>
      </c>
      <c r="Q991" t="s">
        <v>1294</v>
      </c>
      <c r="S991" t="s">
        <v>1294</v>
      </c>
      <c r="T991" t="s">
        <v>1296</v>
      </c>
      <c r="U991">
        <v>0</v>
      </c>
      <c r="V991" t="s">
        <v>1568</v>
      </c>
    </row>
    <row r="992" spans="1:22" ht="30" x14ac:dyDescent="0.25">
      <c r="A992" t="s">
        <v>1460</v>
      </c>
      <c r="B992" s="1" t="s">
        <v>1568</v>
      </c>
      <c r="C992" s="1" t="s">
        <v>1345</v>
      </c>
      <c r="D992" s="1" t="s">
        <v>1288</v>
      </c>
      <c r="E992" s="1" t="s">
        <v>1326</v>
      </c>
      <c r="F992" t="s">
        <v>1577</v>
      </c>
      <c r="G992" t="s">
        <v>290</v>
      </c>
      <c r="H992" t="s">
        <v>381</v>
      </c>
      <c r="I992" t="s">
        <v>1285</v>
      </c>
      <c r="J992" t="s">
        <v>1312</v>
      </c>
      <c r="K992" t="s">
        <v>1569</v>
      </c>
      <c r="L992" t="s">
        <v>1570</v>
      </c>
      <c r="M992" t="s">
        <v>1325</v>
      </c>
      <c r="N992">
        <v>45000</v>
      </c>
      <c r="O992" s="1" t="s">
        <v>1571</v>
      </c>
      <c r="P992" t="s">
        <v>1392</v>
      </c>
      <c r="Q992" t="s">
        <v>1294</v>
      </c>
      <c r="S992" t="s">
        <v>1294</v>
      </c>
      <c r="T992" t="s">
        <v>1296</v>
      </c>
      <c r="U992">
        <v>0</v>
      </c>
      <c r="V992" t="s">
        <v>1568</v>
      </c>
    </row>
    <row r="993" spans="1:22" ht="30" x14ac:dyDescent="0.25">
      <c r="A993" t="s">
        <v>1460</v>
      </c>
      <c r="B993" s="1" t="s">
        <v>1568</v>
      </c>
      <c r="C993" s="1" t="s">
        <v>1345</v>
      </c>
      <c r="D993" s="1" t="s">
        <v>1288</v>
      </c>
      <c r="E993" s="1" t="s">
        <v>1326</v>
      </c>
      <c r="F993" t="s">
        <v>1578</v>
      </c>
      <c r="G993" t="s">
        <v>290</v>
      </c>
      <c r="H993" t="s">
        <v>381</v>
      </c>
      <c r="I993" t="s">
        <v>1285</v>
      </c>
      <c r="J993" t="s">
        <v>1312</v>
      </c>
      <c r="K993" t="s">
        <v>1569</v>
      </c>
      <c r="L993" t="s">
        <v>1570</v>
      </c>
      <c r="M993" t="s">
        <v>1325</v>
      </c>
      <c r="N993">
        <v>45000</v>
      </c>
      <c r="O993" s="1" t="s">
        <v>1571</v>
      </c>
      <c r="P993" t="s">
        <v>1392</v>
      </c>
      <c r="Q993" t="s">
        <v>1294</v>
      </c>
      <c r="S993" t="s">
        <v>1294</v>
      </c>
      <c r="T993" t="s">
        <v>1296</v>
      </c>
      <c r="U993">
        <v>0</v>
      </c>
      <c r="V993" t="s">
        <v>1568</v>
      </c>
    </row>
    <row r="994" spans="1:22" x14ac:dyDescent="0.25">
      <c r="A994" t="s">
        <v>1460</v>
      </c>
      <c r="B994" s="1" t="s">
        <v>1568</v>
      </c>
      <c r="C994" s="1" t="s">
        <v>1327</v>
      </c>
      <c r="D994" s="1" t="s">
        <v>1288</v>
      </c>
      <c r="E994" s="1" t="s">
        <v>1374</v>
      </c>
      <c r="F994" t="s">
        <v>1579</v>
      </c>
      <c r="G994" t="s">
        <v>290</v>
      </c>
      <c r="H994" t="s">
        <v>381</v>
      </c>
      <c r="I994" t="s">
        <v>1285</v>
      </c>
      <c r="J994" t="s">
        <v>1312</v>
      </c>
      <c r="K994" t="s">
        <v>1569</v>
      </c>
      <c r="L994" t="s">
        <v>1570</v>
      </c>
      <c r="M994" t="s">
        <v>1325</v>
      </c>
      <c r="N994">
        <v>45000</v>
      </c>
      <c r="O994" s="1" t="s">
        <v>1571</v>
      </c>
      <c r="P994" t="s">
        <v>1392</v>
      </c>
      <c r="Q994" t="s">
        <v>1294</v>
      </c>
      <c r="S994" t="s">
        <v>1294</v>
      </c>
      <c r="T994" t="s">
        <v>1296</v>
      </c>
      <c r="U994">
        <v>0</v>
      </c>
      <c r="V994" t="s">
        <v>1568</v>
      </c>
    </row>
    <row r="995" spans="1:22" ht="30" x14ac:dyDescent="0.25">
      <c r="A995" t="s">
        <v>1460</v>
      </c>
      <c r="B995" s="1" t="s">
        <v>1568</v>
      </c>
      <c r="C995" s="1" t="s">
        <v>1327</v>
      </c>
      <c r="D995" s="1" t="s">
        <v>1288</v>
      </c>
      <c r="E995" s="1" t="s">
        <v>1326</v>
      </c>
      <c r="F995" t="s">
        <v>1580</v>
      </c>
      <c r="G995" t="s">
        <v>290</v>
      </c>
      <c r="H995" t="s">
        <v>381</v>
      </c>
      <c r="I995" t="s">
        <v>1285</v>
      </c>
      <c r="J995" t="s">
        <v>1312</v>
      </c>
      <c r="K995" t="s">
        <v>1569</v>
      </c>
      <c r="L995" t="s">
        <v>1570</v>
      </c>
      <c r="M995" t="s">
        <v>1325</v>
      </c>
      <c r="N995">
        <v>45000</v>
      </c>
      <c r="O995" s="1" t="s">
        <v>1571</v>
      </c>
      <c r="P995" t="s">
        <v>1392</v>
      </c>
      <c r="Q995" t="s">
        <v>1294</v>
      </c>
      <c r="S995" t="s">
        <v>1294</v>
      </c>
      <c r="T995" t="s">
        <v>1296</v>
      </c>
      <c r="U995">
        <v>0</v>
      </c>
      <c r="V995" t="s">
        <v>1568</v>
      </c>
    </row>
    <row r="996" spans="1:22" x14ac:dyDescent="0.25">
      <c r="A996" t="s">
        <v>1460</v>
      </c>
      <c r="B996" s="1" t="s">
        <v>1568</v>
      </c>
      <c r="C996" s="1" t="s">
        <v>1343</v>
      </c>
      <c r="D996" s="1" t="s">
        <v>1288</v>
      </c>
      <c r="E996" s="1" t="s">
        <v>1504</v>
      </c>
      <c r="F996" t="s">
        <v>1651</v>
      </c>
      <c r="G996" t="s">
        <v>290</v>
      </c>
      <c r="H996" t="s">
        <v>381</v>
      </c>
      <c r="I996" t="s">
        <v>1285</v>
      </c>
      <c r="J996" t="s">
        <v>1312</v>
      </c>
      <c r="K996" t="s">
        <v>1569</v>
      </c>
      <c r="L996" t="s">
        <v>1570</v>
      </c>
      <c r="M996" t="s">
        <v>1325</v>
      </c>
      <c r="N996">
        <v>45000</v>
      </c>
      <c r="O996" s="1" t="s">
        <v>1571</v>
      </c>
      <c r="P996" t="s">
        <v>1392</v>
      </c>
      <c r="Q996" t="s">
        <v>1294</v>
      </c>
      <c r="S996" t="s">
        <v>1294</v>
      </c>
      <c r="T996" t="s">
        <v>1296</v>
      </c>
      <c r="U996">
        <v>0</v>
      </c>
      <c r="V996" t="s">
        <v>1568</v>
      </c>
    </row>
    <row r="997" spans="1:22" x14ac:dyDescent="0.25">
      <c r="A997" t="s">
        <v>1871</v>
      </c>
      <c r="B997" s="1" t="s">
        <v>1568</v>
      </c>
      <c r="C997" s="1" t="s">
        <v>1530</v>
      </c>
      <c r="D997" s="1" t="s">
        <v>1288</v>
      </c>
      <c r="E997" s="1" t="s">
        <v>1358</v>
      </c>
      <c r="F997" t="s">
        <v>2107</v>
      </c>
      <c r="G997" t="s">
        <v>290</v>
      </c>
      <c r="H997" t="s">
        <v>381</v>
      </c>
      <c r="I997" t="s">
        <v>1285</v>
      </c>
      <c r="J997" t="s">
        <v>1312</v>
      </c>
      <c r="K997" t="s">
        <v>1569</v>
      </c>
      <c r="L997" t="s">
        <v>1570</v>
      </c>
      <c r="M997" t="s">
        <v>1325</v>
      </c>
      <c r="N997">
        <v>45000</v>
      </c>
      <c r="O997" s="1" t="s">
        <v>1571</v>
      </c>
      <c r="P997" t="s">
        <v>1392</v>
      </c>
      <c r="Q997" t="s">
        <v>1294</v>
      </c>
      <c r="S997" t="s">
        <v>1294</v>
      </c>
      <c r="T997" t="s">
        <v>1296</v>
      </c>
      <c r="U997">
        <v>0</v>
      </c>
      <c r="V997" t="s">
        <v>1568</v>
      </c>
    </row>
    <row r="998" spans="1:22" x14ac:dyDescent="0.25">
      <c r="A998" t="s">
        <v>1871</v>
      </c>
      <c r="B998" s="1" t="s">
        <v>1568</v>
      </c>
      <c r="C998" s="1" t="s">
        <v>1530</v>
      </c>
      <c r="D998" s="1" t="s">
        <v>1288</v>
      </c>
      <c r="E998" s="1" t="s">
        <v>1358</v>
      </c>
      <c r="F998" t="s">
        <v>2108</v>
      </c>
      <c r="G998" t="s">
        <v>290</v>
      </c>
      <c r="H998" t="s">
        <v>381</v>
      </c>
      <c r="I998" t="s">
        <v>1285</v>
      </c>
      <c r="J998" t="s">
        <v>1312</v>
      </c>
      <c r="K998" t="s">
        <v>1569</v>
      </c>
      <c r="L998" t="s">
        <v>1570</v>
      </c>
      <c r="M998" t="s">
        <v>1325</v>
      </c>
      <c r="N998">
        <v>45000</v>
      </c>
      <c r="O998" s="1" t="s">
        <v>1571</v>
      </c>
      <c r="P998" t="s">
        <v>1392</v>
      </c>
      <c r="Q998" t="s">
        <v>1294</v>
      </c>
      <c r="S998" t="s">
        <v>1294</v>
      </c>
      <c r="T998" t="s">
        <v>1296</v>
      </c>
      <c r="U998">
        <v>0</v>
      </c>
      <c r="V998" t="s">
        <v>1568</v>
      </c>
    </row>
    <row r="999" spans="1:22" x14ac:dyDescent="0.25">
      <c r="A999" t="s">
        <v>1871</v>
      </c>
      <c r="B999" s="1" t="s">
        <v>1568</v>
      </c>
      <c r="C999" s="1" t="s">
        <v>1530</v>
      </c>
      <c r="D999" s="1" t="s">
        <v>1288</v>
      </c>
      <c r="E999" s="1" t="s">
        <v>1374</v>
      </c>
      <c r="F999" t="s">
        <v>2109</v>
      </c>
      <c r="G999" t="s">
        <v>290</v>
      </c>
      <c r="H999" t="s">
        <v>381</v>
      </c>
      <c r="I999" t="s">
        <v>1285</v>
      </c>
      <c r="J999" t="s">
        <v>1312</v>
      </c>
      <c r="K999" t="s">
        <v>1569</v>
      </c>
      <c r="L999" t="s">
        <v>1570</v>
      </c>
      <c r="M999" t="s">
        <v>1325</v>
      </c>
      <c r="N999">
        <v>45000</v>
      </c>
      <c r="O999" s="1" t="s">
        <v>1571</v>
      </c>
      <c r="P999" t="s">
        <v>1392</v>
      </c>
      <c r="Q999" t="s">
        <v>1294</v>
      </c>
      <c r="S999" t="s">
        <v>1294</v>
      </c>
      <c r="T999" t="s">
        <v>1296</v>
      </c>
      <c r="U999">
        <v>0</v>
      </c>
      <c r="V999" t="s">
        <v>1568</v>
      </c>
    </row>
    <row r="1000" spans="1:22" x14ac:dyDescent="0.25">
      <c r="A1000" t="s">
        <v>1871</v>
      </c>
      <c r="B1000" s="1" t="s">
        <v>1568</v>
      </c>
      <c r="C1000" s="1" t="s">
        <v>1530</v>
      </c>
      <c r="D1000" s="1" t="s">
        <v>1288</v>
      </c>
      <c r="E1000" s="1" t="s">
        <v>1358</v>
      </c>
      <c r="F1000" t="s">
        <v>2110</v>
      </c>
      <c r="G1000" t="s">
        <v>290</v>
      </c>
      <c r="H1000" t="s">
        <v>381</v>
      </c>
      <c r="I1000" t="s">
        <v>1285</v>
      </c>
      <c r="J1000" t="s">
        <v>1312</v>
      </c>
      <c r="K1000" t="s">
        <v>1569</v>
      </c>
      <c r="L1000" t="s">
        <v>1570</v>
      </c>
      <c r="M1000" t="s">
        <v>1325</v>
      </c>
      <c r="N1000">
        <v>45000</v>
      </c>
      <c r="O1000" s="1" t="s">
        <v>1571</v>
      </c>
      <c r="P1000" t="s">
        <v>1392</v>
      </c>
      <c r="Q1000" t="s">
        <v>1294</v>
      </c>
      <c r="S1000" t="s">
        <v>1294</v>
      </c>
      <c r="T1000" t="s">
        <v>1296</v>
      </c>
      <c r="U1000">
        <v>0</v>
      </c>
      <c r="V1000" t="s">
        <v>1568</v>
      </c>
    </row>
    <row r="1001" spans="1:22" x14ac:dyDescent="0.25">
      <c r="A1001" t="s">
        <v>1871</v>
      </c>
      <c r="B1001" s="1" t="s">
        <v>1568</v>
      </c>
      <c r="C1001" s="1" t="s">
        <v>1530</v>
      </c>
      <c r="D1001" s="1" t="s">
        <v>1288</v>
      </c>
      <c r="E1001" s="1" t="s">
        <v>1358</v>
      </c>
      <c r="F1001" t="s">
        <v>2111</v>
      </c>
      <c r="G1001" t="s">
        <v>290</v>
      </c>
      <c r="H1001" t="s">
        <v>381</v>
      </c>
      <c r="I1001" t="s">
        <v>1285</v>
      </c>
      <c r="J1001" t="s">
        <v>1312</v>
      </c>
      <c r="K1001" t="s">
        <v>1569</v>
      </c>
      <c r="L1001" t="s">
        <v>1570</v>
      </c>
      <c r="M1001" t="s">
        <v>1325</v>
      </c>
      <c r="N1001">
        <v>45000</v>
      </c>
      <c r="O1001" s="1" t="s">
        <v>1571</v>
      </c>
      <c r="P1001" t="s">
        <v>1392</v>
      </c>
      <c r="Q1001" t="s">
        <v>1294</v>
      </c>
      <c r="S1001" t="s">
        <v>1294</v>
      </c>
      <c r="T1001" t="s">
        <v>1296</v>
      </c>
      <c r="U1001">
        <v>0</v>
      </c>
      <c r="V1001" t="s">
        <v>1568</v>
      </c>
    </row>
    <row r="1002" spans="1:22" x14ac:dyDescent="0.25">
      <c r="A1002" t="s">
        <v>1871</v>
      </c>
      <c r="B1002" s="1" t="s">
        <v>1568</v>
      </c>
      <c r="C1002" s="1" t="s">
        <v>1530</v>
      </c>
      <c r="D1002" s="1" t="s">
        <v>1288</v>
      </c>
      <c r="E1002" s="1" t="s">
        <v>1358</v>
      </c>
      <c r="F1002" t="s">
        <v>2112</v>
      </c>
      <c r="G1002" t="s">
        <v>290</v>
      </c>
      <c r="H1002" t="s">
        <v>381</v>
      </c>
      <c r="I1002" t="s">
        <v>1285</v>
      </c>
      <c r="J1002" t="s">
        <v>1312</v>
      </c>
      <c r="K1002" t="s">
        <v>1569</v>
      </c>
      <c r="L1002" t="s">
        <v>1570</v>
      </c>
      <c r="M1002" t="s">
        <v>1325</v>
      </c>
      <c r="N1002">
        <v>45000</v>
      </c>
      <c r="O1002" s="1" t="s">
        <v>1571</v>
      </c>
      <c r="P1002" t="s">
        <v>1392</v>
      </c>
      <c r="Q1002" t="s">
        <v>1294</v>
      </c>
      <c r="S1002" t="s">
        <v>1294</v>
      </c>
      <c r="T1002" t="s">
        <v>1296</v>
      </c>
      <c r="U1002">
        <v>0</v>
      </c>
      <c r="V1002" t="s">
        <v>1568</v>
      </c>
    </row>
    <row r="1003" spans="1:22" x14ac:dyDescent="0.25">
      <c r="A1003" t="s">
        <v>1871</v>
      </c>
      <c r="B1003" s="1" t="s">
        <v>1568</v>
      </c>
      <c r="C1003" s="1" t="s">
        <v>1530</v>
      </c>
      <c r="D1003" s="1" t="s">
        <v>1288</v>
      </c>
      <c r="E1003" s="1" t="s">
        <v>1358</v>
      </c>
      <c r="F1003" t="s">
        <v>2113</v>
      </c>
      <c r="G1003" t="s">
        <v>290</v>
      </c>
      <c r="H1003" t="s">
        <v>381</v>
      </c>
      <c r="I1003" t="s">
        <v>1285</v>
      </c>
      <c r="J1003" t="s">
        <v>1312</v>
      </c>
      <c r="K1003" t="s">
        <v>1569</v>
      </c>
      <c r="L1003" t="s">
        <v>1570</v>
      </c>
      <c r="M1003" t="s">
        <v>1325</v>
      </c>
      <c r="N1003">
        <v>45000</v>
      </c>
      <c r="O1003" s="1" t="s">
        <v>1571</v>
      </c>
      <c r="P1003" t="s">
        <v>1392</v>
      </c>
      <c r="Q1003" t="s">
        <v>1294</v>
      </c>
      <c r="S1003" t="s">
        <v>1294</v>
      </c>
      <c r="T1003" t="s">
        <v>1296</v>
      </c>
      <c r="U1003">
        <v>0</v>
      </c>
      <c r="V1003" t="s">
        <v>1568</v>
      </c>
    </row>
    <row r="1004" spans="1:22" x14ac:dyDescent="0.25">
      <c r="A1004" t="s">
        <v>1871</v>
      </c>
      <c r="B1004" s="1" t="s">
        <v>1568</v>
      </c>
      <c r="C1004" s="1" t="s">
        <v>1530</v>
      </c>
      <c r="D1004" s="1" t="s">
        <v>1288</v>
      </c>
      <c r="E1004" s="1" t="s">
        <v>1358</v>
      </c>
      <c r="F1004" t="s">
        <v>2114</v>
      </c>
      <c r="G1004" t="s">
        <v>290</v>
      </c>
      <c r="H1004" t="s">
        <v>381</v>
      </c>
      <c r="I1004" t="s">
        <v>1285</v>
      </c>
      <c r="J1004" t="s">
        <v>1312</v>
      </c>
      <c r="K1004" t="s">
        <v>1569</v>
      </c>
      <c r="L1004" t="s">
        <v>1570</v>
      </c>
      <c r="M1004" t="s">
        <v>1325</v>
      </c>
      <c r="N1004">
        <v>45000</v>
      </c>
      <c r="O1004" s="1" t="s">
        <v>1571</v>
      </c>
      <c r="P1004" t="s">
        <v>1392</v>
      </c>
      <c r="Q1004" t="s">
        <v>1294</v>
      </c>
      <c r="S1004" t="s">
        <v>1294</v>
      </c>
      <c r="T1004" t="s">
        <v>1296</v>
      </c>
      <c r="U1004">
        <v>0</v>
      </c>
      <c r="V1004" t="s">
        <v>1568</v>
      </c>
    </row>
    <row r="1005" spans="1:22" x14ac:dyDescent="0.25">
      <c r="A1005" t="s">
        <v>1871</v>
      </c>
      <c r="B1005" s="1" t="s">
        <v>1568</v>
      </c>
      <c r="C1005" s="1" t="s">
        <v>1530</v>
      </c>
      <c r="D1005" s="1" t="s">
        <v>1288</v>
      </c>
      <c r="E1005" s="1" t="s">
        <v>1374</v>
      </c>
      <c r="F1005" t="s">
        <v>2115</v>
      </c>
      <c r="G1005" t="s">
        <v>290</v>
      </c>
      <c r="H1005" t="s">
        <v>381</v>
      </c>
      <c r="I1005" t="s">
        <v>1285</v>
      </c>
      <c r="J1005" t="s">
        <v>1312</v>
      </c>
      <c r="K1005" t="s">
        <v>1569</v>
      </c>
      <c r="L1005" t="s">
        <v>1570</v>
      </c>
      <c r="M1005" t="s">
        <v>1325</v>
      </c>
      <c r="N1005">
        <v>45000</v>
      </c>
      <c r="O1005" s="1" t="s">
        <v>1571</v>
      </c>
      <c r="P1005" t="s">
        <v>1392</v>
      </c>
      <c r="Q1005" t="s">
        <v>1294</v>
      </c>
      <c r="S1005" t="s">
        <v>1294</v>
      </c>
      <c r="T1005" t="s">
        <v>1296</v>
      </c>
      <c r="U1005">
        <v>0</v>
      </c>
      <c r="V1005" t="s">
        <v>1568</v>
      </c>
    </row>
    <row r="1006" spans="1:22" ht="30" x14ac:dyDescent="0.25">
      <c r="A1006" t="s">
        <v>1871</v>
      </c>
      <c r="B1006" s="1" t="s">
        <v>1568</v>
      </c>
      <c r="C1006" s="1" t="s">
        <v>1530</v>
      </c>
      <c r="D1006" s="1" t="s">
        <v>1288</v>
      </c>
      <c r="E1006" s="1" t="s">
        <v>1326</v>
      </c>
      <c r="F1006" t="s">
        <v>2116</v>
      </c>
      <c r="G1006" t="s">
        <v>290</v>
      </c>
      <c r="H1006" t="s">
        <v>381</v>
      </c>
      <c r="I1006" t="s">
        <v>1285</v>
      </c>
      <c r="J1006" t="s">
        <v>1312</v>
      </c>
      <c r="K1006" t="s">
        <v>1569</v>
      </c>
      <c r="L1006" t="s">
        <v>1570</v>
      </c>
      <c r="M1006" t="s">
        <v>1325</v>
      </c>
      <c r="N1006">
        <v>45000</v>
      </c>
      <c r="O1006" s="1" t="s">
        <v>1571</v>
      </c>
      <c r="P1006" t="s">
        <v>1392</v>
      </c>
      <c r="Q1006" t="s">
        <v>1294</v>
      </c>
      <c r="S1006" t="s">
        <v>1294</v>
      </c>
      <c r="T1006" t="s">
        <v>1296</v>
      </c>
      <c r="U1006">
        <v>0</v>
      </c>
      <c r="V1006" t="s">
        <v>1568</v>
      </c>
    </row>
    <row r="1007" spans="1:22" ht="30" x14ac:dyDescent="0.25">
      <c r="A1007" t="s">
        <v>1871</v>
      </c>
      <c r="B1007" s="1" t="s">
        <v>1568</v>
      </c>
      <c r="C1007" s="1" t="s">
        <v>1530</v>
      </c>
      <c r="D1007" s="1" t="s">
        <v>1288</v>
      </c>
      <c r="E1007" s="1" t="s">
        <v>1326</v>
      </c>
      <c r="F1007" t="s">
        <v>2117</v>
      </c>
      <c r="G1007" t="s">
        <v>290</v>
      </c>
      <c r="H1007" t="s">
        <v>381</v>
      </c>
      <c r="I1007" t="s">
        <v>1285</v>
      </c>
      <c r="J1007" t="s">
        <v>1312</v>
      </c>
      <c r="K1007" t="s">
        <v>1569</v>
      </c>
      <c r="L1007" t="s">
        <v>1570</v>
      </c>
      <c r="M1007" t="s">
        <v>1325</v>
      </c>
      <c r="N1007">
        <v>45000</v>
      </c>
      <c r="O1007" s="1" t="s">
        <v>1571</v>
      </c>
      <c r="P1007" t="s">
        <v>1392</v>
      </c>
      <c r="Q1007" t="s">
        <v>1294</v>
      </c>
      <c r="S1007" t="s">
        <v>1294</v>
      </c>
      <c r="T1007" t="s">
        <v>1296</v>
      </c>
      <c r="U1007">
        <v>0</v>
      </c>
      <c r="V1007" t="s">
        <v>1568</v>
      </c>
    </row>
    <row r="1008" spans="1:22" ht="30" x14ac:dyDescent="0.25">
      <c r="A1008" t="s">
        <v>1871</v>
      </c>
      <c r="B1008" s="1" t="s">
        <v>1568</v>
      </c>
      <c r="C1008" s="1" t="s">
        <v>1530</v>
      </c>
      <c r="D1008" s="1" t="s">
        <v>1288</v>
      </c>
      <c r="E1008" s="1" t="s">
        <v>1326</v>
      </c>
      <c r="F1008" t="s">
        <v>2118</v>
      </c>
      <c r="G1008" t="s">
        <v>290</v>
      </c>
      <c r="H1008" t="s">
        <v>381</v>
      </c>
      <c r="I1008" t="s">
        <v>1285</v>
      </c>
      <c r="J1008" t="s">
        <v>1312</v>
      </c>
      <c r="K1008" t="s">
        <v>1569</v>
      </c>
      <c r="L1008" t="s">
        <v>1570</v>
      </c>
      <c r="M1008" t="s">
        <v>1325</v>
      </c>
      <c r="N1008">
        <v>45000</v>
      </c>
      <c r="O1008" s="1" t="s">
        <v>1571</v>
      </c>
      <c r="P1008" t="s">
        <v>1392</v>
      </c>
      <c r="Q1008" t="s">
        <v>1294</v>
      </c>
      <c r="S1008" t="s">
        <v>1294</v>
      </c>
      <c r="T1008" t="s">
        <v>1296</v>
      </c>
      <c r="U1008">
        <v>0</v>
      </c>
      <c r="V1008" t="s">
        <v>1568</v>
      </c>
    </row>
    <row r="1009" spans="1:22" x14ac:dyDescent="0.25">
      <c r="A1009" t="s">
        <v>1871</v>
      </c>
      <c r="B1009" s="1" t="s">
        <v>1568</v>
      </c>
      <c r="C1009" s="1" t="s">
        <v>1530</v>
      </c>
      <c r="D1009" s="1" t="s">
        <v>1288</v>
      </c>
      <c r="E1009" s="1" t="s">
        <v>1374</v>
      </c>
      <c r="F1009" t="s">
        <v>290</v>
      </c>
      <c r="G1009" t="s">
        <v>290</v>
      </c>
      <c r="H1009" t="s">
        <v>381</v>
      </c>
      <c r="I1009" t="s">
        <v>1285</v>
      </c>
      <c r="J1009" t="s">
        <v>1312</v>
      </c>
      <c r="K1009" t="s">
        <v>1569</v>
      </c>
      <c r="L1009" t="s">
        <v>1570</v>
      </c>
      <c r="M1009" t="s">
        <v>1325</v>
      </c>
      <c r="N1009">
        <v>45000</v>
      </c>
      <c r="O1009" s="1" t="s">
        <v>1571</v>
      </c>
      <c r="P1009" t="s">
        <v>1392</v>
      </c>
      <c r="Q1009" t="s">
        <v>1294</v>
      </c>
      <c r="S1009" t="s">
        <v>1294</v>
      </c>
      <c r="T1009" t="s">
        <v>1296</v>
      </c>
      <c r="U1009">
        <v>0</v>
      </c>
      <c r="V1009" t="s">
        <v>1568</v>
      </c>
    </row>
    <row r="1010" spans="1:22" ht="30" x14ac:dyDescent="0.25">
      <c r="A1010" t="s">
        <v>1871</v>
      </c>
      <c r="B1010" s="1" t="s">
        <v>1568</v>
      </c>
      <c r="C1010" s="1" t="s">
        <v>1530</v>
      </c>
      <c r="D1010" s="1" t="s">
        <v>1288</v>
      </c>
      <c r="E1010" s="1" t="s">
        <v>1326</v>
      </c>
      <c r="F1010" t="s">
        <v>2907</v>
      </c>
      <c r="G1010" t="s">
        <v>290</v>
      </c>
      <c r="H1010" t="s">
        <v>381</v>
      </c>
      <c r="I1010" t="s">
        <v>1285</v>
      </c>
      <c r="J1010" t="s">
        <v>1312</v>
      </c>
      <c r="K1010" t="s">
        <v>1569</v>
      </c>
      <c r="L1010" t="s">
        <v>1570</v>
      </c>
      <c r="M1010" t="s">
        <v>1325</v>
      </c>
      <c r="N1010">
        <v>45000</v>
      </c>
      <c r="O1010" s="1" t="s">
        <v>1571</v>
      </c>
      <c r="P1010" t="s">
        <v>1392</v>
      </c>
      <c r="Q1010" t="s">
        <v>1294</v>
      </c>
      <c r="S1010" t="s">
        <v>1294</v>
      </c>
      <c r="T1010" t="s">
        <v>1296</v>
      </c>
      <c r="U1010">
        <v>0</v>
      </c>
      <c r="V1010" t="s">
        <v>1568</v>
      </c>
    </row>
    <row r="1011" spans="1:22" ht="30" x14ac:dyDescent="0.25">
      <c r="A1011" t="s">
        <v>1871</v>
      </c>
      <c r="B1011" s="1" t="s">
        <v>1568</v>
      </c>
      <c r="C1011" s="1" t="s">
        <v>1530</v>
      </c>
      <c r="D1011" s="1" t="s">
        <v>1288</v>
      </c>
      <c r="E1011" s="1" t="s">
        <v>1326</v>
      </c>
      <c r="F1011" t="s">
        <v>2908</v>
      </c>
      <c r="G1011" t="s">
        <v>290</v>
      </c>
      <c r="H1011" t="s">
        <v>381</v>
      </c>
      <c r="I1011" t="s">
        <v>1285</v>
      </c>
      <c r="J1011" t="s">
        <v>1312</v>
      </c>
      <c r="K1011" t="s">
        <v>1569</v>
      </c>
      <c r="L1011" t="s">
        <v>1570</v>
      </c>
      <c r="M1011" t="s">
        <v>1325</v>
      </c>
      <c r="N1011">
        <v>45000</v>
      </c>
      <c r="O1011" s="1" t="s">
        <v>1571</v>
      </c>
      <c r="P1011" t="s">
        <v>1392</v>
      </c>
      <c r="Q1011" t="s">
        <v>1294</v>
      </c>
      <c r="S1011" t="s">
        <v>1294</v>
      </c>
      <c r="T1011" t="s">
        <v>1296</v>
      </c>
      <c r="U1011">
        <v>0</v>
      </c>
      <c r="V1011" t="s">
        <v>1568</v>
      </c>
    </row>
    <row r="1012" spans="1:22" ht="30" x14ac:dyDescent="0.25">
      <c r="A1012" t="s">
        <v>1871</v>
      </c>
      <c r="B1012" s="1" t="s">
        <v>1568</v>
      </c>
      <c r="C1012" s="1" t="s">
        <v>1530</v>
      </c>
      <c r="D1012" s="1" t="s">
        <v>1288</v>
      </c>
      <c r="E1012" s="1" t="s">
        <v>1326</v>
      </c>
      <c r="F1012" t="s">
        <v>2909</v>
      </c>
      <c r="G1012" t="s">
        <v>290</v>
      </c>
      <c r="H1012" t="s">
        <v>381</v>
      </c>
      <c r="I1012" t="s">
        <v>1285</v>
      </c>
      <c r="J1012" t="s">
        <v>1312</v>
      </c>
      <c r="K1012" t="s">
        <v>1569</v>
      </c>
      <c r="L1012" t="s">
        <v>1570</v>
      </c>
      <c r="M1012" t="s">
        <v>1325</v>
      </c>
      <c r="N1012">
        <v>45000</v>
      </c>
      <c r="O1012" s="1" t="s">
        <v>1571</v>
      </c>
      <c r="P1012" t="s">
        <v>1392</v>
      </c>
      <c r="Q1012" t="s">
        <v>1294</v>
      </c>
      <c r="S1012" t="s">
        <v>1294</v>
      </c>
      <c r="T1012" t="s">
        <v>1296</v>
      </c>
      <c r="U1012">
        <v>0</v>
      </c>
      <c r="V1012" t="s">
        <v>1568</v>
      </c>
    </row>
    <row r="1013" spans="1:22" ht="30" x14ac:dyDescent="0.25">
      <c r="A1013" t="s">
        <v>1871</v>
      </c>
      <c r="B1013" s="1" t="s">
        <v>1568</v>
      </c>
      <c r="C1013" s="1" t="s">
        <v>1530</v>
      </c>
      <c r="D1013" s="1" t="s">
        <v>1288</v>
      </c>
      <c r="E1013" s="1" t="s">
        <v>1326</v>
      </c>
      <c r="F1013" t="s">
        <v>2910</v>
      </c>
      <c r="G1013" t="s">
        <v>290</v>
      </c>
      <c r="H1013" t="s">
        <v>381</v>
      </c>
      <c r="I1013" t="s">
        <v>1285</v>
      </c>
      <c r="J1013" t="s">
        <v>1312</v>
      </c>
      <c r="K1013" t="s">
        <v>1569</v>
      </c>
      <c r="L1013" t="s">
        <v>1570</v>
      </c>
      <c r="M1013" t="s">
        <v>1325</v>
      </c>
      <c r="N1013">
        <v>45000</v>
      </c>
      <c r="O1013" s="1" t="s">
        <v>1571</v>
      </c>
      <c r="P1013" t="s">
        <v>1392</v>
      </c>
      <c r="Q1013" t="s">
        <v>1294</v>
      </c>
      <c r="S1013" t="s">
        <v>1294</v>
      </c>
      <c r="T1013" t="s">
        <v>1296</v>
      </c>
      <c r="U1013">
        <v>0</v>
      </c>
      <c r="V1013" t="s">
        <v>1568</v>
      </c>
    </row>
    <row r="1014" spans="1:22" ht="30" x14ac:dyDescent="0.25">
      <c r="A1014" t="s">
        <v>1871</v>
      </c>
      <c r="B1014" s="1" t="s">
        <v>1568</v>
      </c>
      <c r="C1014" s="1" t="s">
        <v>1530</v>
      </c>
      <c r="D1014" s="1" t="s">
        <v>1288</v>
      </c>
      <c r="E1014" s="1" t="s">
        <v>1326</v>
      </c>
      <c r="F1014" t="s">
        <v>2911</v>
      </c>
      <c r="G1014" t="s">
        <v>290</v>
      </c>
      <c r="H1014" t="s">
        <v>381</v>
      </c>
      <c r="I1014" t="s">
        <v>1285</v>
      </c>
      <c r="J1014" t="s">
        <v>1312</v>
      </c>
      <c r="K1014" t="s">
        <v>1569</v>
      </c>
      <c r="L1014" t="s">
        <v>1570</v>
      </c>
      <c r="M1014" t="s">
        <v>1325</v>
      </c>
      <c r="N1014">
        <v>45000</v>
      </c>
      <c r="O1014" s="1" t="s">
        <v>1571</v>
      </c>
      <c r="P1014" t="s">
        <v>1392</v>
      </c>
      <c r="Q1014" t="s">
        <v>1294</v>
      </c>
      <c r="S1014" t="s">
        <v>1294</v>
      </c>
      <c r="T1014" t="s">
        <v>1296</v>
      </c>
      <c r="U1014">
        <v>0</v>
      </c>
      <c r="V1014" t="s">
        <v>1568</v>
      </c>
    </row>
    <row r="1015" spans="1:22" ht="30" x14ac:dyDescent="0.25">
      <c r="A1015" t="s">
        <v>1871</v>
      </c>
      <c r="B1015" s="1" t="s">
        <v>1568</v>
      </c>
      <c r="C1015" s="1" t="s">
        <v>1530</v>
      </c>
      <c r="D1015" s="1" t="s">
        <v>1288</v>
      </c>
      <c r="E1015" s="1" t="s">
        <v>1326</v>
      </c>
      <c r="F1015" t="s">
        <v>2912</v>
      </c>
      <c r="G1015" t="s">
        <v>290</v>
      </c>
      <c r="H1015" t="s">
        <v>381</v>
      </c>
      <c r="I1015" t="s">
        <v>1285</v>
      </c>
      <c r="J1015" t="s">
        <v>1312</v>
      </c>
      <c r="K1015" t="s">
        <v>1569</v>
      </c>
      <c r="L1015" t="s">
        <v>1570</v>
      </c>
      <c r="M1015" t="s">
        <v>1325</v>
      </c>
      <c r="N1015">
        <v>45000</v>
      </c>
      <c r="O1015" s="1" t="s">
        <v>1571</v>
      </c>
      <c r="P1015" t="s">
        <v>1392</v>
      </c>
      <c r="Q1015" t="s">
        <v>1294</v>
      </c>
      <c r="S1015" t="s">
        <v>1294</v>
      </c>
      <c r="T1015" t="s">
        <v>1296</v>
      </c>
      <c r="U1015">
        <v>0</v>
      </c>
      <c r="V1015" t="s">
        <v>1568</v>
      </c>
    </row>
    <row r="1016" spans="1:22" ht="30" x14ac:dyDescent="0.25">
      <c r="A1016" t="s">
        <v>1871</v>
      </c>
      <c r="B1016" s="1" t="s">
        <v>1568</v>
      </c>
      <c r="C1016" s="1" t="s">
        <v>1530</v>
      </c>
      <c r="D1016" s="1" t="s">
        <v>1288</v>
      </c>
      <c r="E1016" s="1" t="s">
        <v>1326</v>
      </c>
      <c r="F1016" t="s">
        <v>2913</v>
      </c>
      <c r="G1016" t="s">
        <v>290</v>
      </c>
      <c r="H1016" t="s">
        <v>381</v>
      </c>
      <c r="I1016" t="s">
        <v>1285</v>
      </c>
      <c r="J1016" t="s">
        <v>1312</v>
      </c>
      <c r="K1016" t="s">
        <v>1569</v>
      </c>
      <c r="L1016" t="s">
        <v>1570</v>
      </c>
      <c r="M1016" t="s">
        <v>1325</v>
      </c>
      <c r="N1016">
        <v>45000</v>
      </c>
      <c r="O1016" s="1" t="s">
        <v>1571</v>
      </c>
      <c r="P1016" t="s">
        <v>1392</v>
      </c>
      <c r="Q1016" t="s">
        <v>1294</v>
      </c>
      <c r="S1016" t="s">
        <v>1294</v>
      </c>
      <c r="T1016" t="s">
        <v>1296</v>
      </c>
      <c r="U1016">
        <v>0</v>
      </c>
      <c r="V1016" t="s">
        <v>1568</v>
      </c>
    </row>
    <row r="1017" spans="1:22" ht="30" x14ac:dyDescent="0.25">
      <c r="A1017" t="s">
        <v>1871</v>
      </c>
      <c r="B1017" s="1" t="s">
        <v>1568</v>
      </c>
      <c r="C1017" s="1" t="s">
        <v>1530</v>
      </c>
      <c r="D1017" s="1" t="s">
        <v>1288</v>
      </c>
      <c r="E1017" s="1" t="s">
        <v>1326</v>
      </c>
      <c r="F1017" t="s">
        <v>2914</v>
      </c>
      <c r="G1017" t="s">
        <v>290</v>
      </c>
      <c r="H1017" t="s">
        <v>381</v>
      </c>
      <c r="I1017" t="s">
        <v>1285</v>
      </c>
      <c r="J1017" t="s">
        <v>1312</v>
      </c>
      <c r="K1017" t="s">
        <v>1569</v>
      </c>
      <c r="L1017" t="s">
        <v>1570</v>
      </c>
      <c r="M1017" t="s">
        <v>1325</v>
      </c>
      <c r="N1017">
        <v>45000</v>
      </c>
      <c r="O1017" s="1" t="s">
        <v>1571</v>
      </c>
      <c r="P1017" t="s">
        <v>1392</v>
      </c>
      <c r="Q1017" t="s">
        <v>1294</v>
      </c>
      <c r="S1017" t="s">
        <v>1294</v>
      </c>
      <c r="T1017" t="s">
        <v>1296</v>
      </c>
      <c r="U1017">
        <v>0</v>
      </c>
      <c r="V1017" t="s">
        <v>1568</v>
      </c>
    </row>
    <row r="1018" spans="1:22" ht="30" x14ac:dyDescent="0.25">
      <c r="A1018" t="s">
        <v>1871</v>
      </c>
      <c r="B1018" s="1" t="s">
        <v>1568</v>
      </c>
      <c r="C1018" s="1" t="s">
        <v>1530</v>
      </c>
      <c r="D1018" s="1" t="s">
        <v>1288</v>
      </c>
      <c r="E1018" s="1" t="s">
        <v>1326</v>
      </c>
      <c r="F1018" t="s">
        <v>2915</v>
      </c>
      <c r="G1018" t="s">
        <v>290</v>
      </c>
      <c r="H1018" t="s">
        <v>381</v>
      </c>
      <c r="I1018" t="s">
        <v>1285</v>
      </c>
      <c r="J1018" t="s">
        <v>1312</v>
      </c>
      <c r="K1018" t="s">
        <v>1569</v>
      </c>
      <c r="L1018" t="s">
        <v>1570</v>
      </c>
      <c r="M1018" t="s">
        <v>1325</v>
      </c>
      <c r="N1018">
        <v>45000</v>
      </c>
      <c r="O1018" s="1" t="s">
        <v>1571</v>
      </c>
      <c r="P1018" t="s">
        <v>1392</v>
      </c>
      <c r="Q1018" t="s">
        <v>1294</v>
      </c>
      <c r="S1018" t="s">
        <v>1294</v>
      </c>
      <c r="T1018" t="s">
        <v>1296</v>
      </c>
      <c r="U1018">
        <v>0</v>
      </c>
      <c r="V1018" t="s">
        <v>1568</v>
      </c>
    </row>
    <row r="1019" spans="1:22" ht="30" x14ac:dyDescent="0.25">
      <c r="A1019" t="s">
        <v>1871</v>
      </c>
      <c r="B1019" s="1" t="s">
        <v>1568</v>
      </c>
      <c r="C1019" s="1" t="s">
        <v>1530</v>
      </c>
      <c r="D1019" s="1" t="s">
        <v>1288</v>
      </c>
      <c r="E1019" s="1" t="s">
        <v>1326</v>
      </c>
      <c r="F1019" t="s">
        <v>2916</v>
      </c>
      <c r="G1019" t="s">
        <v>290</v>
      </c>
      <c r="H1019" t="s">
        <v>381</v>
      </c>
      <c r="I1019" t="s">
        <v>1285</v>
      </c>
      <c r="J1019" t="s">
        <v>1312</v>
      </c>
      <c r="K1019" t="s">
        <v>1569</v>
      </c>
      <c r="L1019" t="s">
        <v>1570</v>
      </c>
      <c r="M1019" t="s">
        <v>1325</v>
      </c>
      <c r="N1019">
        <v>45000</v>
      </c>
      <c r="O1019" s="1" t="s">
        <v>1571</v>
      </c>
      <c r="P1019" t="s">
        <v>1392</v>
      </c>
      <c r="Q1019" t="s">
        <v>1294</v>
      </c>
      <c r="S1019" t="s">
        <v>1294</v>
      </c>
      <c r="T1019" t="s">
        <v>1296</v>
      </c>
      <c r="U1019">
        <v>0</v>
      </c>
      <c r="V1019" t="s">
        <v>1568</v>
      </c>
    </row>
    <row r="1020" spans="1:22" ht="30" x14ac:dyDescent="0.25">
      <c r="A1020" t="s">
        <v>1871</v>
      </c>
      <c r="B1020" s="1" t="s">
        <v>1568</v>
      </c>
      <c r="C1020" s="1" t="s">
        <v>1530</v>
      </c>
      <c r="D1020" s="1" t="s">
        <v>1288</v>
      </c>
      <c r="E1020" s="1" t="s">
        <v>1326</v>
      </c>
      <c r="F1020" t="s">
        <v>2917</v>
      </c>
      <c r="G1020" t="s">
        <v>290</v>
      </c>
      <c r="H1020" t="s">
        <v>381</v>
      </c>
      <c r="I1020" t="s">
        <v>1285</v>
      </c>
      <c r="J1020" t="s">
        <v>1312</v>
      </c>
      <c r="K1020" t="s">
        <v>1569</v>
      </c>
      <c r="L1020" t="s">
        <v>1570</v>
      </c>
      <c r="M1020" t="s">
        <v>1325</v>
      </c>
      <c r="N1020">
        <v>45000</v>
      </c>
      <c r="O1020" s="1" t="s">
        <v>1571</v>
      </c>
      <c r="P1020" t="s">
        <v>1392</v>
      </c>
      <c r="Q1020" t="s">
        <v>1294</v>
      </c>
      <c r="S1020" t="s">
        <v>1294</v>
      </c>
      <c r="T1020" t="s">
        <v>1296</v>
      </c>
      <c r="U1020">
        <v>0</v>
      </c>
      <c r="V1020" t="s">
        <v>1568</v>
      </c>
    </row>
    <row r="1021" spans="1:22" x14ac:dyDescent="0.25">
      <c r="A1021" t="s">
        <v>1871</v>
      </c>
      <c r="B1021" s="1" t="s">
        <v>1568</v>
      </c>
      <c r="C1021" s="1" t="s">
        <v>1530</v>
      </c>
      <c r="D1021" s="1" t="s">
        <v>1288</v>
      </c>
      <c r="E1021" s="1" t="s">
        <v>1358</v>
      </c>
      <c r="F1021" t="s">
        <v>2918</v>
      </c>
      <c r="G1021" t="s">
        <v>290</v>
      </c>
      <c r="H1021" t="s">
        <v>381</v>
      </c>
      <c r="I1021" t="s">
        <v>1285</v>
      </c>
      <c r="J1021" t="s">
        <v>1312</v>
      </c>
      <c r="K1021" t="s">
        <v>1569</v>
      </c>
      <c r="L1021" t="s">
        <v>1570</v>
      </c>
      <c r="M1021" t="s">
        <v>1325</v>
      </c>
      <c r="N1021">
        <v>45000</v>
      </c>
      <c r="O1021" s="1" t="s">
        <v>1571</v>
      </c>
      <c r="P1021" t="s">
        <v>1392</v>
      </c>
      <c r="Q1021" t="s">
        <v>1294</v>
      </c>
      <c r="S1021" t="s">
        <v>1294</v>
      </c>
      <c r="T1021" t="s">
        <v>1296</v>
      </c>
      <c r="U1021">
        <v>0</v>
      </c>
      <c r="V1021" t="s">
        <v>1568</v>
      </c>
    </row>
    <row r="1022" spans="1:22" x14ac:dyDescent="0.25">
      <c r="A1022" t="s">
        <v>1871</v>
      </c>
      <c r="B1022" s="1" t="s">
        <v>1568</v>
      </c>
      <c r="C1022" s="1" t="s">
        <v>1530</v>
      </c>
      <c r="D1022" s="1" t="s">
        <v>1288</v>
      </c>
      <c r="E1022" s="1" t="s">
        <v>1358</v>
      </c>
      <c r="F1022" t="s">
        <v>2919</v>
      </c>
      <c r="G1022" t="s">
        <v>290</v>
      </c>
      <c r="H1022" t="s">
        <v>381</v>
      </c>
      <c r="I1022" t="s">
        <v>1285</v>
      </c>
      <c r="J1022" t="s">
        <v>1312</v>
      </c>
      <c r="K1022" t="s">
        <v>1569</v>
      </c>
      <c r="L1022" t="s">
        <v>1570</v>
      </c>
      <c r="M1022" t="s">
        <v>1325</v>
      </c>
      <c r="N1022">
        <v>45000</v>
      </c>
      <c r="O1022" s="1" t="s">
        <v>1571</v>
      </c>
      <c r="P1022" t="s">
        <v>1392</v>
      </c>
      <c r="Q1022" t="s">
        <v>1294</v>
      </c>
      <c r="S1022" t="s">
        <v>1294</v>
      </c>
      <c r="T1022" t="s">
        <v>1296</v>
      </c>
      <c r="U1022">
        <v>0</v>
      </c>
      <c r="V1022" t="s">
        <v>1568</v>
      </c>
    </row>
    <row r="1023" spans="1:22" x14ac:dyDescent="0.25">
      <c r="A1023" t="s">
        <v>1871</v>
      </c>
      <c r="B1023" s="1" t="s">
        <v>1568</v>
      </c>
      <c r="C1023" s="1" t="s">
        <v>1530</v>
      </c>
      <c r="D1023" s="1" t="s">
        <v>1288</v>
      </c>
      <c r="E1023" s="1" t="s">
        <v>1358</v>
      </c>
      <c r="F1023" t="s">
        <v>2920</v>
      </c>
      <c r="G1023" t="s">
        <v>290</v>
      </c>
      <c r="H1023" t="s">
        <v>381</v>
      </c>
      <c r="I1023" t="s">
        <v>1285</v>
      </c>
      <c r="J1023" t="s">
        <v>1312</v>
      </c>
      <c r="K1023" t="s">
        <v>1569</v>
      </c>
      <c r="L1023" t="s">
        <v>1570</v>
      </c>
      <c r="M1023" t="s">
        <v>1325</v>
      </c>
      <c r="N1023">
        <v>45000</v>
      </c>
      <c r="O1023" s="1" t="s">
        <v>1571</v>
      </c>
      <c r="P1023" t="s">
        <v>1392</v>
      </c>
      <c r="Q1023" t="s">
        <v>1294</v>
      </c>
      <c r="S1023" t="s">
        <v>1294</v>
      </c>
      <c r="T1023" t="s">
        <v>1296</v>
      </c>
      <c r="U1023">
        <v>0</v>
      </c>
      <c r="V1023" t="s">
        <v>1568</v>
      </c>
    </row>
    <row r="1024" spans="1:22" x14ac:dyDescent="0.25">
      <c r="A1024" t="s">
        <v>1871</v>
      </c>
      <c r="B1024" s="1" t="s">
        <v>1568</v>
      </c>
      <c r="C1024" s="1" t="s">
        <v>1530</v>
      </c>
      <c r="D1024" s="1" t="s">
        <v>1288</v>
      </c>
      <c r="E1024" s="1" t="s">
        <v>1504</v>
      </c>
      <c r="F1024" t="s">
        <v>2921</v>
      </c>
      <c r="G1024" t="s">
        <v>290</v>
      </c>
      <c r="H1024" t="s">
        <v>381</v>
      </c>
      <c r="I1024" t="s">
        <v>1285</v>
      </c>
      <c r="J1024" t="s">
        <v>1312</v>
      </c>
      <c r="K1024" t="s">
        <v>1569</v>
      </c>
      <c r="L1024" t="s">
        <v>1570</v>
      </c>
      <c r="M1024" t="s">
        <v>1325</v>
      </c>
      <c r="N1024">
        <v>45000</v>
      </c>
      <c r="O1024" s="1" t="s">
        <v>1571</v>
      </c>
      <c r="P1024" t="s">
        <v>1392</v>
      </c>
      <c r="Q1024" t="s">
        <v>1294</v>
      </c>
      <c r="S1024" t="s">
        <v>1294</v>
      </c>
      <c r="T1024" t="s">
        <v>1296</v>
      </c>
      <c r="U1024">
        <v>0</v>
      </c>
      <c r="V1024" t="s">
        <v>1568</v>
      </c>
    </row>
    <row r="1025" spans="1:22" x14ac:dyDescent="0.25">
      <c r="A1025" t="s">
        <v>1871</v>
      </c>
      <c r="B1025" s="1" t="s">
        <v>1568</v>
      </c>
      <c r="C1025" s="1" t="s">
        <v>1530</v>
      </c>
      <c r="D1025" s="1" t="s">
        <v>1288</v>
      </c>
      <c r="E1025" s="1" t="s">
        <v>1504</v>
      </c>
      <c r="F1025" t="s">
        <v>2922</v>
      </c>
      <c r="G1025" t="s">
        <v>290</v>
      </c>
      <c r="H1025" t="s">
        <v>381</v>
      </c>
      <c r="I1025" t="s">
        <v>1285</v>
      </c>
      <c r="J1025" t="s">
        <v>1312</v>
      </c>
      <c r="K1025" t="s">
        <v>1569</v>
      </c>
      <c r="L1025" t="s">
        <v>1570</v>
      </c>
      <c r="M1025" t="s">
        <v>1325</v>
      </c>
      <c r="N1025">
        <v>45000</v>
      </c>
      <c r="O1025" s="1" t="s">
        <v>1571</v>
      </c>
      <c r="P1025" t="s">
        <v>1392</v>
      </c>
      <c r="Q1025" t="s">
        <v>1294</v>
      </c>
      <c r="S1025" t="s">
        <v>1294</v>
      </c>
      <c r="T1025" t="s">
        <v>1296</v>
      </c>
      <c r="U1025">
        <v>0</v>
      </c>
      <c r="V1025" t="s">
        <v>1568</v>
      </c>
    </row>
    <row r="1026" spans="1:22" x14ac:dyDescent="0.25">
      <c r="A1026" t="s">
        <v>1871</v>
      </c>
      <c r="B1026" s="1" t="s">
        <v>1568</v>
      </c>
      <c r="C1026" s="1" t="s">
        <v>1530</v>
      </c>
      <c r="D1026" s="1" t="s">
        <v>1288</v>
      </c>
      <c r="E1026" s="1" t="s">
        <v>1374</v>
      </c>
      <c r="F1026" t="s">
        <v>2923</v>
      </c>
      <c r="G1026" t="s">
        <v>290</v>
      </c>
      <c r="H1026" t="s">
        <v>381</v>
      </c>
      <c r="I1026" t="s">
        <v>1285</v>
      </c>
      <c r="J1026" t="s">
        <v>1312</v>
      </c>
      <c r="K1026" t="s">
        <v>1569</v>
      </c>
      <c r="L1026" t="s">
        <v>1570</v>
      </c>
      <c r="M1026" t="s">
        <v>1325</v>
      </c>
      <c r="N1026">
        <v>45000</v>
      </c>
      <c r="O1026" s="1" t="s">
        <v>1571</v>
      </c>
      <c r="P1026" t="s">
        <v>1392</v>
      </c>
      <c r="Q1026" t="s">
        <v>1294</v>
      </c>
      <c r="S1026" t="s">
        <v>1294</v>
      </c>
      <c r="T1026" t="s">
        <v>1296</v>
      </c>
      <c r="U1026">
        <v>0</v>
      </c>
      <c r="V1026" t="s">
        <v>1568</v>
      </c>
    </row>
    <row r="1027" spans="1:22" x14ac:dyDescent="0.25">
      <c r="A1027" t="s">
        <v>1871</v>
      </c>
      <c r="B1027" s="1" t="s">
        <v>1568</v>
      </c>
      <c r="C1027" s="1" t="s">
        <v>1530</v>
      </c>
      <c r="D1027" s="1" t="s">
        <v>1288</v>
      </c>
      <c r="E1027" s="1" t="s">
        <v>1374</v>
      </c>
      <c r="F1027" t="s">
        <v>2924</v>
      </c>
      <c r="G1027" t="s">
        <v>290</v>
      </c>
      <c r="H1027" t="s">
        <v>381</v>
      </c>
      <c r="I1027" t="s">
        <v>1285</v>
      </c>
      <c r="J1027" t="s">
        <v>1312</v>
      </c>
      <c r="K1027" t="s">
        <v>1569</v>
      </c>
      <c r="L1027" t="s">
        <v>1570</v>
      </c>
      <c r="M1027" t="s">
        <v>1325</v>
      </c>
      <c r="N1027">
        <v>45000</v>
      </c>
      <c r="O1027" s="1" t="s">
        <v>1571</v>
      </c>
      <c r="P1027" t="s">
        <v>1392</v>
      </c>
      <c r="Q1027" t="s">
        <v>1294</v>
      </c>
      <c r="S1027" t="s">
        <v>1294</v>
      </c>
      <c r="T1027" t="s">
        <v>1296</v>
      </c>
      <c r="U1027">
        <v>0</v>
      </c>
      <c r="V1027" t="s">
        <v>1568</v>
      </c>
    </row>
    <row r="1028" spans="1:22" ht="30" x14ac:dyDescent="0.25">
      <c r="A1028" t="s">
        <v>1325</v>
      </c>
      <c r="B1028" s="1" t="s">
        <v>3494</v>
      </c>
      <c r="C1028" s="1" t="s">
        <v>1530</v>
      </c>
      <c r="D1028" s="1" t="s">
        <v>1325</v>
      </c>
      <c r="E1028" s="1" t="s">
        <v>1410</v>
      </c>
      <c r="F1028" t="s">
        <v>3493</v>
      </c>
      <c r="G1028" t="s">
        <v>3495</v>
      </c>
      <c r="H1028" t="s">
        <v>381</v>
      </c>
      <c r="I1028" t="s">
        <v>1285</v>
      </c>
      <c r="J1028" t="s">
        <v>1170</v>
      </c>
      <c r="K1028" t="s">
        <v>3496</v>
      </c>
      <c r="L1028" t="s">
        <v>3497</v>
      </c>
      <c r="M1028" t="s">
        <v>1325</v>
      </c>
      <c r="N1028">
        <v>49000</v>
      </c>
      <c r="O1028" s="1" t="s">
        <v>795</v>
      </c>
      <c r="P1028" t="s">
        <v>1306</v>
      </c>
      <c r="Q1028" t="s">
        <v>1294</v>
      </c>
      <c r="S1028" t="s">
        <v>1294</v>
      </c>
      <c r="T1028" t="s">
        <v>1296</v>
      </c>
      <c r="U1028">
        <v>0</v>
      </c>
      <c r="V1028" t="s">
        <v>3494</v>
      </c>
    </row>
    <row r="1029" spans="1:22" ht="30" x14ac:dyDescent="0.25">
      <c r="A1029" t="s">
        <v>1281</v>
      </c>
      <c r="B1029" s="1" t="s">
        <v>1438</v>
      </c>
      <c r="C1029" s="1" t="s">
        <v>1295</v>
      </c>
      <c r="D1029" s="1" t="s">
        <v>1288</v>
      </c>
      <c r="E1029" s="1" t="s">
        <v>1307</v>
      </c>
      <c r="F1029" t="s">
        <v>1437</v>
      </c>
      <c r="G1029" t="s">
        <v>1439</v>
      </c>
      <c r="H1029" t="s">
        <v>1440</v>
      </c>
      <c r="I1029" t="s">
        <v>1285</v>
      </c>
      <c r="J1029" t="s">
        <v>1078</v>
      </c>
      <c r="K1029" t="s">
        <v>1078</v>
      </c>
      <c r="L1029" t="s">
        <v>1441</v>
      </c>
      <c r="M1029" t="s">
        <v>1442</v>
      </c>
      <c r="N1029">
        <v>50000</v>
      </c>
      <c r="O1029" s="1" t="s">
        <v>1443</v>
      </c>
      <c r="P1029" t="s">
        <v>1444</v>
      </c>
      <c r="Q1029" t="s">
        <v>1292</v>
      </c>
      <c r="S1029" t="s">
        <v>1375</v>
      </c>
      <c r="T1029" t="s">
        <v>1296</v>
      </c>
      <c r="U1029">
        <v>0</v>
      </c>
      <c r="V1029" t="s">
        <v>1438</v>
      </c>
    </row>
    <row r="1030" spans="1:22" ht="30" x14ac:dyDescent="0.25">
      <c r="A1030" t="s">
        <v>1460</v>
      </c>
      <c r="B1030" s="1" t="s">
        <v>1438</v>
      </c>
      <c r="C1030" s="1" t="s">
        <v>1320</v>
      </c>
      <c r="D1030" s="1" t="s">
        <v>1288</v>
      </c>
      <c r="E1030" s="1" t="s">
        <v>1293</v>
      </c>
      <c r="F1030" t="s">
        <v>1550</v>
      </c>
      <c r="G1030" t="s">
        <v>1439</v>
      </c>
      <c r="H1030" t="s">
        <v>1440</v>
      </c>
      <c r="I1030" t="s">
        <v>1285</v>
      </c>
      <c r="J1030" t="s">
        <v>1078</v>
      </c>
      <c r="K1030" t="s">
        <v>1078</v>
      </c>
      <c r="L1030" t="s">
        <v>1441</v>
      </c>
      <c r="M1030" t="s">
        <v>1442</v>
      </c>
      <c r="N1030">
        <v>50000</v>
      </c>
      <c r="O1030" s="1" t="s">
        <v>1443</v>
      </c>
      <c r="P1030" t="s">
        <v>1444</v>
      </c>
      <c r="Q1030" t="s">
        <v>1292</v>
      </c>
      <c r="S1030" t="s">
        <v>1375</v>
      </c>
      <c r="T1030" t="s">
        <v>1296</v>
      </c>
      <c r="U1030">
        <v>400000</v>
      </c>
      <c r="V1030" t="s">
        <v>1438</v>
      </c>
    </row>
    <row r="1031" spans="1:22" ht="30" x14ac:dyDescent="0.25">
      <c r="A1031" t="s">
        <v>1871</v>
      </c>
      <c r="B1031" s="1" t="s">
        <v>1438</v>
      </c>
      <c r="C1031" s="1" t="s">
        <v>1530</v>
      </c>
      <c r="D1031" s="1" t="s">
        <v>1288</v>
      </c>
      <c r="E1031" s="1" t="s">
        <v>1316</v>
      </c>
      <c r="F1031" t="s">
        <v>2104</v>
      </c>
      <c r="G1031" t="s">
        <v>1439</v>
      </c>
      <c r="H1031" t="s">
        <v>1440</v>
      </c>
      <c r="I1031" t="s">
        <v>1285</v>
      </c>
      <c r="J1031" t="s">
        <v>1078</v>
      </c>
      <c r="K1031" t="s">
        <v>1078</v>
      </c>
      <c r="L1031" t="s">
        <v>1441</v>
      </c>
      <c r="M1031" t="s">
        <v>1442</v>
      </c>
      <c r="N1031">
        <v>50000</v>
      </c>
      <c r="O1031" s="1" t="s">
        <v>1443</v>
      </c>
      <c r="P1031" t="s">
        <v>1444</v>
      </c>
      <c r="Q1031" t="s">
        <v>1292</v>
      </c>
      <c r="S1031" t="s">
        <v>1375</v>
      </c>
      <c r="T1031" t="s">
        <v>1296</v>
      </c>
      <c r="U1031">
        <v>12000</v>
      </c>
      <c r="V1031" t="s">
        <v>1438</v>
      </c>
    </row>
    <row r="1032" spans="1:22" ht="30" x14ac:dyDescent="0.25">
      <c r="A1032" t="s">
        <v>1871</v>
      </c>
      <c r="B1032" s="1" t="s">
        <v>1438</v>
      </c>
      <c r="C1032" s="1" t="s">
        <v>1530</v>
      </c>
      <c r="D1032" s="1" t="s">
        <v>1288</v>
      </c>
      <c r="E1032" s="1" t="s">
        <v>1316</v>
      </c>
      <c r="F1032" t="s">
        <v>2563</v>
      </c>
      <c r="G1032" t="s">
        <v>1439</v>
      </c>
      <c r="H1032" t="s">
        <v>1440</v>
      </c>
      <c r="I1032" t="s">
        <v>1285</v>
      </c>
      <c r="J1032" t="s">
        <v>1078</v>
      </c>
      <c r="K1032" t="s">
        <v>1078</v>
      </c>
      <c r="L1032" t="s">
        <v>1441</v>
      </c>
      <c r="M1032" t="s">
        <v>1442</v>
      </c>
      <c r="N1032">
        <v>50000</v>
      </c>
      <c r="O1032" s="1" t="s">
        <v>1443</v>
      </c>
      <c r="P1032" t="s">
        <v>1444</v>
      </c>
      <c r="Q1032" t="s">
        <v>1292</v>
      </c>
      <c r="S1032" t="s">
        <v>1375</v>
      </c>
      <c r="T1032" t="s">
        <v>1296</v>
      </c>
      <c r="U1032">
        <v>1000</v>
      </c>
      <c r="V1032" t="s">
        <v>1438</v>
      </c>
    </row>
    <row r="1033" spans="1:22" ht="30" x14ac:dyDescent="0.25">
      <c r="A1033" t="s">
        <v>1871</v>
      </c>
      <c r="B1033" s="1" t="s">
        <v>1438</v>
      </c>
      <c r="C1033" s="1" t="s">
        <v>1530</v>
      </c>
      <c r="D1033" s="1" t="s">
        <v>1288</v>
      </c>
      <c r="E1033" s="1" t="s">
        <v>1316</v>
      </c>
      <c r="F1033" t="s">
        <v>2564</v>
      </c>
      <c r="G1033" t="s">
        <v>1439</v>
      </c>
      <c r="H1033" t="s">
        <v>1440</v>
      </c>
      <c r="I1033" t="s">
        <v>1285</v>
      </c>
      <c r="J1033" t="s">
        <v>1078</v>
      </c>
      <c r="K1033" t="s">
        <v>1078</v>
      </c>
      <c r="L1033" t="s">
        <v>1441</v>
      </c>
      <c r="M1033" t="s">
        <v>1442</v>
      </c>
      <c r="N1033">
        <v>50000</v>
      </c>
      <c r="O1033" s="1" t="s">
        <v>1443</v>
      </c>
      <c r="P1033" t="s">
        <v>1444</v>
      </c>
      <c r="Q1033" t="s">
        <v>1292</v>
      </c>
      <c r="S1033" t="s">
        <v>1375</v>
      </c>
      <c r="T1033" t="s">
        <v>1296</v>
      </c>
      <c r="U1033">
        <v>7200</v>
      </c>
      <c r="V1033" t="s">
        <v>1438</v>
      </c>
    </row>
    <row r="1034" spans="1:22" ht="30" x14ac:dyDescent="0.25">
      <c r="A1034" t="s">
        <v>1871</v>
      </c>
      <c r="B1034" s="1" t="s">
        <v>1438</v>
      </c>
      <c r="C1034" s="1" t="s">
        <v>1530</v>
      </c>
      <c r="D1034" s="1" t="s">
        <v>1288</v>
      </c>
      <c r="E1034" s="1" t="s">
        <v>1316</v>
      </c>
      <c r="F1034" t="s">
        <v>2565</v>
      </c>
      <c r="G1034" t="s">
        <v>1439</v>
      </c>
      <c r="H1034" t="s">
        <v>1440</v>
      </c>
      <c r="I1034" t="s">
        <v>1285</v>
      </c>
      <c r="J1034" t="s">
        <v>1078</v>
      </c>
      <c r="K1034" t="s">
        <v>1078</v>
      </c>
      <c r="L1034" t="s">
        <v>1441</v>
      </c>
      <c r="M1034" t="s">
        <v>1442</v>
      </c>
      <c r="N1034">
        <v>50000</v>
      </c>
      <c r="O1034" s="1" t="s">
        <v>1443</v>
      </c>
      <c r="P1034" t="s">
        <v>1444</v>
      </c>
      <c r="Q1034" t="s">
        <v>1292</v>
      </c>
      <c r="S1034" t="s">
        <v>1375</v>
      </c>
      <c r="T1034" t="s">
        <v>1296</v>
      </c>
      <c r="U1034">
        <v>12000</v>
      </c>
      <c r="V1034" t="s">
        <v>1438</v>
      </c>
    </row>
    <row r="1035" spans="1:22" ht="30" x14ac:dyDescent="0.25">
      <c r="A1035" t="s">
        <v>1871</v>
      </c>
      <c r="B1035" s="1" t="s">
        <v>1438</v>
      </c>
      <c r="C1035" s="1" t="s">
        <v>1530</v>
      </c>
      <c r="D1035" s="1" t="s">
        <v>1288</v>
      </c>
      <c r="E1035" s="1" t="s">
        <v>1358</v>
      </c>
      <c r="F1035" t="s">
        <v>2615</v>
      </c>
      <c r="G1035" t="s">
        <v>1439</v>
      </c>
      <c r="H1035" t="s">
        <v>1440</v>
      </c>
      <c r="I1035" t="s">
        <v>1285</v>
      </c>
      <c r="J1035" t="s">
        <v>1078</v>
      </c>
      <c r="K1035" t="s">
        <v>1078</v>
      </c>
      <c r="L1035" t="s">
        <v>1441</v>
      </c>
      <c r="M1035" t="s">
        <v>1442</v>
      </c>
      <c r="N1035">
        <v>50000</v>
      </c>
      <c r="O1035" s="1" t="s">
        <v>1443</v>
      </c>
      <c r="P1035" t="s">
        <v>1444</v>
      </c>
      <c r="Q1035" t="s">
        <v>1292</v>
      </c>
      <c r="S1035" t="s">
        <v>1375</v>
      </c>
      <c r="T1035" t="s">
        <v>1296</v>
      </c>
      <c r="U1035">
        <v>25000</v>
      </c>
      <c r="V1035" t="s">
        <v>1438</v>
      </c>
    </row>
    <row r="1036" spans="1:22" ht="30" x14ac:dyDescent="0.25">
      <c r="A1036" t="s">
        <v>1871</v>
      </c>
      <c r="B1036" s="1" t="s">
        <v>1438</v>
      </c>
      <c r="C1036" s="1" t="s">
        <v>1530</v>
      </c>
      <c r="D1036" s="1" t="s">
        <v>1288</v>
      </c>
      <c r="E1036" s="1" t="s">
        <v>1358</v>
      </c>
      <c r="F1036" t="s">
        <v>2906</v>
      </c>
      <c r="G1036" t="s">
        <v>1439</v>
      </c>
      <c r="H1036" t="s">
        <v>1440</v>
      </c>
      <c r="I1036" t="s">
        <v>1285</v>
      </c>
      <c r="J1036" t="s">
        <v>1078</v>
      </c>
      <c r="K1036" t="s">
        <v>1078</v>
      </c>
      <c r="L1036" t="s">
        <v>1441</v>
      </c>
      <c r="M1036" t="s">
        <v>1442</v>
      </c>
      <c r="N1036">
        <v>50000</v>
      </c>
      <c r="O1036" s="1" t="s">
        <v>1443</v>
      </c>
      <c r="P1036" t="s">
        <v>1444</v>
      </c>
      <c r="Q1036" t="s">
        <v>1292</v>
      </c>
      <c r="S1036" t="s">
        <v>1375</v>
      </c>
      <c r="T1036" t="s">
        <v>1296</v>
      </c>
      <c r="U1036">
        <v>21000</v>
      </c>
      <c r="V1036" t="s">
        <v>1438</v>
      </c>
    </row>
    <row r="1037" spans="1:22" ht="30" x14ac:dyDescent="0.25">
      <c r="A1037" t="s">
        <v>1325</v>
      </c>
      <c r="B1037" s="1" t="s">
        <v>1246</v>
      </c>
      <c r="C1037" s="1" t="s">
        <v>1530</v>
      </c>
      <c r="D1037" s="1" t="s">
        <v>1325</v>
      </c>
      <c r="E1037" s="1" t="s">
        <v>1410</v>
      </c>
      <c r="F1037" t="s">
        <v>3498</v>
      </c>
      <c r="G1037" t="s">
        <v>3499</v>
      </c>
      <c r="H1037" t="s">
        <v>381</v>
      </c>
      <c r="I1037" t="s">
        <v>1285</v>
      </c>
      <c r="J1037" t="s">
        <v>1170</v>
      </c>
      <c r="K1037" t="s">
        <v>3500</v>
      </c>
      <c r="L1037" t="s">
        <v>3501</v>
      </c>
      <c r="M1037" t="s">
        <v>1325</v>
      </c>
      <c r="N1037">
        <v>60000</v>
      </c>
      <c r="O1037" s="1" t="s">
        <v>1305</v>
      </c>
      <c r="P1037" t="s">
        <v>1306</v>
      </c>
      <c r="Q1037" t="s">
        <v>1294</v>
      </c>
      <c r="S1037" t="s">
        <v>1294</v>
      </c>
      <c r="T1037" t="s">
        <v>1296</v>
      </c>
      <c r="U1037">
        <v>0</v>
      </c>
      <c r="V1037" t="s">
        <v>1246</v>
      </c>
    </row>
    <row r="1038" spans="1:22" ht="30" x14ac:dyDescent="0.25">
      <c r="A1038" t="s">
        <v>1281</v>
      </c>
      <c r="B1038" s="1" t="s">
        <v>1248</v>
      </c>
      <c r="C1038" s="1" t="s">
        <v>1295</v>
      </c>
      <c r="D1038" s="1" t="s">
        <v>1288</v>
      </c>
      <c r="E1038" s="1" t="s">
        <v>1293</v>
      </c>
      <c r="F1038" t="s">
        <v>1282</v>
      </c>
      <c r="G1038" t="s">
        <v>1283</v>
      </c>
      <c r="H1038" t="s">
        <v>1284</v>
      </c>
      <c r="I1038" t="s">
        <v>1285</v>
      </c>
      <c r="J1038" t="s">
        <v>1170</v>
      </c>
      <c r="K1038" t="s">
        <v>1249</v>
      </c>
      <c r="L1038" t="s">
        <v>1286</v>
      </c>
      <c r="M1038" t="s">
        <v>1287</v>
      </c>
      <c r="N1038" t="s">
        <v>1289</v>
      </c>
      <c r="O1038" s="1" t="s">
        <v>1290</v>
      </c>
      <c r="P1038" t="s">
        <v>1291</v>
      </c>
      <c r="Q1038" t="s">
        <v>1292</v>
      </c>
      <c r="S1038" t="s">
        <v>1294</v>
      </c>
      <c r="T1038" t="s">
        <v>1296</v>
      </c>
      <c r="U1038">
        <v>0</v>
      </c>
      <c r="V1038" t="s">
        <v>1248</v>
      </c>
    </row>
    <row r="1039" spans="1:22" x14ac:dyDescent="0.25">
      <c r="A1039" t="s">
        <v>1281</v>
      </c>
      <c r="B1039" s="1" t="s">
        <v>1248</v>
      </c>
      <c r="C1039" s="1" t="s">
        <v>1320</v>
      </c>
      <c r="D1039" s="1" t="s">
        <v>1288</v>
      </c>
      <c r="E1039" s="1" t="s">
        <v>1319</v>
      </c>
      <c r="F1039" t="s">
        <v>1318</v>
      </c>
      <c r="G1039" t="s">
        <v>1283</v>
      </c>
      <c r="H1039" t="s">
        <v>1284</v>
      </c>
      <c r="I1039" t="s">
        <v>1285</v>
      </c>
      <c r="J1039" t="s">
        <v>1170</v>
      </c>
      <c r="K1039" t="s">
        <v>1249</v>
      </c>
      <c r="L1039" t="s">
        <v>1286</v>
      </c>
      <c r="M1039" t="s">
        <v>1287</v>
      </c>
      <c r="N1039" t="s">
        <v>1289</v>
      </c>
      <c r="O1039" s="1" t="s">
        <v>1290</v>
      </c>
      <c r="P1039" t="s">
        <v>1291</v>
      </c>
      <c r="Q1039" t="s">
        <v>1292</v>
      </c>
      <c r="S1039" t="s">
        <v>1294</v>
      </c>
      <c r="T1039" t="s">
        <v>1296</v>
      </c>
      <c r="U1039">
        <v>0</v>
      </c>
      <c r="V1039" t="s">
        <v>1248</v>
      </c>
    </row>
    <row r="1040" spans="1:22" x14ac:dyDescent="0.25">
      <c r="A1040" t="s">
        <v>1281</v>
      </c>
      <c r="B1040" s="1" t="s">
        <v>1248</v>
      </c>
      <c r="C1040" s="1" t="s">
        <v>1295</v>
      </c>
      <c r="D1040" s="1" t="s">
        <v>1288</v>
      </c>
      <c r="E1040" s="1" t="s">
        <v>1374</v>
      </c>
      <c r="F1040" t="s">
        <v>1376</v>
      </c>
      <c r="G1040" t="s">
        <v>1283</v>
      </c>
      <c r="H1040" t="s">
        <v>1284</v>
      </c>
      <c r="I1040" t="s">
        <v>1285</v>
      </c>
      <c r="J1040" t="s">
        <v>1170</v>
      </c>
      <c r="K1040" t="s">
        <v>1249</v>
      </c>
      <c r="L1040" t="s">
        <v>1286</v>
      </c>
      <c r="M1040" t="s">
        <v>1287</v>
      </c>
      <c r="N1040" t="s">
        <v>1289</v>
      </c>
      <c r="O1040" s="1" t="s">
        <v>1290</v>
      </c>
      <c r="P1040" t="s">
        <v>1291</v>
      </c>
      <c r="Q1040" t="s">
        <v>1292</v>
      </c>
      <c r="S1040" t="s">
        <v>1294</v>
      </c>
      <c r="T1040" t="s">
        <v>1296</v>
      </c>
      <c r="U1040">
        <v>0</v>
      </c>
      <c r="V1040" t="s">
        <v>1248</v>
      </c>
    </row>
    <row r="1041" spans="1:22" x14ac:dyDescent="0.25">
      <c r="A1041" t="s">
        <v>1281</v>
      </c>
      <c r="B1041" s="1" t="s">
        <v>1248</v>
      </c>
      <c r="C1041" s="1" t="s">
        <v>1295</v>
      </c>
      <c r="D1041" s="1" t="s">
        <v>1288</v>
      </c>
      <c r="E1041" s="1" t="s">
        <v>1378</v>
      </c>
      <c r="F1041" t="s">
        <v>1377</v>
      </c>
      <c r="G1041" t="s">
        <v>1283</v>
      </c>
      <c r="H1041" t="s">
        <v>1284</v>
      </c>
      <c r="I1041" t="s">
        <v>1285</v>
      </c>
      <c r="J1041" t="s">
        <v>1170</v>
      </c>
      <c r="K1041" t="s">
        <v>1249</v>
      </c>
      <c r="L1041" t="s">
        <v>1286</v>
      </c>
      <c r="M1041" t="s">
        <v>1287</v>
      </c>
      <c r="N1041" t="s">
        <v>1289</v>
      </c>
      <c r="O1041" s="1" t="s">
        <v>1290</v>
      </c>
      <c r="P1041" t="s">
        <v>1291</v>
      </c>
      <c r="Q1041" t="s">
        <v>1292</v>
      </c>
      <c r="S1041" t="s">
        <v>1294</v>
      </c>
      <c r="T1041" t="s">
        <v>1296</v>
      </c>
      <c r="U1041">
        <v>0</v>
      </c>
      <c r="V1041" t="s">
        <v>1248</v>
      </c>
    </row>
    <row r="1042" spans="1:22" x14ac:dyDescent="0.25">
      <c r="A1042" t="s">
        <v>1281</v>
      </c>
      <c r="B1042" s="1" t="s">
        <v>1248</v>
      </c>
      <c r="C1042" s="1" t="s">
        <v>1295</v>
      </c>
      <c r="D1042" s="1" t="s">
        <v>1288</v>
      </c>
      <c r="E1042" s="1" t="s">
        <v>1368</v>
      </c>
      <c r="F1042" t="s">
        <v>1385</v>
      </c>
      <c r="G1042" t="s">
        <v>1283</v>
      </c>
      <c r="H1042" t="s">
        <v>1284</v>
      </c>
      <c r="I1042" t="s">
        <v>1285</v>
      </c>
      <c r="J1042" t="s">
        <v>1170</v>
      </c>
      <c r="K1042" t="s">
        <v>1249</v>
      </c>
      <c r="L1042" t="s">
        <v>1286</v>
      </c>
      <c r="M1042" t="s">
        <v>1287</v>
      </c>
      <c r="N1042" t="s">
        <v>1289</v>
      </c>
      <c r="O1042" s="1" t="s">
        <v>1290</v>
      </c>
      <c r="P1042" t="s">
        <v>1291</v>
      </c>
      <c r="Q1042" t="s">
        <v>1292</v>
      </c>
      <c r="S1042" t="s">
        <v>1294</v>
      </c>
      <c r="T1042" t="s">
        <v>1296</v>
      </c>
      <c r="U1042">
        <v>0</v>
      </c>
      <c r="V1042" t="s">
        <v>1248</v>
      </c>
    </row>
    <row r="1043" spans="1:22" x14ac:dyDescent="0.25">
      <c r="A1043" t="s">
        <v>1281</v>
      </c>
      <c r="B1043" s="1" t="s">
        <v>1248</v>
      </c>
      <c r="C1043" s="1" t="s">
        <v>1345</v>
      </c>
      <c r="D1043" s="1" t="s">
        <v>1288</v>
      </c>
      <c r="E1043" s="1" t="s">
        <v>1368</v>
      </c>
      <c r="F1043" t="s">
        <v>1386</v>
      </c>
      <c r="G1043" t="s">
        <v>1283</v>
      </c>
      <c r="H1043" t="s">
        <v>1284</v>
      </c>
      <c r="I1043" t="s">
        <v>1285</v>
      </c>
      <c r="J1043" t="s">
        <v>1170</v>
      </c>
      <c r="K1043" t="s">
        <v>1249</v>
      </c>
      <c r="L1043" t="s">
        <v>1286</v>
      </c>
      <c r="M1043" t="s">
        <v>1287</v>
      </c>
      <c r="N1043" t="s">
        <v>1289</v>
      </c>
      <c r="O1043" s="1" t="s">
        <v>1290</v>
      </c>
      <c r="P1043" t="s">
        <v>1291</v>
      </c>
      <c r="Q1043" t="s">
        <v>1292</v>
      </c>
      <c r="S1043" t="s">
        <v>1294</v>
      </c>
      <c r="T1043" t="s">
        <v>1296</v>
      </c>
      <c r="U1043">
        <v>0</v>
      </c>
      <c r="V1043" t="s">
        <v>1248</v>
      </c>
    </row>
    <row r="1044" spans="1:22" ht="30" x14ac:dyDescent="0.25">
      <c r="A1044" t="s">
        <v>1281</v>
      </c>
      <c r="B1044" s="1" t="s">
        <v>1248</v>
      </c>
      <c r="C1044" s="1" t="s">
        <v>1320</v>
      </c>
      <c r="D1044" s="1" t="s">
        <v>1288</v>
      </c>
      <c r="E1044" s="1" t="s">
        <v>1293</v>
      </c>
      <c r="F1044" t="s">
        <v>1412</v>
      </c>
      <c r="G1044" t="s">
        <v>1283</v>
      </c>
      <c r="H1044" t="s">
        <v>1284</v>
      </c>
      <c r="I1044" t="s">
        <v>1285</v>
      </c>
      <c r="J1044" t="s">
        <v>1170</v>
      </c>
      <c r="K1044" t="s">
        <v>1249</v>
      </c>
      <c r="L1044" t="s">
        <v>1286</v>
      </c>
      <c r="M1044" t="s">
        <v>1287</v>
      </c>
      <c r="N1044" t="s">
        <v>1289</v>
      </c>
      <c r="O1044" s="1" t="s">
        <v>1290</v>
      </c>
      <c r="P1044" t="s">
        <v>1291</v>
      </c>
      <c r="Q1044" t="s">
        <v>1292</v>
      </c>
      <c r="S1044" t="s">
        <v>1294</v>
      </c>
      <c r="T1044" t="s">
        <v>1296</v>
      </c>
      <c r="U1044">
        <v>0</v>
      </c>
      <c r="V1044" t="s">
        <v>1248</v>
      </c>
    </row>
    <row r="1045" spans="1:22" x14ac:dyDescent="0.25">
      <c r="A1045" t="s">
        <v>1281</v>
      </c>
      <c r="B1045" s="1" t="s">
        <v>1248</v>
      </c>
      <c r="C1045" s="1" t="s">
        <v>1327</v>
      </c>
      <c r="D1045" s="1" t="s">
        <v>1288</v>
      </c>
      <c r="E1045" s="1" t="s">
        <v>1350</v>
      </c>
      <c r="F1045" t="s">
        <v>1418</v>
      </c>
      <c r="G1045" t="s">
        <v>1283</v>
      </c>
      <c r="H1045" t="s">
        <v>1284</v>
      </c>
      <c r="I1045" t="s">
        <v>1285</v>
      </c>
      <c r="J1045" t="s">
        <v>1170</v>
      </c>
      <c r="K1045" t="s">
        <v>1249</v>
      </c>
      <c r="L1045" t="s">
        <v>1286</v>
      </c>
      <c r="M1045" t="s">
        <v>1287</v>
      </c>
      <c r="N1045" t="s">
        <v>1289</v>
      </c>
      <c r="O1045" s="1" t="s">
        <v>1290</v>
      </c>
      <c r="P1045" t="s">
        <v>1291</v>
      </c>
      <c r="Q1045" t="s">
        <v>1292</v>
      </c>
      <c r="S1045" t="s">
        <v>1294</v>
      </c>
      <c r="T1045" t="s">
        <v>1296</v>
      </c>
      <c r="U1045">
        <v>0</v>
      </c>
      <c r="V1045" t="s">
        <v>1248</v>
      </c>
    </row>
    <row r="1046" spans="1:22" x14ac:dyDescent="0.25">
      <c r="A1046" t="s">
        <v>1281</v>
      </c>
      <c r="B1046" s="1" t="s">
        <v>1248</v>
      </c>
      <c r="C1046" s="1" t="s">
        <v>1295</v>
      </c>
      <c r="D1046" s="1" t="s">
        <v>1288</v>
      </c>
      <c r="E1046" s="1" t="s">
        <v>1350</v>
      </c>
      <c r="F1046" t="s">
        <v>1424</v>
      </c>
      <c r="G1046" t="s">
        <v>1283</v>
      </c>
      <c r="H1046" t="s">
        <v>1284</v>
      </c>
      <c r="I1046" t="s">
        <v>1285</v>
      </c>
      <c r="J1046" t="s">
        <v>1170</v>
      </c>
      <c r="K1046" t="s">
        <v>1249</v>
      </c>
      <c r="L1046" t="s">
        <v>1286</v>
      </c>
      <c r="M1046" t="s">
        <v>1287</v>
      </c>
      <c r="N1046" t="s">
        <v>1289</v>
      </c>
      <c r="O1046" s="1" t="s">
        <v>1290</v>
      </c>
      <c r="P1046" t="s">
        <v>1291</v>
      </c>
      <c r="Q1046" t="s">
        <v>1292</v>
      </c>
      <c r="S1046" t="s">
        <v>1294</v>
      </c>
      <c r="T1046" t="s">
        <v>1296</v>
      </c>
      <c r="U1046">
        <v>0</v>
      </c>
      <c r="V1046" t="s">
        <v>1248</v>
      </c>
    </row>
    <row r="1047" spans="1:22" x14ac:dyDescent="0.25">
      <c r="A1047" t="s">
        <v>1281</v>
      </c>
      <c r="B1047" s="1" t="s">
        <v>1248</v>
      </c>
      <c r="C1047" s="1" t="s">
        <v>1327</v>
      </c>
      <c r="D1047" s="1" t="s">
        <v>1288</v>
      </c>
      <c r="E1047" s="1" t="s">
        <v>1350</v>
      </c>
      <c r="F1047" t="s">
        <v>1434</v>
      </c>
      <c r="G1047" t="s">
        <v>1283</v>
      </c>
      <c r="H1047" t="s">
        <v>1284</v>
      </c>
      <c r="I1047" t="s">
        <v>1285</v>
      </c>
      <c r="J1047" t="s">
        <v>1170</v>
      </c>
      <c r="K1047" t="s">
        <v>1249</v>
      </c>
      <c r="L1047" t="s">
        <v>1286</v>
      </c>
      <c r="M1047" t="s">
        <v>1287</v>
      </c>
      <c r="N1047" t="s">
        <v>1289</v>
      </c>
      <c r="O1047" s="1" t="s">
        <v>1290</v>
      </c>
      <c r="P1047" t="s">
        <v>1291</v>
      </c>
      <c r="Q1047" t="s">
        <v>1292</v>
      </c>
      <c r="S1047" t="s">
        <v>1294</v>
      </c>
      <c r="T1047" t="s">
        <v>1296</v>
      </c>
      <c r="U1047">
        <v>0</v>
      </c>
      <c r="V1047" t="s">
        <v>1248</v>
      </c>
    </row>
    <row r="1048" spans="1:22" x14ac:dyDescent="0.25">
      <c r="A1048" t="s">
        <v>1460</v>
      </c>
      <c r="B1048" s="1" t="s">
        <v>1248</v>
      </c>
      <c r="C1048" s="1" t="s">
        <v>1295</v>
      </c>
      <c r="D1048" s="1" t="s">
        <v>1288</v>
      </c>
      <c r="E1048" s="1" t="s">
        <v>1393</v>
      </c>
      <c r="F1048" t="s">
        <v>1692</v>
      </c>
      <c r="G1048" t="s">
        <v>1283</v>
      </c>
      <c r="H1048" t="s">
        <v>1284</v>
      </c>
      <c r="I1048" t="s">
        <v>1285</v>
      </c>
      <c r="J1048" t="s">
        <v>1170</v>
      </c>
      <c r="K1048" t="s">
        <v>1249</v>
      </c>
      <c r="L1048" t="s">
        <v>1286</v>
      </c>
      <c r="M1048" t="s">
        <v>1287</v>
      </c>
      <c r="N1048" t="s">
        <v>1289</v>
      </c>
      <c r="O1048" s="1" t="s">
        <v>1290</v>
      </c>
      <c r="P1048" t="s">
        <v>1291</v>
      </c>
      <c r="Q1048" t="s">
        <v>1292</v>
      </c>
      <c r="S1048" t="s">
        <v>1294</v>
      </c>
      <c r="T1048" t="s">
        <v>1693</v>
      </c>
      <c r="U1048">
        <v>0</v>
      </c>
      <c r="V1048" t="s">
        <v>1248</v>
      </c>
    </row>
    <row r="1049" spans="1:22" x14ac:dyDescent="0.25">
      <c r="A1049" t="s">
        <v>1460</v>
      </c>
      <c r="B1049" s="1" t="s">
        <v>1248</v>
      </c>
      <c r="C1049" s="1" t="s">
        <v>1345</v>
      </c>
      <c r="D1049" s="1" t="s">
        <v>1288</v>
      </c>
      <c r="E1049" s="1" t="s">
        <v>1350</v>
      </c>
      <c r="F1049" t="s">
        <v>1787</v>
      </c>
      <c r="G1049" t="s">
        <v>1283</v>
      </c>
      <c r="H1049" t="s">
        <v>1284</v>
      </c>
      <c r="I1049" t="s">
        <v>1285</v>
      </c>
      <c r="J1049" t="s">
        <v>1170</v>
      </c>
      <c r="K1049" t="s">
        <v>1249</v>
      </c>
      <c r="L1049" t="s">
        <v>1286</v>
      </c>
      <c r="M1049" t="s">
        <v>1287</v>
      </c>
      <c r="N1049" t="s">
        <v>1289</v>
      </c>
      <c r="O1049" s="1" t="s">
        <v>1290</v>
      </c>
      <c r="P1049" t="s">
        <v>1291</v>
      </c>
      <c r="Q1049" t="s">
        <v>1292</v>
      </c>
      <c r="S1049" t="s">
        <v>1294</v>
      </c>
      <c r="T1049" t="s">
        <v>1788</v>
      </c>
      <c r="U1049">
        <v>0</v>
      </c>
      <c r="V1049" t="s">
        <v>1248</v>
      </c>
    </row>
    <row r="1050" spans="1:22" x14ac:dyDescent="0.25">
      <c r="A1050" t="s">
        <v>1460</v>
      </c>
      <c r="B1050" s="1" t="s">
        <v>1248</v>
      </c>
      <c r="C1050" s="1" t="s">
        <v>1295</v>
      </c>
      <c r="D1050" s="1" t="s">
        <v>1288</v>
      </c>
      <c r="E1050" s="1" t="s">
        <v>1350</v>
      </c>
      <c r="F1050" t="s">
        <v>1805</v>
      </c>
      <c r="G1050" t="s">
        <v>1283</v>
      </c>
      <c r="H1050" t="s">
        <v>1284</v>
      </c>
      <c r="I1050" t="s">
        <v>1285</v>
      </c>
      <c r="J1050" t="s">
        <v>1170</v>
      </c>
      <c r="K1050" t="s">
        <v>1249</v>
      </c>
      <c r="L1050" t="s">
        <v>1286</v>
      </c>
      <c r="M1050" t="s">
        <v>1287</v>
      </c>
      <c r="N1050" t="s">
        <v>1289</v>
      </c>
      <c r="O1050" s="1" t="s">
        <v>1290</v>
      </c>
      <c r="P1050" t="s">
        <v>1291</v>
      </c>
      <c r="Q1050" t="s">
        <v>1292</v>
      </c>
      <c r="S1050" t="s">
        <v>1294</v>
      </c>
      <c r="T1050" t="s">
        <v>1806</v>
      </c>
      <c r="U1050">
        <v>0</v>
      </c>
      <c r="V1050" t="s">
        <v>1248</v>
      </c>
    </row>
    <row r="1051" spans="1:22" ht="30" x14ac:dyDescent="0.25">
      <c r="A1051" t="s">
        <v>1871</v>
      </c>
      <c r="B1051" s="1" t="s">
        <v>1248</v>
      </c>
      <c r="C1051" s="1" t="s">
        <v>1530</v>
      </c>
      <c r="D1051" s="1" t="s">
        <v>1288</v>
      </c>
      <c r="E1051" s="1" t="s">
        <v>1293</v>
      </c>
      <c r="F1051" t="s">
        <v>1994</v>
      </c>
      <c r="G1051" t="s">
        <v>1283</v>
      </c>
      <c r="H1051" t="s">
        <v>1284</v>
      </c>
      <c r="I1051" t="s">
        <v>1285</v>
      </c>
      <c r="J1051" t="s">
        <v>1170</v>
      </c>
      <c r="K1051" t="s">
        <v>1249</v>
      </c>
      <c r="L1051" t="s">
        <v>1286</v>
      </c>
      <c r="M1051" t="s">
        <v>1287</v>
      </c>
      <c r="N1051" t="s">
        <v>1289</v>
      </c>
      <c r="O1051" s="1" t="s">
        <v>1290</v>
      </c>
      <c r="P1051" t="s">
        <v>1291</v>
      </c>
      <c r="Q1051" t="s">
        <v>1292</v>
      </c>
      <c r="S1051" t="s">
        <v>1294</v>
      </c>
      <c r="T1051" t="s">
        <v>1995</v>
      </c>
      <c r="U1051">
        <v>0</v>
      </c>
      <c r="V1051" t="s">
        <v>1248</v>
      </c>
    </row>
    <row r="1052" spans="1:22" ht="30" x14ac:dyDescent="0.25">
      <c r="A1052" t="s">
        <v>1871</v>
      </c>
      <c r="B1052" s="1" t="s">
        <v>1248</v>
      </c>
      <c r="C1052" s="1" t="s">
        <v>1530</v>
      </c>
      <c r="D1052" s="1" t="s">
        <v>1288</v>
      </c>
      <c r="E1052" s="1" t="s">
        <v>1293</v>
      </c>
      <c r="F1052" t="s">
        <v>2065</v>
      </c>
      <c r="G1052" t="s">
        <v>1283</v>
      </c>
      <c r="H1052" t="s">
        <v>1284</v>
      </c>
      <c r="I1052" t="s">
        <v>1285</v>
      </c>
      <c r="J1052" t="s">
        <v>1170</v>
      </c>
      <c r="K1052" t="s">
        <v>1249</v>
      </c>
      <c r="L1052" t="s">
        <v>1286</v>
      </c>
      <c r="M1052" t="s">
        <v>1287</v>
      </c>
      <c r="N1052" t="s">
        <v>1289</v>
      </c>
      <c r="O1052" s="1" t="s">
        <v>1290</v>
      </c>
      <c r="P1052" t="s">
        <v>1291</v>
      </c>
      <c r="Q1052" t="s">
        <v>1292</v>
      </c>
      <c r="S1052" t="s">
        <v>1294</v>
      </c>
      <c r="T1052" t="s">
        <v>2066</v>
      </c>
      <c r="U1052">
        <v>0</v>
      </c>
      <c r="V1052" t="s">
        <v>1248</v>
      </c>
    </row>
    <row r="1053" spans="1:22" ht="30" x14ac:dyDescent="0.25">
      <c r="A1053" t="s">
        <v>1871</v>
      </c>
      <c r="B1053" s="1" t="s">
        <v>1248</v>
      </c>
      <c r="C1053" s="1" t="s">
        <v>1530</v>
      </c>
      <c r="D1053" s="1" t="s">
        <v>1288</v>
      </c>
      <c r="E1053" s="1" t="s">
        <v>1293</v>
      </c>
      <c r="F1053" t="s">
        <v>2082</v>
      </c>
      <c r="G1053" t="s">
        <v>1283</v>
      </c>
      <c r="H1053" t="s">
        <v>1284</v>
      </c>
      <c r="I1053" t="s">
        <v>1285</v>
      </c>
      <c r="J1053" t="s">
        <v>1170</v>
      </c>
      <c r="K1053" t="s">
        <v>1249</v>
      </c>
      <c r="L1053" t="s">
        <v>1286</v>
      </c>
      <c r="M1053" t="s">
        <v>1287</v>
      </c>
      <c r="N1053" t="s">
        <v>1289</v>
      </c>
      <c r="O1053" s="1" t="s">
        <v>1290</v>
      </c>
      <c r="P1053" t="s">
        <v>1291</v>
      </c>
      <c r="Q1053" t="s">
        <v>1292</v>
      </c>
      <c r="S1053" t="s">
        <v>1294</v>
      </c>
      <c r="T1053" t="s">
        <v>2083</v>
      </c>
      <c r="U1053">
        <v>0</v>
      </c>
      <c r="V1053" t="s">
        <v>1248</v>
      </c>
    </row>
    <row r="1054" spans="1:22" x14ac:dyDescent="0.25">
      <c r="A1054" t="s">
        <v>1871</v>
      </c>
      <c r="B1054" s="1" t="s">
        <v>1248</v>
      </c>
      <c r="C1054" s="1" t="s">
        <v>1530</v>
      </c>
      <c r="D1054" s="1" t="s">
        <v>1288</v>
      </c>
      <c r="E1054" s="1" t="s">
        <v>1358</v>
      </c>
      <c r="F1054" t="s">
        <v>2133</v>
      </c>
      <c r="G1054" t="s">
        <v>1283</v>
      </c>
      <c r="H1054" t="s">
        <v>1284</v>
      </c>
      <c r="I1054" t="s">
        <v>1285</v>
      </c>
      <c r="J1054" t="s">
        <v>1170</v>
      </c>
      <c r="K1054" t="s">
        <v>1249</v>
      </c>
      <c r="L1054" t="s">
        <v>1286</v>
      </c>
      <c r="M1054" t="s">
        <v>1287</v>
      </c>
      <c r="N1054" t="s">
        <v>1289</v>
      </c>
      <c r="O1054" s="1" t="s">
        <v>1290</v>
      </c>
      <c r="P1054" t="s">
        <v>1291</v>
      </c>
      <c r="Q1054" t="s">
        <v>1292</v>
      </c>
      <c r="S1054" t="s">
        <v>1294</v>
      </c>
      <c r="T1054" t="s">
        <v>2134</v>
      </c>
      <c r="U1054">
        <v>0</v>
      </c>
      <c r="V1054" t="s">
        <v>1248</v>
      </c>
    </row>
    <row r="1055" spans="1:22" x14ac:dyDescent="0.25">
      <c r="A1055" t="s">
        <v>1871</v>
      </c>
      <c r="B1055" s="1" t="s">
        <v>1248</v>
      </c>
      <c r="C1055" s="1" t="s">
        <v>1530</v>
      </c>
      <c r="D1055" s="1" t="s">
        <v>1288</v>
      </c>
      <c r="E1055" s="1" t="s">
        <v>1319</v>
      </c>
      <c r="F1055" t="s">
        <v>2148</v>
      </c>
      <c r="G1055" t="s">
        <v>1283</v>
      </c>
      <c r="H1055" t="s">
        <v>1284</v>
      </c>
      <c r="I1055" t="s">
        <v>1285</v>
      </c>
      <c r="J1055" t="s">
        <v>1170</v>
      </c>
      <c r="K1055" t="s">
        <v>1249</v>
      </c>
      <c r="L1055" t="s">
        <v>1286</v>
      </c>
      <c r="M1055" t="s">
        <v>1287</v>
      </c>
      <c r="N1055" t="s">
        <v>1289</v>
      </c>
      <c r="O1055" s="1" t="s">
        <v>1290</v>
      </c>
      <c r="P1055" t="s">
        <v>1291</v>
      </c>
      <c r="Q1055" t="s">
        <v>1292</v>
      </c>
      <c r="S1055" t="s">
        <v>1294</v>
      </c>
      <c r="T1055" t="s">
        <v>2149</v>
      </c>
      <c r="U1055">
        <v>0</v>
      </c>
      <c r="V1055" t="s">
        <v>1248</v>
      </c>
    </row>
    <row r="1056" spans="1:22" x14ac:dyDescent="0.25">
      <c r="A1056" t="s">
        <v>1871</v>
      </c>
      <c r="B1056" s="1" t="s">
        <v>1248</v>
      </c>
      <c r="C1056" s="1" t="s">
        <v>1530</v>
      </c>
      <c r="D1056" s="1" t="s">
        <v>1288</v>
      </c>
      <c r="E1056" s="1" t="s">
        <v>1358</v>
      </c>
      <c r="F1056" t="s">
        <v>2576</v>
      </c>
      <c r="G1056" t="s">
        <v>1283</v>
      </c>
      <c r="H1056" t="s">
        <v>1284</v>
      </c>
      <c r="I1056" t="s">
        <v>1285</v>
      </c>
      <c r="J1056" t="s">
        <v>1170</v>
      </c>
      <c r="K1056" t="s">
        <v>1249</v>
      </c>
      <c r="L1056" t="s">
        <v>1286</v>
      </c>
      <c r="M1056" t="s">
        <v>1287</v>
      </c>
      <c r="N1056" t="s">
        <v>1289</v>
      </c>
      <c r="O1056" s="1" t="s">
        <v>1290</v>
      </c>
      <c r="P1056" t="s">
        <v>1291</v>
      </c>
      <c r="Q1056" t="s">
        <v>1292</v>
      </c>
      <c r="S1056" t="s">
        <v>1294</v>
      </c>
      <c r="T1056" t="s">
        <v>2577</v>
      </c>
      <c r="U1056">
        <v>0</v>
      </c>
      <c r="V1056" t="s">
        <v>1248</v>
      </c>
    </row>
    <row r="1057" spans="1:22" x14ac:dyDescent="0.25">
      <c r="A1057" t="s">
        <v>1871</v>
      </c>
      <c r="B1057" s="1" t="s">
        <v>1248</v>
      </c>
      <c r="C1057" s="1" t="s">
        <v>1530</v>
      </c>
      <c r="D1057" s="1" t="s">
        <v>1288</v>
      </c>
      <c r="E1057" s="1" t="s">
        <v>1358</v>
      </c>
      <c r="F1057" t="s">
        <v>2673</v>
      </c>
      <c r="G1057" t="s">
        <v>1283</v>
      </c>
      <c r="H1057" t="s">
        <v>1284</v>
      </c>
      <c r="I1057" t="s">
        <v>1285</v>
      </c>
      <c r="J1057" t="s">
        <v>1170</v>
      </c>
      <c r="K1057" t="s">
        <v>1249</v>
      </c>
      <c r="L1057" t="s">
        <v>1286</v>
      </c>
      <c r="M1057" t="s">
        <v>1287</v>
      </c>
      <c r="N1057" t="s">
        <v>1289</v>
      </c>
      <c r="O1057" s="1" t="s">
        <v>1290</v>
      </c>
      <c r="P1057" t="s">
        <v>1291</v>
      </c>
      <c r="Q1057" t="s">
        <v>1292</v>
      </c>
      <c r="S1057" t="s">
        <v>1294</v>
      </c>
      <c r="T1057" t="s">
        <v>2674</v>
      </c>
      <c r="U1057">
        <v>0</v>
      </c>
      <c r="V1057" t="s">
        <v>1248</v>
      </c>
    </row>
    <row r="1058" spans="1:22" x14ac:dyDescent="0.25">
      <c r="A1058" t="s">
        <v>1871</v>
      </c>
      <c r="B1058" s="1" t="s">
        <v>1248</v>
      </c>
      <c r="C1058" s="1" t="s">
        <v>1530</v>
      </c>
      <c r="D1058" s="1" t="s">
        <v>1288</v>
      </c>
      <c r="E1058" s="1" t="s">
        <v>1393</v>
      </c>
      <c r="F1058" t="s">
        <v>2969</v>
      </c>
      <c r="G1058" t="s">
        <v>1283</v>
      </c>
      <c r="H1058" t="s">
        <v>1284</v>
      </c>
      <c r="I1058" t="s">
        <v>1285</v>
      </c>
      <c r="J1058" t="s">
        <v>1170</v>
      </c>
      <c r="K1058" t="s">
        <v>1249</v>
      </c>
      <c r="L1058" t="s">
        <v>1286</v>
      </c>
      <c r="M1058" t="s">
        <v>1287</v>
      </c>
      <c r="N1058" t="s">
        <v>1289</v>
      </c>
      <c r="O1058" s="1" t="s">
        <v>1290</v>
      </c>
      <c r="P1058" t="s">
        <v>1291</v>
      </c>
      <c r="Q1058" t="s">
        <v>1292</v>
      </c>
      <c r="S1058" t="s">
        <v>1294</v>
      </c>
      <c r="T1058" t="s">
        <v>2970</v>
      </c>
      <c r="U1058">
        <v>0</v>
      </c>
      <c r="V1058" t="s">
        <v>1248</v>
      </c>
    </row>
    <row r="1059" spans="1:22" x14ac:dyDescent="0.25">
      <c r="A1059" t="s">
        <v>1871</v>
      </c>
      <c r="B1059" s="1" t="s">
        <v>1248</v>
      </c>
      <c r="C1059" s="1" t="s">
        <v>1530</v>
      </c>
      <c r="D1059" s="1" t="s">
        <v>1288</v>
      </c>
      <c r="E1059" s="1" t="s">
        <v>1350</v>
      </c>
      <c r="F1059" t="s">
        <v>2975</v>
      </c>
      <c r="G1059" t="s">
        <v>1283</v>
      </c>
      <c r="H1059" t="s">
        <v>1284</v>
      </c>
      <c r="I1059" t="s">
        <v>1285</v>
      </c>
      <c r="J1059" t="s">
        <v>1170</v>
      </c>
      <c r="K1059" t="s">
        <v>1249</v>
      </c>
      <c r="L1059" t="s">
        <v>1286</v>
      </c>
      <c r="M1059" t="s">
        <v>1287</v>
      </c>
      <c r="N1059" t="s">
        <v>1289</v>
      </c>
      <c r="O1059" s="1" t="s">
        <v>1290</v>
      </c>
      <c r="P1059" t="s">
        <v>1291</v>
      </c>
      <c r="Q1059" t="s">
        <v>1292</v>
      </c>
      <c r="S1059" t="s">
        <v>1294</v>
      </c>
      <c r="T1059" t="s">
        <v>2976</v>
      </c>
      <c r="U1059">
        <v>0</v>
      </c>
      <c r="V1059" t="s">
        <v>1248</v>
      </c>
    </row>
    <row r="1060" spans="1:22" x14ac:dyDescent="0.25">
      <c r="A1060" t="s">
        <v>1871</v>
      </c>
      <c r="B1060" s="1" t="s">
        <v>1248</v>
      </c>
      <c r="C1060" s="1" t="s">
        <v>1530</v>
      </c>
      <c r="D1060" s="1" t="s">
        <v>1288</v>
      </c>
      <c r="E1060" s="1" t="s">
        <v>1374</v>
      </c>
      <c r="F1060" t="s">
        <v>2982</v>
      </c>
      <c r="G1060" t="s">
        <v>1283</v>
      </c>
      <c r="H1060" t="s">
        <v>1284</v>
      </c>
      <c r="I1060" t="s">
        <v>1285</v>
      </c>
      <c r="J1060" t="s">
        <v>1170</v>
      </c>
      <c r="K1060" t="s">
        <v>1249</v>
      </c>
      <c r="L1060" t="s">
        <v>1286</v>
      </c>
      <c r="M1060" t="s">
        <v>1287</v>
      </c>
      <c r="N1060" t="s">
        <v>1289</v>
      </c>
      <c r="O1060" s="1" t="s">
        <v>1290</v>
      </c>
      <c r="P1060" t="s">
        <v>1291</v>
      </c>
      <c r="Q1060" t="s">
        <v>1292</v>
      </c>
      <c r="S1060" t="s">
        <v>1294</v>
      </c>
      <c r="T1060" t="s">
        <v>2983</v>
      </c>
      <c r="U1060">
        <v>0</v>
      </c>
      <c r="V1060" t="s">
        <v>1248</v>
      </c>
    </row>
    <row r="1061" spans="1:22" x14ac:dyDescent="0.25">
      <c r="A1061" t="s">
        <v>1871</v>
      </c>
      <c r="B1061" s="1" t="s">
        <v>1248</v>
      </c>
      <c r="C1061" s="1" t="s">
        <v>1530</v>
      </c>
      <c r="D1061" s="1" t="s">
        <v>1288</v>
      </c>
      <c r="E1061" s="1" t="s">
        <v>1368</v>
      </c>
      <c r="F1061" t="s">
        <v>3016</v>
      </c>
      <c r="G1061" t="s">
        <v>1283</v>
      </c>
      <c r="H1061" t="s">
        <v>1284</v>
      </c>
      <c r="I1061" t="s">
        <v>1285</v>
      </c>
      <c r="J1061" t="s">
        <v>1170</v>
      </c>
      <c r="K1061" t="s">
        <v>1249</v>
      </c>
      <c r="L1061" t="s">
        <v>1286</v>
      </c>
      <c r="M1061" t="s">
        <v>1287</v>
      </c>
      <c r="N1061" t="s">
        <v>1289</v>
      </c>
      <c r="O1061" s="1" t="s">
        <v>1290</v>
      </c>
      <c r="P1061" t="s">
        <v>1291</v>
      </c>
      <c r="Q1061" t="s">
        <v>1292</v>
      </c>
      <c r="S1061" t="s">
        <v>1294</v>
      </c>
      <c r="T1061" t="s">
        <v>1296</v>
      </c>
      <c r="U1061">
        <v>0</v>
      </c>
      <c r="V1061" t="s">
        <v>1248</v>
      </c>
    </row>
    <row r="1062" spans="1:22" x14ac:dyDescent="0.25">
      <c r="A1062" t="s">
        <v>1871</v>
      </c>
      <c r="B1062" s="1" t="s">
        <v>1248</v>
      </c>
      <c r="C1062" s="1" t="s">
        <v>1530</v>
      </c>
      <c r="D1062" s="1" t="s">
        <v>1288</v>
      </c>
      <c r="E1062" s="1" t="s">
        <v>1368</v>
      </c>
      <c r="F1062" t="s">
        <v>3056</v>
      </c>
      <c r="G1062" t="s">
        <v>1283</v>
      </c>
      <c r="H1062" t="s">
        <v>1284</v>
      </c>
      <c r="I1062" t="s">
        <v>1285</v>
      </c>
      <c r="J1062" t="s">
        <v>1170</v>
      </c>
      <c r="K1062" t="s">
        <v>1249</v>
      </c>
      <c r="L1062" t="s">
        <v>1286</v>
      </c>
      <c r="M1062" t="s">
        <v>1287</v>
      </c>
      <c r="N1062" t="s">
        <v>1289</v>
      </c>
      <c r="O1062" s="1" t="s">
        <v>1290</v>
      </c>
      <c r="P1062" t="s">
        <v>1291</v>
      </c>
      <c r="Q1062" t="s">
        <v>1292</v>
      </c>
      <c r="S1062" t="s">
        <v>1294</v>
      </c>
      <c r="T1062" t="s">
        <v>3057</v>
      </c>
      <c r="U1062">
        <v>0</v>
      </c>
      <c r="V1062" t="s">
        <v>1248</v>
      </c>
    </row>
    <row r="1063" spans="1:22" x14ac:dyDescent="0.25">
      <c r="A1063" t="s">
        <v>1871</v>
      </c>
      <c r="B1063" s="1" t="s">
        <v>1248</v>
      </c>
      <c r="C1063" s="1" t="s">
        <v>1530</v>
      </c>
      <c r="D1063" s="1" t="s">
        <v>1288</v>
      </c>
      <c r="E1063" s="1" t="s">
        <v>1393</v>
      </c>
      <c r="F1063" t="s">
        <v>3090</v>
      </c>
      <c r="G1063" t="s">
        <v>1283</v>
      </c>
      <c r="H1063" t="s">
        <v>1284</v>
      </c>
      <c r="I1063" t="s">
        <v>1285</v>
      </c>
      <c r="J1063" t="s">
        <v>1170</v>
      </c>
      <c r="K1063" t="s">
        <v>1249</v>
      </c>
      <c r="L1063" t="s">
        <v>1286</v>
      </c>
      <c r="M1063" t="s">
        <v>1287</v>
      </c>
      <c r="N1063" t="s">
        <v>1289</v>
      </c>
      <c r="O1063" s="1" t="s">
        <v>1290</v>
      </c>
      <c r="P1063" t="s">
        <v>1291</v>
      </c>
      <c r="Q1063" t="s">
        <v>1292</v>
      </c>
      <c r="S1063" t="s">
        <v>1294</v>
      </c>
      <c r="T1063" t="s">
        <v>3091</v>
      </c>
      <c r="U1063">
        <v>0</v>
      </c>
      <c r="V1063" t="s">
        <v>1248</v>
      </c>
    </row>
    <row r="1064" spans="1:22" x14ac:dyDescent="0.25">
      <c r="A1064" t="s">
        <v>1871</v>
      </c>
      <c r="B1064" s="1" t="s">
        <v>1248</v>
      </c>
      <c r="C1064" s="1" t="s">
        <v>1530</v>
      </c>
      <c r="D1064" s="1" t="s">
        <v>1288</v>
      </c>
      <c r="E1064" s="1" t="s">
        <v>1374</v>
      </c>
      <c r="F1064" t="s">
        <v>3134</v>
      </c>
      <c r="G1064" t="s">
        <v>1283</v>
      </c>
      <c r="H1064" t="s">
        <v>1284</v>
      </c>
      <c r="I1064" t="s">
        <v>1285</v>
      </c>
      <c r="J1064" t="s">
        <v>1170</v>
      </c>
      <c r="K1064" t="s">
        <v>1249</v>
      </c>
      <c r="L1064" t="s">
        <v>1286</v>
      </c>
      <c r="M1064" t="s">
        <v>1287</v>
      </c>
      <c r="N1064" t="s">
        <v>1289</v>
      </c>
      <c r="O1064" s="1" t="s">
        <v>1290</v>
      </c>
      <c r="P1064" t="s">
        <v>1291</v>
      </c>
      <c r="Q1064" t="s">
        <v>1292</v>
      </c>
      <c r="S1064" t="s">
        <v>1294</v>
      </c>
      <c r="T1064" t="s">
        <v>3135</v>
      </c>
      <c r="U1064">
        <v>0</v>
      </c>
      <c r="V1064" t="s">
        <v>1248</v>
      </c>
    </row>
    <row r="1065" spans="1:22" x14ac:dyDescent="0.25">
      <c r="A1065" t="s">
        <v>1871</v>
      </c>
      <c r="B1065" s="1" t="s">
        <v>1248</v>
      </c>
      <c r="C1065" s="1" t="s">
        <v>1530</v>
      </c>
      <c r="D1065" s="1" t="s">
        <v>1288</v>
      </c>
      <c r="E1065" s="1" t="s">
        <v>1350</v>
      </c>
      <c r="F1065" t="s">
        <v>3157</v>
      </c>
      <c r="G1065" t="s">
        <v>1283</v>
      </c>
      <c r="H1065" t="s">
        <v>1284</v>
      </c>
      <c r="I1065" t="s">
        <v>1285</v>
      </c>
      <c r="J1065" t="s">
        <v>1170</v>
      </c>
      <c r="K1065" t="s">
        <v>1249</v>
      </c>
      <c r="L1065" t="s">
        <v>1286</v>
      </c>
      <c r="M1065" t="s">
        <v>1287</v>
      </c>
      <c r="N1065" t="s">
        <v>1289</v>
      </c>
      <c r="O1065" s="1" t="s">
        <v>1290</v>
      </c>
      <c r="P1065" t="s">
        <v>1291</v>
      </c>
      <c r="Q1065" t="s">
        <v>1292</v>
      </c>
      <c r="S1065" t="s">
        <v>1294</v>
      </c>
      <c r="T1065" t="s">
        <v>3158</v>
      </c>
      <c r="U1065">
        <v>0</v>
      </c>
      <c r="V1065" t="s">
        <v>1248</v>
      </c>
    </row>
    <row r="1066" spans="1:22" x14ac:dyDescent="0.25">
      <c r="A1066" t="s">
        <v>1871</v>
      </c>
      <c r="B1066" s="1" t="s">
        <v>1248</v>
      </c>
      <c r="C1066" s="1" t="s">
        <v>1530</v>
      </c>
      <c r="D1066" s="1" t="s">
        <v>1288</v>
      </c>
      <c r="E1066" s="1" t="s">
        <v>1350</v>
      </c>
      <c r="F1066" t="s">
        <v>3223</v>
      </c>
      <c r="G1066" t="s">
        <v>1283</v>
      </c>
      <c r="H1066" t="s">
        <v>1284</v>
      </c>
      <c r="I1066" t="s">
        <v>1285</v>
      </c>
      <c r="J1066" t="s">
        <v>1170</v>
      </c>
      <c r="K1066" t="s">
        <v>1249</v>
      </c>
      <c r="L1066" t="s">
        <v>1286</v>
      </c>
      <c r="M1066" t="s">
        <v>1287</v>
      </c>
      <c r="N1066" t="s">
        <v>1289</v>
      </c>
      <c r="O1066" s="1" t="s">
        <v>1290</v>
      </c>
      <c r="P1066" t="s">
        <v>1291</v>
      </c>
      <c r="Q1066" t="s">
        <v>1292</v>
      </c>
      <c r="S1066" t="s">
        <v>1294</v>
      </c>
      <c r="T1066" t="s">
        <v>3224</v>
      </c>
      <c r="U1066">
        <v>0</v>
      </c>
      <c r="V1066" t="s">
        <v>1248</v>
      </c>
    </row>
    <row r="1067" spans="1:22" x14ac:dyDescent="0.25">
      <c r="A1067" t="s">
        <v>1871</v>
      </c>
      <c r="B1067" s="1" t="s">
        <v>1248</v>
      </c>
      <c r="C1067" s="1" t="s">
        <v>1530</v>
      </c>
      <c r="D1067" s="1" t="s">
        <v>1288</v>
      </c>
      <c r="E1067" s="1" t="s">
        <v>1350</v>
      </c>
      <c r="F1067" t="s">
        <v>3251</v>
      </c>
      <c r="G1067" t="s">
        <v>1283</v>
      </c>
      <c r="H1067" t="s">
        <v>1284</v>
      </c>
      <c r="I1067" t="s">
        <v>1285</v>
      </c>
      <c r="J1067" t="s">
        <v>1170</v>
      </c>
      <c r="K1067" t="s">
        <v>1249</v>
      </c>
      <c r="L1067" t="s">
        <v>1286</v>
      </c>
      <c r="M1067" t="s">
        <v>1287</v>
      </c>
      <c r="N1067" t="s">
        <v>1289</v>
      </c>
      <c r="O1067" s="1" t="s">
        <v>1290</v>
      </c>
      <c r="P1067" t="s">
        <v>1291</v>
      </c>
      <c r="Q1067" t="s">
        <v>1292</v>
      </c>
      <c r="S1067" t="s">
        <v>1294</v>
      </c>
      <c r="T1067" t="s">
        <v>3252</v>
      </c>
      <c r="U1067">
        <v>0</v>
      </c>
      <c r="V1067" t="s">
        <v>1248</v>
      </c>
    </row>
    <row r="1068" spans="1:22" x14ac:dyDescent="0.25">
      <c r="A1068" t="s">
        <v>1871</v>
      </c>
      <c r="B1068" s="1" t="s">
        <v>1248</v>
      </c>
      <c r="C1068" s="1" t="s">
        <v>1530</v>
      </c>
      <c r="D1068" s="1" t="s">
        <v>1288</v>
      </c>
      <c r="E1068" s="1" t="s">
        <v>1350</v>
      </c>
      <c r="F1068" t="s">
        <v>3253</v>
      </c>
      <c r="G1068" t="s">
        <v>1283</v>
      </c>
      <c r="H1068" t="s">
        <v>1284</v>
      </c>
      <c r="I1068" t="s">
        <v>1285</v>
      </c>
      <c r="J1068" t="s">
        <v>1170</v>
      </c>
      <c r="K1068" t="s">
        <v>1249</v>
      </c>
      <c r="L1068" t="s">
        <v>1286</v>
      </c>
      <c r="M1068" t="s">
        <v>1287</v>
      </c>
      <c r="N1068" t="s">
        <v>1289</v>
      </c>
      <c r="O1068" s="1" t="s">
        <v>1290</v>
      </c>
      <c r="P1068" t="s">
        <v>1291</v>
      </c>
      <c r="Q1068" t="s">
        <v>1292</v>
      </c>
      <c r="S1068" t="s">
        <v>1294</v>
      </c>
      <c r="T1068" t="s">
        <v>3254</v>
      </c>
      <c r="U1068">
        <v>0</v>
      </c>
      <c r="V1068" t="s">
        <v>1248</v>
      </c>
    </row>
    <row r="1069" spans="1:22" x14ac:dyDescent="0.25">
      <c r="A1069" t="s">
        <v>1871</v>
      </c>
      <c r="B1069" s="1" t="s">
        <v>1248</v>
      </c>
      <c r="C1069" s="1" t="s">
        <v>1530</v>
      </c>
      <c r="D1069" s="1" t="s">
        <v>1288</v>
      </c>
      <c r="E1069" s="1" t="s">
        <v>1350</v>
      </c>
      <c r="F1069" t="s">
        <v>3279</v>
      </c>
      <c r="G1069" t="s">
        <v>1283</v>
      </c>
      <c r="H1069" t="s">
        <v>1284</v>
      </c>
      <c r="I1069" t="s">
        <v>1285</v>
      </c>
      <c r="J1069" t="s">
        <v>1170</v>
      </c>
      <c r="K1069" t="s">
        <v>1249</v>
      </c>
      <c r="L1069" t="s">
        <v>1286</v>
      </c>
      <c r="M1069" t="s">
        <v>1287</v>
      </c>
      <c r="N1069" t="s">
        <v>1289</v>
      </c>
      <c r="O1069" s="1" t="s">
        <v>1290</v>
      </c>
      <c r="P1069" t="s">
        <v>1291</v>
      </c>
      <c r="Q1069" t="s">
        <v>1292</v>
      </c>
      <c r="S1069" t="s">
        <v>1294</v>
      </c>
      <c r="T1069" t="s">
        <v>3280</v>
      </c>
      <c r="U1069">
        <v>0</v>
      </c>
      <c r="V1069" t="s">
        <v>1248</v>
      </c>
    </row>
    <row r="1070" spans="1:22" x14ac:dyDescent="0.25">
      <c r="A1070" t="s">
        <v>1871</v>
      </c>
      <c r="B1070" s="1" t="s">
        <v>1248</v>
      </c>
      <c r="C1070" s="1" t="s">
        <v>1530</v>
      </c>
      <c r="D1070" s="1" t="s">
        <v>1288</v>
      </c>
      <c r="E1070" s="1" t="s">
        <v>1350</v>
      </c>
      <c r="F1070" t="s">
        <v>3297</v>
      </c>
      <c r="G1070" t="s">
        <v>1283</v>
      </c>
      <c r="H1070" t="s">
        <v>1284</v>
      </c>
      <c r="I1070" t="s">
        <v>1285</v>
      </c>
      <c r="J1070" t="s">
        <v>1170</v>
      </c>
      <c r="K1070" t="s">
        <v>1249</v>
      </c>
      <c r="L1070" t="s">
        <v>1286</v>
      </c>
      <c r="M1070" t="s">
        <v>1287</v>
      </c>
      <c r="N1070" t="s">
        <v>1289</v>
      </c>
      <c r="O1070" s="1" t="s">
        <v>1290</v>
      </c>
      <c r="P1070" t="s">
        <v>1291</v>
      </c>
      <c r="Q1070" t="s">
        <v>1292</v>
      </c>
      <c r="S1070" t="s">
        <v>1294</v>
      </c>
      <c r="T1070" t="s">
        <v>3298</v>
      </c>
      <c r="U1070">
        <v>0</v>
      </c>
      <c r="V1070" t="s">
        <v>1248</v>
      </c>
    </row>
    <row r="1071" spans="1:22" ht="30" x14ac:dyDescent="0.25">
      <c r="A1071" t="s">
        <v>1871</v>
      </c>
      <c r="B1071" s="1" t="s">
        <v>1248</v>
      </c>
      <c r="C1071" s="1" t="s">
        <v>1530</v>
      </c>
      <c r="D1071" s="1" t="s">
        <v>1288</v>
      </c>
      <c r="E1071" s="1" t="s">
        <v>1293</v>
      </c>
      <c r="F1071" t="s">
        <v>3355</v>
      </c>
      <c r="G1071" t="s">
        <v>1283</v>
      </c>
      <c r="H1071" t="s">
        <v>1284</v>
      </c>
      <c r="I1071" t="s">
        <v>1285</v>
      </c>
      <c r="J1071" t="s">
        <v>1170</v>
      </c>
      <c r="K1071" t="s">
        <v>1249</v>
      </c>
      <c r="L1071" t="s">
        <v>1286</v>
      </c>
      <c r="M1071" t="s">
        <v>1287</v>
      </c>
      <c r="N1071" t="s">
        <v>1289</v>
      </c>
      <c r="O1071" s="1" t="s">
        <v>1290</v>
      </c>
      <c r="P1071" t="s">
        <v>1291</v>
      </c>
      <c r="Q1071" t="s">
        <v>1292</v>
      </c>
      <c r="S1071" t="s">
        <v>1294</v>
      </c>
      <c r="T1071" t="s">
        <v>3356</v>
      </c>
      <c r="U1071">
        <v>0</v>
      </c>
      <c r="V1071" t="s">
        <v>1248</v>
      </c>
    </row>
    <row r="1072" spans="1:22" x14ac:dyDescent="0.25">
      <c r="A1072" t="s">
        <v>1871</v>
      </c>
      <c r="B1072" s="1" t="s">
        <v>1248</v>
      </c>
      <c r="C1072" s="1" t="s">
        <v>1530</v>
      </c>
      <c r="D1072" s="1" t="s">
        <v>1288</v>
      </c>
      <c r="E1072" s="1" t="s">
        <v>1316</v>
      </c>
      <c r="F1072" t="s">
        <v>3417</v>
      </c>
      <c r="G1072" t="s">
        <v>1283</v>
      </c>
      <c r="H1072" t="s">
        <v>1284</v>
      </c>
      <c r="I1072" t="s">
        <v>1285</v>
      </c>
      <c r="J1072" t="s">
        <v>1170</v>
      </c>
      <c r="K1072" t="s">
        <v>1249</v>
      </c>
      <c r="L1072" t="s">
        <v>1286</v>
      </c>
      <c r="M1072" t="s">
        <v>1287</v>
      </c>
      <c r="N1072" t="s">
        <v>1289</v>
      </c>
      <c r="O1072" s="1" t="s">
        <v>1290</v>
      </c>
      <c r="P1072" t="s">
        <v>1291</v>
      </c>
      <c r="Q1072" t="s">
        <v>1292</v>
      </c>
      <c r="S1072" t="s">
        <v>1294</v>
      </c>
      <c r="T1072" t="s">
        <v>3418</v>
      </c>
      <c r="U1072">
        <v>0</v>
      </c>
      <c r="V1072" t="s">
        <v>1248</v>
      </c>
    </row>
    <row r="1073" spans="1:22" x14ac:dyDescent="0.25">
      <c r="A1073" t="s">
        <v>1871</v>
      </c>
      <c r="B1073" s="1" t="s">
        <v>1248</v>
      </c>
      <c r="C1073" s="1" t="s">
        <v>1530</v>
      </c>
      <c r="D1073" s="1" t="s">
        <v>1288</v>
      </c>
      <c r="E1073" s="1" t="s">
        <v>1374</v>
      </c>
      <c r="F1073" t="s">
        <v>3419</v>
      </c>
      <c r="G1073" t="s">
        <v>1283</v>
      </c>
      <c r="H1073" t="s">
        <v>1284</v>
      </c>
      <c r="I1073" t="s">
        <v>1285</v>
      </c>
      <c r="J1073" t="s">
        <v>1170</v>
      </c>
      <c r="K1073" t="s">
        <v>1249</v>
      </c>
      <c r="L1073" t="s">
        <v>1286</v>
      </c>
      <c r="M1073" t="s">
        <v>1287</v>
      </c>
      <c r="N1073" t="s">
        <v>1289</v>
      </c>
      <c r="O1073" s="1" t="s">
        <v>1290</v>
      </c>
      <c r="P1073" t="s">
        <v>1291</v>
      </c>
      <c r="Q1073" t="s">
        <v>1292</v>
      </c>
      <c r="S1073" t="s">
        <v>1294</v>
      </c>
      <c r="T1073" t="s">
        <v>3420</v>
      </c>
      <c r="U1073">
        <v>0</v>
      </c>
      <c r="V1073" t="s">
        <v>1248</v>
      </c>
    </row>
    <row r="1074" spans="1:22" ht="30" x14ac:dyDescent="0.25">
      <c r="A1074" t="s">
        <v>1460</v>
      </c>
      <c r="B1074" s="1" t="s">
        <v>1540</v>
      </c>
      <c r="C1074" s="1" t="s">
        <v>1327</v>
      </c>
      <c r="D1074" s="1" t="s">
        <v>1288</v>
      </c>
      <c r="E1074" s="1" t="s">
        <v>1543</v>
      </c>
      <c r="F1074" t="s">
        <v>1539</v>
      </c>
      <c r="G1074" t="s">
        <v>1541</v>
      </c>
      <c r="H1074" t="s">
        <v>1356</v>
      </c>
      <c r="I1074" t="s">
        <v>1285</v>
      </c>
      <c r="J1074" t="s">
        <v>1170</v>
      </c>
      <c r="K1074" t="s">
        <v>1251</v>
      </c>
      <c r="L1074" t="s">
        <v>1542</v>
      </c>
      <c r="M1074" t="s">
        <v>1325</v>
      </c>
      <c r="N1074" t="s">
        <v>1289</v>
      </c>
      <c r="O1074" s="1" t="s">
        <v>1305</v>
      </c>
      <c r="P1074" t="s">
        <v>1291</v>
      </c>
      <c r="Q1074" t="s">
        <v>1294</v>
      </c>
      <c r="S1074" t="s">
        <v>1294</v>
      </c>
      <c r="T1074" t="s">
        <v>1544</v>
      </c>
      <c r="U1074">
        <v>0</v>
      </c>
      <c r="V1074" t="s">
        <v>1540</v>
      </c>
    </row>
    <row r="1075" spans="1:22" ht="30" x14ac:dyDescent="0.25">
      <c r="A1075" t="s">
        <v>1460</v>
      </c>
      <c r="B1075" s="1" t="s">
        <v>1540</v>
      </c>
      <c r="C1075" s="1" t="s">
        <v>1345</v>
      </c>
      <c r="D1075" s="1" t="s">
        <v>1288</v>
      </c>
      <c r="E1075" s="1" t="s">
        <v>1543</v>
      </c>
      <c r="F1075" t="s">
        <v>1627</v>
      </c>
      <c r="G1075" t="s">
        <v>1541</v>
      </c>
      <c r="H1075" t="s">
        <v>1356</v>
      </c>
      <c r="I1075" t="s">
        <v>1285</v>
      </c>
      <c r="J1075" t="s">
        <v>1170</v>
      </c>
      <c r="K1075" t="s">
        <v>1251</v>
      </c>
      <c r="L1075" t="s">
        <v>1542</v>
      </c>
      <c r="M1075" t="s">
        <v>1325</v>
      </c>
      <c r="N1075" t="s">
        <v>1289</v>
      </c>
      <c r="O1075" s="1" t="s">
        <v>1305</v>
      </c>
      <c r="P1075" t="s">
        <v>1291</v>
      </c>
      <c r="Q1075" t="s">
        <v>1294</v>
      </c>
      <c r="S1075" t="s">
        <v>1294</v>
      </c>
      <c r="T1075" t="s">
        <v>1628</v>
      </c>
      <c r="U1075">
        <v>0</v>
      </c>
      <c r="V1075" t="s">
        <v>1540</v>
      </c>
    </row>
    <row r="1076" spans="1:22" x14ac:dyDescent="0.25">
      <c r="A1076" t="s">
        <v>1871</v>
      </c>
      <c r="B1076" s="1" t="s">
        <v>1540</v>
      </c>
      <c r="C1076" s="1" t="s">
        <v>1530</v>
      </c>
      <c r="D1076" s="1" t="s">
        <v>1288</v>
      </c>
      <c r="E1076" s="1" t="s">
        <v>1316</v>
      </c>
      <c r="F1076" t="s">
        <v>2581</v>
      </c>
      <c r="G1076" t="s">
        <v>1541</v>
      </c>
      <c r="H1076" t="s">
        <v>1356</v>
      </c>
      <c r="I1076" t="s">
        <v>1285</v>
      </c>
      <c r="J1076" t="s">
        <v>1170</v>
      </c>
      <c r="K1076" t="s">
        <v>1251</v>
      </c>
      <c r="L1076" t="s">
        <v>1542</v>
      </c>
      <c r="M1076" t="s">
        <v>1325</v>
      </c>
      <c r="N1076" t="s">
        <v>1289</v>
      </c>
      <c r="O1076" s="1" t="s">
        <v>1305</v>
      </c>
      <c r="P1076" t="s">
        <v>1291</v>
      </c>
      <c r="Q1076" t="s">
        <v>1294</v>
      </c>
      <c r="S1076" t="s">
        <v>1294</v>
      </c>
      <c r="T1076" t="s">
        <v>2582</v>
      </c>
      <c r="U1076">
        <v>0</v>
      </c>
      <c r="V1076" t="s">
        <v>1540</v>
      </c>
    </row>
    <row r="1077" spans="1:22" ht="30" x14ac:dyDescent="0.25">
      <c r="A1077" t="s">
        <v>1871</v>
      </c>
      <c r="B1077" s="1" t="s">
        <v>1540</v>
      </c>
      <c r="C1077" s="1" t="s">
        <v>1530</v>
      </c>
      <c r="D1077" s="1" t="s">
        <v>1288</v>
      </c>
      <c r="E1077" s="1" t="s">
        <v>1543</v>
      </c>
      <c r="F1077" t="s">
        <v>3443</v>
      </c>
      <c r="G1077" t="s">
        <v>1541</v>
      </c>
      <c r="H1077" t="s">
        <v>1356</v>
      </c>
      <c r="I1077" t="s">
        <v>1285</v>
      </c>
      <c r="J1077" t="s">
        <v>1170</v>
      </c>
      <c r="K1077" t="s">
        <v>1251</v>
      </c>
      <c r="L1077" t="s">
        <v>1542</v>
      </c>
      <c r="M1077" t="s">
        <v>1325</v>
      </c>
      <c r="N1077" t="s">
        <v>1289</v>
      </c>
      <c r="O1077" s="1" t="s">
        <v>1305</v>
      </c>
      <c r="P1077" t="s">
        <v>1291</v>
      </c>
      <c r="Q1077" t="s">
        <v>1294</v>
      </c>
      <c r="S1077" t="s">
        <v>1294</v>
      </c>
      <c r="T1077" t="s">
        <v>3444</v>
      </c>
      <c r="U1077">
        <v>0</v>
      </c>
      <c r="V1077" t="s">
        <v>1540</v>
      </c>
    </row>
    <row r="1078" spans="1:22" ht="30" x14ac:dyDescent="0.25">
      <c r="A1078" t="s">
        <v>1325</v>
      </c>
      <c r="B1078" s="1" t="s">
        <v>3480</v>
      </c>
      <c r="C1078" s="1" t="s">
        <v>1530</v>
      </c>
      <c r="D1078" s="1" t="s">
        <v>3484</v>
      </c>
      <c r="E1078" s="1" t="s">
        <v>1410</v>
      </c>
      <c r="F1078" t="s">
        <v>3479</v>
      </c>
      <c r="G1078" t="s">
        <v>3481</v>
      </c>
      <c r="H1078" t="s">
        <v>381</v>
      </c>
      <c r="I1078" t="s">
        <v>1285</v>
      </c>
      <c r="J1078" t="s">
        <v>1170</v>
      </c>
      <c r="K1078" t="s">
        <v>3482</v>
      </c>
      <c r="L1078" t="s">
        <v>3483</v>
      </c>
      <c r="M1078" t="s">
        <v>1325</v>
      </c>
      <c r="N1078">
        <v>43000</v>
      </c>
      <c r="O1078" s="1" t="s">
        <v>1305</v>
      </c>
      <c r="P1078" t="s">
        <v>1392</v>
      </c>
      <c r="Q1078" t="s">
        <v>1294</v>
      </c>
      <c r="S1078" t="s">
        <v>1294</v>
      </c>
      <c r="T1078" t="s">
        <v>1296</v>
      </c>
      <c r="U1078">
        <v>0</v>
      </c>
      <c r="V1078" t="s">
        <v>3485</v>
      </c>
    </row>
    <row r="1079" spans="1:22" ht="30" x14ac:dyDescent="0.25">
      <c r="A1079" t="s">
        <v>1325</v>
      </c>
      <c r="B1079" s="1" t="s">
        <v>3480</v>
      </c>
      <c r="C1079" s="1" t="s">
        <v>1530</v>
      </c>
      <c r="D1079" s="1" t="s">
        <v>3484</v>
      </c>
      <c r="E1079" s="1" t="s">
        <v>1410</v>
      </c>
      <c r="F1079" t="s">
        <v>3486</v>
      </c>
      <c r="G1079" t="s">
        <v>3481</v>
      </c>
      <c r="H1079" t="s">
        <v>381</v>
      </c>
      <c r="I1079" t="s">
        <v>1285</v>
      </c>
      <c r="J1079" t="s">
        <v>1170</v>
      </c>
      <c r="K1079" t="s">
        <v>3482</v>
      </c>
      <c r="L1079" t="s">
        <v>3483</v>
      </c>
      <c r="M1079" t="s">
        <v>1325</v>
      </c>
      <c r="N1079">
        <v>43000</v>
      </c>
      <c r="O1079" s="1" t="s">
        <v>1305</v>
      </c>
      <c r="P1079" t="s">
        <v>1392</v>
      </c>
      <c r="Q1079" t="s">
        <v>1294</v>
      </c>
      <c r="S1079" t="s">
        <v>1294</v>
      </c>
      <c r="T1079" t="s">
        <v>1296</v>
      </c>
      <c r="U1079">
        <v>0</v>
      </c>
      <c r="V1079" t="s">
        <v>3487</v>
      </c>
    </row>
    <row r="1080" spans="1:22" ht="30" x14ac:dyDescent="0.25">
      <c r="A1080" t="s">
        <v>1460</v>
      </c>
      <c r="B1080" s="1" t="s">
        <v>1253</v>
      </c>
      <c r="C1080" s="1" t="s">
        <v>1295</v>
      </c>
      <c r="D1080" s="1" t="s">
        <v>1288</v>
      </c>
      <c r="E1080" s="1" t="s">
        <v>1374</v>
      </c>
      <c r="F1080" t="s">
        <v>1695</v>
      </c>
      <c r="G1080" t="s">
        <v>1696</v>
      </c>
      <c r="H1080" t="s">
        <v>381</v>
      </c>
      <c r="I1080" t="s">
        <v>1285</v>
      </c>
      <c r="J1080" t="s">
        <v>1170</v>
      </c>
      <c r="K1080" t="s">
        <v>1697</v>
      </c>
      <c r="L1080" t="s">
        <v>1698</v>
      </c>
      <c r="M1080" t="s">
        <v>1699</v>
      </c>
      <c r="N1080">
        <v>45000</v>
      </c>
      <c r="O1080" s="1" t="s">
        <v>1336</v>
      </c>
      <c r="P1080" t="s">
        <v>1392</v>
      </c>
      <c r="Q1080" t="s">
        <v>1294</v>
      </c>
      <c r="S1080" t="s">
        <v>1294</v>
      </c>
      <c r="T1080" t="s">
        <v>1296</v>
      </c>
      <c r="U1080">
        <v>3320.75</v>
      </c>
      <c r="V1080" t="s">
        <v>1253</v>
      </c>
    </row>
    <row r="1081" spans="1:22" ht="30" x14ac:dyDescent="0.25">
      <c r="A1081" t="s">
        <v>1460</v>
      </c>
      <c r="B1081" s="1" t="s">
        <v>1253</v>
      </c>
      <c r="C1081" s="1" t="s">
        <v>1295</v>
      </c>
      <c r="D1081" s="1" t="s">
        <v>1288</v>
      </c>
      <c r="E1081" s="1" t="s">
        <v>1504</v>
      </c>
      <c r="F1081" t="s">
        <v>1700</v>
      </c>
      <c r="G1081" t="s">
        <v>1696</v>
      </c>
      <c r="H1081" t="s">
        <v>381</v>
      </c>
      <c r="I1081" t="s">
        <v>1285</v>
      </c>
      <c r="J1081" t="s">
        <v>1170</v>
      </c>
      <c r="K1081" t="s">
        <v>1697</v>
      </c>
      <c r="L1081" t="s">
        <v>1698</v>
      </c>
      <c r="M1081" t="s">
        <v>1699</v>
      </c>
      <c r="N1081">
        <v>45000</v>
      </c>
      <c r="O1081" s="1" t="s">
        <v>1336</v>
      </c>
      <c r="P1081" t="s">
        <v>1392</v>
      </c>
      <c r="Q1081" t="s">
        <v>1294</v>
      </c>
      <c r="S1081" t="s">
        <v>1294</v>
      </c>
      <c r="T1081" t="s">
        <v>1296</v>
      </c>
      <c r="U1081">
        <v>323408.2</v>
      </c>
      <c r="V1081" t="s">
        <v>1253</v>
      </c>
    </row>
    <row r="1082" spans="1:22" ht="30" x14ac:dyDescent="0.25">
      <c r="A1082" t="s">
        <v>1871</v>
      </c>
      <c r="B1082" s="1" t="s">
        <v>1253</v>
      </c>
      <c r="C1082" s="1" t="s">
        <v>1530</v>
      </c>
      <c r="D1082" s="1" t="s">
        <v>1288</v>
      </c>
      <c r="E1082" s="1" t="s">
        <v>1410</v>
      </c>
      <c r="F1082" t="s">
        <v>2244</v>
      </c>
      <c r="G1082" t="s">
        <v>1696</v>
      </c>
      <c r="H1082" t="s">
        <v>381</v>
      </c>
      <c r="I1082" t="s">
        <v>1285</v>
      </c>
      <c r="J1082" t="s">
        <v>1170</v>
      </c>
      <c r="K1082" t="s">
        <v>1697</v>
      </c>
      <c r="L1082" t="s">
        <v>1698</v>
      </c>
      <c r="M1082" t="s">
        <v>1699</v>
      </c>
      <c r="N1082">
        <v>45000</v>
      </c>
      <c r="O1082" s="1" t="s">
        <v>1336</v>
      </c>
      <c r="P1082" t="s">
        <v>1392</v>
      </c>
      <c r="Q1082" t="s">
        <v>1294</v>
      </c>
      <c r="S1082" t="s">
        <v>1294</v>
      </c>
      <c r="T1082" t="s">
        <v>1296</v>
      </c>
      <c r="U1082">
        <v>3320.75</v>
      </c>
      <c r="V1082" t="s">
        <v>1253</v>
      </c>
    </row>
    <row r="1083" spans="1:22" ht="30" x14ac:dyDescent="0.25">
      <c r="A1083" t="s">
        <v>1871</v>
      </c>
      <c r="B1083" s="1" t="s">
        <v>1253</v>
      </c>
      <c r="C1083" s="1" t="s">
        <v>1530</v>
      </c>
      <c r="D1083" s="1" t="s">
        <v>1288</v>
      </c>
      <c r="E1083" s="1" t="s">
        <v>1410</v>
      </c>
      <c r="F1083" t="s">
        <v>2326</v>
      </c>
      <c r="G1083" t="s">
        <v>1696</v>
      </c>
      <c r="H1083" t="s">
        <v>381</v>
      </c>
      <c r="I1083" t="s">
        <v>1285</v>
      </c>
      <c r="J1083" t="s">
        <v>1170</v>
      </c>
      <c r="K1083" t="s">
        <v>1697</v>
      </c>
      <c r="L1083" t="s">
        <v>1698</v>
      </c>
      <c r="M1083" t="s">
        <v>1699</v>
      </c>
      <c r="N1083">
        <v>45000</v>
      </c>
      <c r="O1083" s="1" t="s">
        <v>1336</v>
      </c>
      <c r="P1083" t="s">
        <v>1392</v>
      </c>
      <c r="Q1083" t="s">
        <v>1294</v>
      </c>
      <c r="S1083" t="s">
        <v>1294</v>
      </c>
      <c r="T1083" t="s">
        <v>1296</v>
      </c>
      <c r="U1083">
        <v>3320.75</v>
      </c>
      <c r="V1083" t="s">
        <v>1253</v>
      </c>
    </row>
    <row r="1084" spans="1:22" ht="30" x14ac:dyDescent="0.25">
      <c r="A1084" t="s">
        <v>1871</v>
      </c>
      <c r="B1084" s="1" t="s">
        <v>1253</v>
      </c>
      <c r="C1084" s="1" t="s">
        <v>1530</v>
      </c>
      <c r="D1084" s="1" t="s">
        <v>1288</v>
      </c>
      <c r="E1084" s="1" t="s">
        <v>1410</v>
      </c>
      <c r="F1084" t="s">
        <v>2580</v>
      </c>
      <c r="G1084" t="s">
        <v>1696</v>
      </c>
      <c r="H1084" t="s">
        <v>381</v>
      </c>
      <c r="I1084" t="s">
        <v>1285</v>
      </c>
      <c r="J1084" t="s">
        <v>1170</v>
      </c>
      <c r="K1084" t="s">
        <v>1697</v>
      </c>
      <c r="L1084" t="s">
        <v>1698</v>
      </c>
      <c r="M1084" t="s">
        <v>1699</v>
      </c>
      <c r="N1084">
        <v>45000</v>
      </c>
      <c r="O1084" s="1" t="s">
        <v>1336</v>
      </c>
      <c r="P1084" t="s">
        <v>1392</v>
      </c>
      <c r="Q1084" t="s">
        <v>1294</v>
      </c>
      <c r="S1084" t="s">
        <v>1294</v>
      </c>
      <c r="T1084" t="s">
        <v>1296</v>
      </c>
      <c r="U1084">
        <v>3320.75</v>
      </c>
      <c r="V1084" t="s">
        <v>1253</v>
      </c>
    </row>
    <row r="1085" spans="1:22" ht="30" x14ac:dyDescent="0.25">
      <c r="A1085" t="s">
        <v>1871</v>
      </c>
      <c r="B1085" s="1" t="s">
        <v>1253</v>
      </c>
      <c r="C1085" s="1" t="s">
        <v>1530</v>
      </c>
      <c r="D1085" s="1" t="s">
        <v>1288</v>
      </c>
      <c r="E1085" s="1" t="s">
        <v>1410</v>
      </c>
      <c r="F1085" t="s">
        <v>2986</v>
      </c>
      <c r="G1085" t="s">
        <v>1696</v>
      </c>
      <c r="H1085" t="s">
        <v>381</v>
      </c>
      <c r="I1085" t="s">
        <v>1285</v>
      </c>
      <c r="J1085" t="s">
        <v>1170</v>
      </c>
      <c r="K1085" t="s">
        <v>1697</v>
      </c>
      <c r="L1085" t="s">
        <v>1698</v>
      </c>
      <c r="M1085" t="s">
        <v>1699</v>
      </c>
      <c r="N1085">
        <v>45000</v>
      </c>
      <c r="O1085" s="1" t="s">
        <v>1336</v>
      </c>
      <c r="P1085" t="s">
        <v>1392</v>
      </c>
      <c r="Q1085" t="s">
        <v>1294</v>
      </c>
      <c r="S1085" t="s">
        <v>1294</v>
      </c>
      <c r="T1085" t="s">
        <v>1296</v>
      </c>
      <c r="U1085">
        <v>3320.75</v>
      </c>
      <c r="V1085" t="s">
        <v>1253</v>
      </c>
    </row>
    <row r="1086" spans="1:22" ht="30" x14ac:dyDescent="0.25">
      <c r="A1086" t="s">
        <v>1871</v>
      </c>
      <c r="B1086" s="1" t="s">
        <v>1253</v>
      </c>
      <c r="C1086" s="1" t="s">
        <v>1530</v>
      </c>
      <c r="D1086" s="1" t="s">
        <v>1288</v>
      </c>
      <c r="E1086" s="1" t="s">
        <v>1410</v>
      </c>
      <c r="F1086" t="s">
        <v>3023</v>
      </c>
      <c r="G1086" t="s">
        <v>1696</v>
      </c>
      <c r="H1086" t="s">
        <v>381</v>
      </c>
      <c r="I1086" t="s">
        <v>1285</v>
      </c>
      <c r="J1086" t="s">
        <v>1170</v>
      </c>
      <c r="K1086" t="s">
        <v>1697</v>
      </c>
      <c r="L1086" t="s">
        <v>1698</v>
      </c>
      <c r="M1086" t="s">
        <v>1699</v>
      </c>
      <c r="N1086">
        <v>45000</v>
      </c>
      <c r="O1086" s="1" t="s">
        <v>1336</v>
      </c>
      <c r="P1086" t="s">
        <v>1392</v>
      </c>
      <c r="Q1086" t="s">
        <v>1294</v>
      </c>
      <c r="S1086" t="s">
        <v>1294</v>
      </c>
      <c r="T1086" t="s">
        <v>1296</v>
      </c>
      <c r="U1086">
        <v>3320.75</v>
      </c>
      <c r="V1086" t="s">
        <v>1253</v>
      </c>
    </row>
    <row r="1087" spans="1:22" ht="30" x14ac:dyDescent="0.25">
      <c r="A1087" t="s">
        <v>1871</v>
      </c>
      <c r="B1087" s="1" t="s">
        <v>1253</v>
      </c>
      <c r="C1087" s="1" t="s">
        <v>1530</v>
      </c>
      <c r="D1087" s="1" t="s">
        <v>1288</v>
      </c>
      <c r="E1087" s="1" t="s">
        <v>1374</v>
      </c>
      <c r="F1087" t="s">
        <v>3024</v>
      </c>
      <c r="G1087" t="s">
        <v>1696</v>
      </c>
      <c r="H1087" t="s">
        <v>381</v>
      </c>
      <c r="I1087" t="s">
        <v>1285</v>
      </c>
      <c r="J1087" t="s">
        <v>1170</v>
      </c>
      <c r="K1087" t="s">
        <v>1697</v>
      </c>
      <c r="L1087" t="s">
        <v>1698</v>
      </c>
      <c r="M1087" t="s">
        <v>1699</v>
      </c>
      <c r="N1087">
        <v>45000</v>
      </c>
      <c r="O1087" s="1" t="s">
        <v>1336</v>
      </c>
      <c r="P1087" t="s">
        <v>1392</v>
      </c>
      <c r="Q1087" t="s">
        <v>1294</v>
      </c>
      <c r="S1087" t="s">
        <v>1294</v>
      </c>
      <c r="T1087" t="s">
        <v>1296</v>
      </c>
      <c r="U1087">
        <v>3320.75</v>
      </c>
      <c r="V1087" t="s">
        <v>1253</v>
      </c>
    </row>
    <row r="1088" spans="1:22" ht="30" x14ac:dyDescent="0.25">
      <c r="A1088" t="s">
        <v>1871</v>
      </c>
      <c r="B1088" s="1" t="s">
        <v>1253</v>
      </c>
      <c r="C1088" s="1" t="s">
        <v>1530</v>
      </c>
      <c r="D1088" s="1" t="s">
        <v>1288</v>
      </c>
      <c r="E1088" s="1" t="s">
        <v>1374</v>
      </c>
      <c r="F1088" t="s">
        <v>3025</v>
      </c>
      <c r="G1088" t="s">
        <v>1696</v>
      </c>
      <c r="H1088" t="s">
        <v>381</v>
      </c>
      <c r="I1088" t="s">
        <v>1285</v>
      </c>
      <c r="J1088" t="s">
        <v>1170</v>
      </c>
      <c r="K1088" t="s">
        <v>1697</v>
      </c>
      <c r="L1088" t="s">
        <v>1698</v>
      </c>
      <c r="M1088" t="s">
        <v>1699</v>
      </c>
      <c r="N1088">
        <v>45000</v>
      </c>
      <c r="O1088" s="1" t="s">
        <v>1336</v>
      </c>
      <c r="P1088" t="s">
        <v>1392</v>
      </c>
      <c r="Q1088" t="s">
        <v>1294</v>
      </c>
      <c r="S1088" t="s">
        <v>1294</v>
      </c>
      <c r="T1088" t="s">
        <v>1296</v>
      </c>
      <c r="U1088">
        <v>3320.75</v>
      </c>
      <c r="V1088" t="s">
        <v>1253</v>
      </c>
    </row>
    <row r="1089" spans="1:22" ht="30" x14ac:dyDescent="0.25">
      <c r="A1089" t="s">
        <v>1871</v>
      </c>
      <c r="B1089" s="1" t="s">
        <v>1253</v>
      </c>
      <c r="C1089" s="1" t="s">
        <v>1530</v>
      </c>
      <c r="D1089" s="1" t="s">
        <v>1288</v>
      </c>
      <c r="E1089" s="1" t="s">
        <v>1326</v>
      </c>
      <c r="F1089" t="s">
        <v>3400</v>
      </c>
      <c r="G1089" t="s">
        <v>1696</v>
      </c>
      <c r="H1089" t="s">
        <v>381</v>
      </c>
      <c r="I1089" t="s">
        <v>1285</v>
      </c>
      <c r="J1089" t="s">
        <v>1170</v>
      </c>
      <c r="K1089" t="s">
        <v>1697</v>
      </c>
      <c r="L1089" t="s">
        <v>1698</v>
      </c>
      <c r="M1089" t="s">
        <v>1699</v>
      </c>
      <c r="N1089">
        <v>45000</v>
      </c>
      <c r="O1089" s="1" t="s">
        <v>1336</v>
      </c>
      <c r="P1089" t="s">
        <v>1392</v>
      </c>
      <c r="Q1089" t="s">
        <v>1294</v>
      </c>
      <c r="S1089" t="s">
        <v>1294</v>
      </c>
      <c r="T1089" t="s">
        <v>1296</v>
      </c>
      <c r="U1089">
        <v>2149.0500000000002</v>
      </c>
      <c r="V1089" t="s">
        <v>1253</v>
      </c>
    </row>
    <row r="1090" spans="1:22" ht="30" x14ac:dyDescent="0.25">
      <c r="A1090" t="s">
        <v>1460</v>
      </c>
      <c r="B1090" s="1" t="s">
        <v>1257</v>
      </c>
      <c r="C1090" s="1" t="s">
        <v>1345</v>
      </c>
      <c r="D1090" s="1" t="s">
        <v>1288</v>
      </c>
      <c r="E1090" s="1" t="s">
        <v>1378</v>
      </c>
      <c r="F1090" t="s">
        <v>1470</v>
      </c>
      <c r="G1090" t="s">
        <v>1471</v>
      </c>
      <c r="H1090" t="s">
        <v>381</v>
      </c>
      <c r="I1090" t="s">
        <v>1285</v>
      </c>
      <c r="J1090" t="s">
        <v>1472</v>
      </c>
      <c r="K1090" t="s">
        <v>1256</v>
      </c>
      <c r="L1090" t="s">
        <v>1473</v>
      </c>
      <c r="M1090" t="s">
        <v>1325</v>
      </c>
      <c r="N1090">
        <v>36000</v>
      </c>
      <c r="O1090" s="1" t="s">
        <v>1336</v>
      </c>
      <c r="P1090" t="s">
        <v>1306</v>
      </c>
      <c r="Q1090" t="s">
        <v>1294</v>
      </c>
      <c r="S1090" t="s">
        <v>1294</v>
      </c>
      <c r="T1090" t="s">
        <v>1474</v>
      </c>
      <c r="U1090">
        <v>200</v>
      </c>
      <c r="V1090" t="s">
        <v>1475</v>
      </c>
    </row>
    <row r="1091" spans="1:22" ht="30" x14ac:dyDescent="0.25">
      <c r="A1091" t="s">
        <v>1460</v>
      </c>
      <c r="B1091" s="1" t="s">
        <v>1257</v>
      </c>
      <c r="C1091" s="1" t="s">
        <v>1345</v>
      </c>
      <c r="D1091" s="1" t="s">
        <v>1288</v>
      </c>
      <c r="E1091" s="1" t="s">
        <v>1293</v>
      </c>
      <c r="F1091" t="s">
        <v>1507</v>
      </c>
      <c r="G1091" t="s">
        <v>1471</v>
      </c>
      <c r="H1091" t="s">
        <v>381</v>
      </c>
      <c r="I1091" t="s">
        <v>1285</v>
      </c>
      <c r="J1091" t="s">
        <v>1472</v>
      </c>
      <c r="K1091" t="s">
        <v>1256</v>
      </c>
      <c r="L1091" t="s">
        <v>1473</v>
      </c>
      <c r="M1091" t="s">
        <v>1325</v>
      </c>
      <c r="N1091">
        <v>36000</v>
      </c>
      <c r="O1091" s="1" t="s">
        <v>1336</v>
      </c>
      <c r="P1091" t="s">
        <v>1306</v>
      </c>
      <c r="Q1091" t="s">
        <v>1294</v>
      </c>
      <c r="S1091" t="s">
        <v>1294</v>
      </c>
      <c r="T1091" t="s">
        <v>1508</v>
      </c>
      <c r="U1091">
        <v>6300</v>
      </c>
      <c r="V1091" t="s">
        <v>1509</v>
      </c>
    </row>
    <row r="1092" spans="1:22" ht="30" x14ac:dyDescent="0.25">
      <c r="A1092" t="s">
        <v>1460</v>
      </c>
      <c r="B1092" s="1" t="s">
        <v>1257</v>
      </c>
      <c r="C1092" s="1" t="s">
        <v>1345</v>
      </c>
      <c r="D1092" s="1" t="s">
        <v>1288</v>
      </c>
      <c r="E1092" s="1" t="s">
        <v>1410</v>
      </c>
      <c r="F1092" t="s">
        <v>1639</v>
      </c>
      <c r="G1092" t="s">
        <v>1471</v>
      </c>
      <c r="H1092" t="s">
        <v>381</v>
      </c>
      <c r="I1092" t="s">
        <v>1285</v>
      </c>
      <c r="J1092" t="s">
        <v>1472</v>
      </c>
      <c r="K1092" t="s">
        <v>1256</v>
      </c>
      <c r="L1092" t="s">
        <v>1473</v>
      </c>
      <c r="M1092" t="s">
        <v>1325</v>
      </c>
      <c r="N1092">
        <v>36000</v>
      </c>
      <c r="O1092" s="1" t="s">
        <v>1336</v>
      </c>
      <c r="P1092" t="s">
        <v>1306</v>
      </c>
      <c r="Q1092" t="s">
        <v>1294</v>
      </c>
      <c r="S1092" t="s">
        <v>1294</v>
      </c>
      <c r="T1092" t="s">
        <v>1508</v>
      </c>
      <c r="U1092">
        <v>2300</v>
      </c>
      <c r="V1092" t="s">
        <v>1509</v>
      </c>
    </row>
    <row r="1093" spans="1:22" ht="30" x14ac:dyDescent="0.25">
      <c r="A1093" t="s">
        <v>1460</v>
      </c>
      <c r="B1093" s="1" t="s">
        <v>1257</v>
      </c>
      <c r="C1093" s="1" t="s">
        <v>1345</v>
      </c>
      <c r="D1093" s="1" t="s">
        <v>1288</v>
      </c>
      <c r="E1093" s="1" t="s">
        <v>1374</v>
      </c>
      <c r="F1093" t="s">
        <v>1690</v>
      </c>
      <c r="G1093" t="s">
        <v>1471</v>
      </c>
      <c r="H1093" t="s">
        <v>381</v>
      </c>
      <c r="I1093" t="s">
        <v>1285</v>
      </c>
      <c r="J1093" t="s">
        <v>1472</v>
      </c>
      <c r="K1093" t="s">
        <v>1256</v>
      </c>
      <c r="L1093" t="s">
        <v>1473</v>
      </c>
      <c r="M1093" t="s">
        <v>1325</v>
      </c>
      <c r="N1093">
        <v>36000</v>
      </c>
      <c r="O1093" s="1" t="s">
        <v>1336</v>
      </c>
      <c r="P1093" t="s">
        <v>1306</v>
      </c>
      <c r="Q1093" t="s">
        <v>1294</v>
      </c>
      <c r="S1093" t="s">
        <v>1294</v>
      </c>
      <c r="T1093" t="s">
        <v>1691</v>
      </c>
      <c r="U1093">
        <v>6400</v>
      </c>
      <c r="V1093" t="s">
        <v>1509</v>
      </c>
    </row>
    <row r="1094" spans="1:22" ht="30" x14ac:dyDescent="0.25">
      <c r="A1094" t="s">
        <v>1460</v>
      </c>
      <c r="B1094" s="1" t="s">
        <v>1257</v>
      </c>
      <c r="C1094" s="1" t="s">
        <v>1345</v>
      </c>
      <c r="D1094" s="1" t="s">
        <v>1288</v>
      </c>
      <c r="E1094" s="1" t="s">
        <v>1410</v>
      </c>
      <c r="F1094" t="s">
        <v>1753</v>
      </c>
      <c r="G1094" t="s">
        <v>1471</v>
      </c>
      <c r="H1094" t="s">
        <v>381</v>
      </c>
      <c r="I1094" t="s">
        <v>1285</v>
      </c>
      <c r="J1094" t="s">
        <v>1472</v>
      </c>
      <c r="K1094" t="s">
        <v>1256</v>
      </c>
      <c r="L1094" t="s">
        <v>1473</v>
      </c>
      <c r="M1094" t="s">
        <v>1325</v>
      </c>
      <c r="N1094">
        <v>36000</v>
      </c>
      <c r="O1094" s="1" t="s">
        <v>1336</v>
      </c>
      <c r="P1094" t="s">
        <v>1306</v>
      </c>
      <c r="Q1094" t="s">
        <v>1294</v>
      </c>
      <c r="S1094" t="s">
        <v>1294</v>
      </c>
      <c r="T1094" t="s">
        <v>1754</v>
      </c>
      <c r="U1094">
        <v>2100</v>
      </c>
      <c r="V1094" t="s">
        <v>1475</v>
      </c>
    </row>
    <row r="1095" spans="1:22" ht="30" x14ac:dyDescent="0.25">
      <c r="A1095" t="s">
        <v>1460</v>
      </c>
      <c r="B1095" s="1" t="s">
        <v>1257</v>
      </c>
      <c r="C1095" s="1" t="s">
        <v>1345</v>
      </c>
      <c r="D1095" s="1" t="s">
        <v>1288</v>
      </c>
      <c r="E1095" s="1" t="s">
        <v>1350</v>
      </c>
      <c r="F1095" t="s">
        <v>1821</v>
      </c>
      <c r="G1095" t="s">
        <v>1471</v>
      </c>
      <c r="H1095" t="s">
        <v>381</v>
      </c>
      <c r="I1095" t="s">
        <v>1285</v>
      </c>
      <c r="J1095" t="s">
        <v>1472</v>
      </c>
      <c r="K1095" t="s">
        <v>1256</v>
      </c>
      <c r="L1095" t="s">
        <v>1473</v>
      </c>
      <c r="M1095" t="s">
        <v>1325</v>
      </c>
      <c r="N1095">
        <v>36000</v>
      </c>
      <c r="O1095" s="1" t="s">
        <v>1336</v>
      </c>
      <c r="P1095" t="s">
        <v>1306</v>
      </c>
      <c r="Q1095" t="s">
        <v>1294</v>
      </c>
      <c r="S1095" t="s">
        <v>1294</v>
      </c>
      <c r="T1095" t="s">
        <v>1822</v>
      </c>
      <c r="U1095">
        <v>3100</v>
      </c>
      <c r="V1095" t="s">
        <v>1475</v>
      </c>
    </row>
    <row r="1096" spans="1:22" ht="30" x14ac:dyDescent="0.25">
      <c r="A1096" t="s">
        <v>1871</v>
      </c>
      <c r="B1096" s="1" t="s">
        <v>1257</v>
      </c>
      <c r="C1096" s="1" t="s">
        <v>1530</v>
      </c>
      <c r="D1096" s="1" t="s">
        <v>1288</v>
      </c>
      <c r="E1096" s="1" t="s">
        <v>1636</v>
      </c>
      <c r="F1096" t="s">
        <v>2022</v>
      </c>
      <c r="G1096" t="s">
        <v>1471</v>
      </c>
      <c r="H1096" t="s">
        <v>381</v>
      </c>
      <c r="I1096" t="s">
        <v>1285</v>
      </c>
      <c r="J1096" t="s">
        <v>1472</v>
      </c>
      <c r="K1096" t="s">
        <v>1256</v>
      </c>
      <c r="L1096" t="s">
        <v>1473</v>
      </c>
      <c r="M1096" t="s">
        <v>1325</v>
      </c>
      <c r="N1096">
        <v>36000</v>
      </c>
      <c r="O1096" s="1" t="s">
        <v>1336</v>
      </c>
      <c r="P1096" t="s">
        <v>1306</v>
      </c>
      <c r="Q1096" t="s">
        <v>1294</v>
      </c>
      <c r="S1096" t="s">
        <v>1294</v>
      </c>
      <c r="T1096" t="s">
        <v>2023</v>
      </c>
      <c r="U1096">
        <v>260</v>
      </c>
      <c r="V1096" t="s">
        <v>1509</v>
      </c>
    </row>
    <row r="1097" spans="1:22" ht="30" x14ac:dyDescent="0.25">
      <c r="A1097" t="s">
        <v>1871</v>
      </c>
      <c r="B1097" s="1" t="s">
        <v>1257</v>
      </c>
      <c r="C1097" s="1" t="s">
        <v>1530</v>
      </c>
      <c r="D1097" s="1" t="s">
        <v>1288</v>
      </c>
      <c r="E1097" s="1" t="s">
        <v>1319</v>
      </c>
      <c r="F1097" t="s">
        <v>2160</v>
      </c>
      <c r="G1097" t="s">
        <v>1471</v>
      </c>
      <c r="H1097" t="s">
        <v>381</v>
      </c>
      <c r="I1097" t="s">
        <v>1285</v>
      </c>
      <c r="J1097" t="s">
        <v>1472</v>
      </c>
      <c r="K1097" t="s">
        <v>1256</v>
      </c>
      <c r="L1097" t="s">
        <v>1473</v>
      </c>
      <c r="M1097" t="s">
        <v>1325</v>
      </c>
      <c r="N1097">
        <v>36000</v>
      </c>
      <c r="O1097" s="1" t="s">
        <v>1336</v>
      </c>
      <c r="P1097" t="s">
        <v>1306</v>
      </c>
      <c r="Q1097" t="s">
        <v>1294</v>
      </c>
      <c r="S1097" t="s">
        <v>1294</v>
      </c>
      <c r="T1097" t="s">
        <v>2161</v>
      </c>
      <c r="U1097">
        <v>558</v>
      </c>
      <c r="V1097" t="s">
        <v>1509</v>
      </c>
    </row>
    <row r="1098" spans="1:22" ht="30" x14ac:dyDescent="0.25">
      <c r="A1098" t="s">
        <v>1871</v>
      </c>
      <c r="B1098" s="1" t="s">
        <v>1257</v>
      </c>
      <c r="C1098" s="1" t="s">
        <v>1530</v>
      </c>
      <c r="D1098" s="1" t="s">
        <v>1288</v>
      </c>
      <c r="E1098" s="1" t="s">
        <v>1368</v>
      </c>
      <c r="F1098" t="s">
        <v>2866</v>
      </c>
      <c r="G1098" t="s">
        <v>1471</v>
      </c>
      <c r="H1098" t="s">
        <v>381</v>
      </c>
      <c r="I1098" t="s">
        <v>1285</v>
      </c>
      <c r="J1098" t="s">
        <v>1472</v>
      </c>
      <c r="K1098" t="s">
        <v>1256</v>
      </c>
      <c r="L1098" t="s">
        <v>1473</v>
      </c>
      <c r="M1098" t="s">
        <v>1325</v>
      </c>
      <c r="N1098">
        <v>36000</v>
      </c>
      <c r="O1098" s="1" t="s">
        <v>1336</v>
      </c>
      <c r="P1098" t="s">
        <v>1306</v>
      </c>
      <c r="Q1098" t="s">
        <v>1294</v>
      </c>
      <c r="S1098" t="s">
        <v>1294</v>
      </c>
      <c r="T1098" t="s">
        <v>2867</v>
      </c>
      <c r="U1098">
        <v>50</v>
      </c>
      <c r="V1098" t="s">
        <v>1509</v>
      </c>
    </row>
    <row r="1099" spans="1:22" ht="30" x14ac:dyDescent="0.25">
      <c r="A1099" t="s">
        <v>1871</v>
      </c>
      <c r="B1099" s="1" t="s">
        <v>1257</v>
      </c>
      <c r="C1099" s="1" t="s">
        <v>1530</v>
      </c>
      <c r="D1099" s="1" t="s">
        <v>1288</v>
      </c>
      <c r="E1099" s="1" t="s">
        <v>1368</v>
      </c>
      <c r="F1099" t="s">
        <v>2868</v>
      </c>
      <c r="G1099" t="s">
        <v>1471</v>
      </c>
      <c r="H1099" t="s">
        <v>381</v>
      </c>
      <c r="I1099" t="s">
        <v>1285</v>
      </c>
      <c r="J1099" t="s">
        <v>1472</v>
      </c>
      <c r="K1099" t="s">
        <v>1256</v>
      </c>
      <c r="L1099" t="s">
        <v>1473</v>
      </c>
      <c r="M1099" t="s">
        <v>1325</v>
      </c>
      <c r="N1099">
        <v>36000</v>
      </c>
      <c r="O1099" s="1" t="s">
        <v>1336</v>
      </c>
      <c r="P1099" t="s">
        <v>1306</v>
      </c>
      <c r="Q1099" t="s">
        <v>1294</v>
      </c>
      <c r="S1099" t="s">
        <v>1294</v>
      </c>
      <c r="T1099" t="s">
        <v>2869</v>
      </c>
      <c r="U1099">
        <v>201</v>
      </c>
      <c r="V1099" t="s">
        <v>1475</v>
      </c>
    </row>
    <row r="1100" spans="1:22" ht="30" x14ac:dyDescent="0.25">
      <c r="A1100" t="s">
        <v>1871</v>
      </c>
      <c r="B1100" s="1" t="s">
        <v>1257</v>
      </c>
      <c r="C1100" s="1" t="s">
        <v>1530</v>
      </c>
      <c r="D1100" s="1" t="s">
        <v>1288</v>
      </c>
      <c r="E1100" s="1" t="s">
        <v>1410</v>
      </c>
      <c r="F1100" t="s">
        <v>3014</v>
      </c>
      <c r="G1100" t="s">
        <v>1471</v>
      </c>
      <c r="H1100" t="s">
        <v>381</v>
      </c>
      <c r="I1100" t="s">
        <v>1285</v>
      </c>
      <c r="J1100" t="s">
        <v>1472</v>
      </c>
      <c r="K1100" t="s">
        <v>1256</v>
      </c>
      <c r="L1100" t="s">
        <v>1473</v>
      </c>
      <c r="M1100" t="s">
        <v>1325</v>
      </c>
      <c r="N1100">
        <v>36000</v>
      </c>
      <c r="O1100" s="1" t="s">
        <v>1336</v>
      </c>
      <c r="P1100" t="s">
        <v>1306</v>
      </c>
      <c r="Q1100" t="s">
        <v>1294</v>
      </c>
      <c r="S1100" t="s">
        <v>1294</v>
      </c>
      <c r="T1100" t="s">
        <v>3015</v>
      </c>
      <c r="U1100">
        <v>517</v>
      </c>
      <c r="V1100" t="s">
        <v>1509</v>
      </c>
    </row>
    <row r="1101" spans="1:22" ht="30" x14ac:dyDescent="0.25">
      <c r="A1101" t="s">
        <v>1871</v>
      </c>
      <c r="B1101" s="1" t="s">
        <v>1257</v>
      </c>
      <c r="C1101" s="1" t="s">
        <v>1530</v>
      </c>
      <c r="D1101" s="1" t="s">
        <v>1288</v>
      </c>
      <c r="E1101" s="1" t="s">
        <v>1316</v>
      </c>
      <c r="F1101" t="s">
        <v>3116</v>
      </c>
      <c r="G1101" t="s">
        <v>1471</v>
      </c>
      <c r="H1101" t="s">
        <v>381</v>
      </c>
      <c r="I1101" t="s">
        <v>1285</v>
      </c>
      <c r="J1101" t="s">
        <v>1472</v>
      </c>
      <c r="K1101" t="s">
        <v>1256</v>
      </c>
      <c r="L1101" t="s">
        <v>1473</v>
      </c>
      <c r="M1101" t="s">
        <v>1325</v>
      </c>
      <c r="N1101">
        <v>36000</v>
      </c>
      <c r="O1101" s="1" t="s">
        <v>1336</v>
      </c>
      <c r="P1101" t="s">
        <v>1306</v>
      </c>
      <c r="Q1101" t="s">
        <v>1294</v>
      </c>
      <c r="S1101" t="s">
        <v>1294</v>
      </c>
      <c r="T1101" t="s">
        <v>3117</v>
      </c>
      <c r="U1101">
        <v>1685</v>
      </c>
      <c r="V1101" t="s">
        <v>1509</v>
      </c>
    </row>
    <row r="1102" spans="1:22" ht="30" x14ac:dyDescent="0.25">
      <c r="A1102" t="s">
        <v>1871</v>
      </c>
      <c r="B1102" s="1" t="s">
        <v>1257</v>
      </c>
      <c r="C1102" s="1" t="s">
        <v>1530</v>
      </c>
      <c r="D1102" s="1" t="s">
        <v>1288</v>
      </c>
      <c r="E1102" s="1" t="s">
        <v>1316</v>
      </c>
      <c r="F1102" t="s">
        <v>3365</v>
      </c>
      <c r="G1102" t="s">
        <v>1471</v>
      </c>
      <c r="H1102" t="s">
        <v>381</v>
      </c>
      <c r="I1102" t="s">
        <v>1285</v>
      </c>
      <c r="J1102" t="s">
        <v>1472</v>
      </c>
      <c r="K1102" t="s">
        <v>1256</v>
      </c>
      <c r="L1102" t="s">
        <v>1473</v>
      </c>
      <c r="M1102" t="s">
        <v>1325</v>
      </c>
      <c r="N1102">
        <v>36000</v>
      </c>
      <c r="O1102" s="1" t="s">
        <v>1336</v>
      </c>
      <c r="P1102" t="s">
        <v>1306</v>
      </c>
      <c r="Q1102" t="s">
        <v>1294</v>
      </c>
      <c r="S1102" t="s">
        <v>1294</v>
      </c>
      <c r="T1102" t="s">
        <v>3366</v>
      </c>
      <c r="U1102">
        <v>222</v>
      </c>
      <c r="V1102" t="s">
        <v>1509</v>
      </c>
    </row>
    <row r="1103" spans="1:22" ht="30" x14ac:dyDescent="0.25">
      <c r="A1103" t="s">
        <v>1871</v>
      </c>
      <c r="B1103" s="1" t="s">
        <v>1257</v>
      </c>
      <c r="C1103" s="1" t="s">
        <v>1530</v>
      </c>
      <c r="D1103" s="1" t="s">
        <v>1288</v>
      </c>
      <c r="E1103" s="1" t="s">
        <v>1316</v>
      </c>
      <c r="F1103" t="s">
        <v>3367</v>
      </c>
      <c r="G1103" t="s">
        <v>1471</v>
      </c>
      <c r="H1103" t="s">
        <v>381</v>
      </c>
      <c r="I1103" t="s">
        <v>1285</v>
      </c>
      <c r="J1103" t="s">
        <v>1472</v>
      </c>
      <c r="K1103" t="s">
        <v>1256</v>
      </c>
      <c r="L1103" t="s">
        <v>1473</v>
      </c>
      <c r="M1103" t="s">
        <v>1325</v>
      </c>
      <c r="N1103">
        <v>36000</v>
      </c>
      <c r="O1103" s="1" t="s">
        <v>1336</v>
      </c>
      <c r="P1103" t="s">
        <v>1306</v>
      </c>
      <c r="Q1103" t="s">
        <v>1294</v>
      </c>
      <c r="S1103" t="s">
        <v>1294</v>
      </c>
      <c r="T1103" t="s">
        <v>3368</v>
      </c>
      <c r="U1103">
        <v>166</v>
      </c>
      <c r="V1103" t="s">
        <v>1475</v>
      </c>
    </row>
    <row r="1104" spans="1:22" ht="30" x14ac:dyDescent="0.25">
      <c r="A1104" t="s">
        <v>1871</v>
      </c>
      <c r="B1104" s="1" t="s">
        <v>1257</v>
      </c>
      <c r="C1104" s="1" t="s">
        <v>1530</v>
      </c>
      <c r="D1104" s="1" t="s">
        <v>1288</v>
      </c>
      <c r="E1104" s="1" t="s">
        <v>1316</v>
      </c>
      <c r="F1104" t="s">
        <v>3369</v>
      </c>
      <c r="G1104" t="s">
        <v>1471</v>
      </c>
      <c r="H1104" t="s">
        <v>381</v>
      </c>
      <c r="I1104" t="s">
        <v>1285</v>
      </c>
      <c r="J1104" t="s">
        <v>1472</v>
      </c>
      <c r="K1104" t="s">
        <v>1256</v>
      </c>
      <c r="L1104" t="s">
        <v>1473</v>
      </c>
      <c r="M1104" t="s">
        <v>1325</v>
      </c>
      <c r="N1104">
        <v>36000</v>
      </c>
      <c r="O1104" s="1" t="s">
        <v>1336</v>
      </c>
      <c r="P1104" t="s">
        <v>1306</v>
      </c>
      <c r="Q1104" t="s">
        <v>1294</v>
      </c>
      <c r="S1104" t="s">
        <v>1294</v>
      </c>
      <c r="T1104" t="s">
        <v>3370</v>
      </c>
      <c r="U1104">
        <v>178</v>
      </c>
      <c r="V1104" t="s">
        <v>1475</v>
      </c>
    </row>
    <row r="1105" spans="1:22" ht="30" x14ac:dyDescent="0.25">
      <c r="A1105" t="s">
        <v>1871</v>
      </c>
      <c r="B1105" s="1" t="s">
        <v>1257</v>
      </c>
      <c r="C1105" s="1" t="s">
        <v>1530</v>
      </c>
      <c r="D1105" s="1" t="s">
        <v>1288</v>
      </c>
      <c r="E1105" s="1" t="s">
        <v>1316</v>
      </c>
      <c r="F1105" t="s">
        <v>3371</v>
      </c>
      <c r="G1105" t="s">
        <v>1471</v>
      </c>
      <c r="H1105" t="s">
        <v>381</v>
      </c>
      <c r="I1105" t="s">
        <v>1285</v>
      </c>
      <c r="J1105" t="s">
        <v>1472</v>
      </c>
      <c r="K1105" t="s">
        <v>1256</v>
      </c>
      <c r="L1105" t="s">
        <v>1473</v>
      </c>
      <c r="M1105" t="s">
        <v>1325</v>
      </c>
      <c r="N1105">
        <v>36000</v>
      </c>
      <c r="O1105" s="1" t="s">
        <v>1336</v>
      </c>
      <c r="P1105" t="s">
        <v>1306</v>
      </c>
      <c r="Q1105" t="s">
        <v>1294</v>
      </c>
      <c r="S1105" t="s">
        <v>1294</v>
      </c>
      <c r="T1105" t="s">
        <v>3372</v>
      </c>
      <c r="U1105">
        <v>175</v>
      </c>
      <c r="V1105" t="s">
        <v>1475</v>
      </c>
    </row>
  </sheetData>
  <autoFilter ref="A1:V1" xr:uid="{540DC4A3-D1E3-46DD-8426-8688079C84BD}">
    <sortState xmlns:xlrd2="http://schemas.microsoft.com/office/spreadsheetml/2017/richdata2" ref="A2:V1105">
      <sortCondition ref="B1"/>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9DC83-5445-4B5A-BB41-6982F9EC15F7}">
  <sheetPr codeName="Sheet8" filterMode="1"/>
  <dimension ref="A1:H365"/>
  <sheetViews>
    <sheetView workbookViewId="0">
      <pane ySplit="1" topLeftCell="A76" activePane="bottomLeft" state="frozen"/>
      <selection pane="bottomLeft" activeCell="A87" sqref="A87"/>
    </sheetView>
  </sheetViews>
  <sheetFormatPr defaultRowHeight="15" x14ac:dyDescent="0.25"/>
  <cols>
    <col min="1" max="1" width="19.7109375" customWidth="1"/>
    <col min="2" max="2" width="32.85546875" customWidth="1"/>
    <col min="3" max="3" width="68.7109375" style="1" customWidth="1"/>
    <col min="4" max="4" width="28.85546875" customWidth="1"/>
    <col min="5" max="5" width="13.5703125" style="1" customWidth="1"/>
    <col min="6" max="6" width="27.85546875" customWidth="1"/>
    <col min="7" max="7" width="12" customWidth="1"/>
  </cols>
  <sheetData>
    <row r="1" spans="1:8" x14ac:dyDescent="0.25">
      <c r="A1" s="63" t="s">
        <v>3685</v>
      </c>
      <c r="B1" s="63" t="s">
        <v>44</v>
      </c>
      <c r="C1" s="39" t="s">
        <v>3686</v>
      </c>
      <c r="D1" s="63" t="s">
        <v>47</v>
      </c>
      <c r="E1" s="39" t="s">
        <v>3687</v>
      </c>
      <c r="F1" s="63" t="s">
        <v>3688</v>
      </c>
      <c r="G1" s="64" t="s">
        <v>3693</v>
      </c>
      <c r="H1" s="64" t="s">
        <v>3675</v>
      </c>
    </row>
    <row r="2" spans="1:8" x14ac:dyDescent="0.25">
      <c r="A2" t="s">
        <v>4328</v>
      </c>
      <c r="B2" t="s">
        <v>4329</v>
      </c>
      <c r="C2" s="1" t="s">
        <v>4330</v>
      </c>
      <c r="D2" t="s">
        <v>795</v>
      </c>
      <c r="E2" s="1" t="s">
        <v>4331</v>
      </c>
      <c r="F2" s="65" t="s">
        <v>4332</v>
      </c>
      <c r="G2" t="s">
        <v>60</v>
      </c>
      <c r="H2" t="s">
        <v>3679</v>
      </c>
    </row>
    <row r="3" spans="1:8" x14ac:dyDescent="0.25">
      <c r="A3" t="s">
        <v>4025</v>
      </c>
      <c r="B3" t="s">
        <v>4333</v>
      </c>
      <c r="C3" s="1" t="s">
        <v>4334</v>
      </c>
      <c r="D3" t="s">
        <v>795</v>
      </c>
      <c r="E3" s="1" t="s">
        <v>4335</v>
      </c>
      <c r="G3" t="s">
        <v>60</v>
      </c>
      <c r="H3" t="s">
        <v>3679</v>
      </c>
    </row>
    <row r="4" spans="1:8" x14ac:dyDescent="0.25">
      <c r="A4" t="s">
        <v>4025</v>
      </c>
      <c r="B4" t="s">
        <v>4336</v>
      </c>
      <c r="C4" s="1" t="s">
        <v>4337</v>
      </c>
      <c r="D4" t="s">
        <v>795</v>
      </c>
      <c r="E4" s="1" t="s">
        <v>3690</v>
      </c>
      <c r="G4" t="s">
        <v>60</v>
      </c>
      <c r="H4" t="s">
        <v>3679</v>
      </c>
    </row>
    <row r="5" spans="1:8" hidden="1" x14ac:dyDescent="0.25">
      <c r="A5" t="s">
        <v>4338</v>
      </c>
      <c r="B5" t="s">
        <v>4339</v>
      </c>
      <c r="C5" s="1" t="s">
        <v>4340</v>
      </c>
      <c r="D5" t="s">
        <v>795</v>
      </c>
      <c r="E5" s="1" t="s">
        <v>4341</v>
      </c>
      <c r="F5" s="65" t="s">
        <v>4342</v>
      </c>
      <c r="G5" t="s">
        <v>60</v>
      </c>
      <c r="H5" t="s">
        <v>3680</v>
      </c>
    </row>
    <row r="6" spans="1:8" x14ac:dyDescent="0.25">
      <c r="A6" t="s">
        <v>4025</v>
      </c>
      <c r="B6" t="s">
        <v>4343</v>
      </c>
      <c r="C6" s="1" t="s">
        <v>4344</v>
      </c>
      <c r="D6" t="s">
        <v>795</v>
      </c>
      <c r="E6" s="1" t="s">
        <v>4345</v>
      </c>
      <c r="G6" t="s">
        <v>60</v>
      </c>
      <c r="H6" t="s">
        <v>3679</v>
      </c>
    </row>
    <row r="7" spans="1:8" hidden="1" x14ac:dyDescent="0.25">
      <c r="A7" t="s">
        <v>4338</v>
      </c>
      <c r="B7" t="s">
        <v>4346</v>
      </c>
      <c r="C7" s="1" t="s">
        <v>4347</v>
      </c>
      <c r="D7" t="s">
        <v>795</v>
      </c>
      <c r="E7" s="1" t="s">
        <v>4348</v>
      </c>
      <c r="G7" t="s">
        <v>60</v>
      </c>
      <c r="H7" t="s">
        <v>3680</v>
      </c>
    </row>
    <row r="8" spans="1:8" x14ac:dyDescent="0.25">
      <c r="A8" t="s">
        <v>3954</v>
      </c>
      <c r="B8" t="s">
        <v>4349</v>
      </c>
      <c r="C8" s="1" t="s">
        <v>4350</v>
      </c>
      <c r="D8" t="s">
        <v>795</v>
      </c>
      <c r="E8" s="1" t="s">
        <v>3691</v>
      </c>
      <c r="G8" t="s">
        <v>60</v>
      </c>
      <c r="H8" t="s">
        <v>3679</v>
      </c>
    </row>
    <row r="9" spans="1:8" x14ac:dyDescent="0.25">
      <c r="A9" t="s">
        <v>4351</v>
      </c>
      <c r="B9" t="s">
        <v>4352</v>
      </c>
      <c r="C9" s="1" t="s">
        <v>4353</v>
      </c>
      <c r="D9" t="s">
        <v>795</v>
      </c>
      <c r="E9" s="1" t="s">
        <v>4354</v>
      </c>
      <c r="F9" s="65" t="s">
        <v>4355</v>
      </c>
      <c r="G9" t="s">
        <v>60</v>
      </c>
      <c r="H9" t="s">
        <v>3679</v>
      </c>
    </row>
    <row r="10" spans="1:8" x14ac:dyDescent="0.25">
      <c r="A10" t="s">
        <v>4338</v>
      </c>
      <c r="B10" t="s">
        <v>4356</v>
      </c>
      <c r="C10" s="1" t="s">
        <v>4357</v>
      </c>
      <c r="D10" t="s">
        <v>327</v>
      </c>
      <c r="E10" s="1" t="s">
        <v>4358</v>
      </c>
      <c r="G10" t="s">
        <v>60</v>
      </c>
      <c r="H10" t="s">
        <v>3679</v>
      </c>
    </row>
    <row r="11" spans="1:8" x14ac:dyDescent="0.25">
      <c r="A11" t="s">
        <v>4025</v>
      </c>
      <c r="B11" t="s">
        <v>4359</v>
      </c>
      <c r="C11" s="1" t="s">
        <v>4360</v>
      </c>
      <c r="D11" t="s">
        <v>795</v>
      </c>
      <c r="E11" s="1" t="s">
        <v>4254</v>
      </c>
      <c r="G11" t="s">
        <v>60</v>
      </c>
      <c r="H11" t="s">
        <v>3679</v>
      </c>
    </row>
    <row r="12" spans="1:8" ht="45" x14ac:dyDescent="0.25">
      <c r="A12" t="s">
        <v>4338</v>
      </c>
      <c r="B12" t="s">
        <v>4361</v>
      </c>
      <c r="C12" s="1" t="s">
        <v>4362</v>
      </c>
      <c r="D12" t="s">
        <v>795</v>
      </c>
      <c r="G12" t="s">
        <v>60</v>
      </c>
      <c r="H12" t="s">
        <v>3679</v>
      </c>
    </row>
    <row r="13" spans="1:8" x14ac:dyDescent="0.25">
      <c r="A13" t="s">
        <v>4025</v>
      </c>
      <c r="B13" t="s">
        <v>4363</v>
      </c>
      <c r="C13" s="1" t="s">
        <v>4364</v>
      </c>
      <c r="D13" t="s">
        <v>795</v>
      </c>
      <c r="E13" s="1" t="s">
        <v>4365</v>
      </c>
      <c r="G13" t="s">
        <v>60</v>
      </c>
      <c r="H13" t="s">
        <v>3679</v>
      </c>
    </row>
    <row r="14" spans="1:8" x14ac:dyDescent="0.25">
      <c r="A14" t="s">
        <v>4025</v>
      </c>
      <c r="B14" t="s">
        <v>4366</v>
      </c>
      <c r="C14" s="1" t="s">
        <v>4367</v>
      </c>
      <c r="D14" t="s">
        <v>795</v>
      </c>
      <c r="E14" s="1" t="s">
        <v>4368</v>
      </c>
      <c r="G14" t="s">
        <v>60</v>
      </c>
      <c r="H14" t="s">
        <v>3679</v>
      </c>
    </row>
    <row r="15" spans="1:8" x14ac:dyDescent="0.25">
      <c r="A15" t="s">
        <v>4025</v>
      </c>
      <c r="B15" t="s">
        <v>4369</v>
      </c>
      <c r="C15" s="1" t="s">
        <v>4370</v>
      </c>
      <c r="D15" t="s">
        <v>795</v>
      </c>
      <c r="E15" s="1" t="s">
        <v>4371</v>
      </c>
      <c r="G15" t="s">
        <v>60</v>
      </c>
      <c r="H15" t="s">
        <v>3679</v>
      </c>
    </row>
    <row r="16" spans="1:8" ht="60" x14ac:dyDescent="0.25">
      <c r="A16" t="s">
        <v>4338</v>
      </c>
      <c r="B16" t="s">
        <v>4372</v>
      </c>
      <c r="C16" s="1" t="s">
        <v>4373</v>
      </c>
      <c r="D16" t="s">
        <v>1336</v>
      </c>
      <c r="E16" s="1" t="s">
        <v>4374</v>
      </c>
      <c r="F16" s="65" t="s">
        <v>4375</v>
      </c>
      <c r="G16" t="s">
        <v>60</v>
      </c>
      <c r="H16" t="s">
        <v>3679</v>
      </c>
    </row>
    <row r="17" spans="1:8" hidden="1" x14ac:dyDescent="0.25">
      <c r="A17" t="s">
        <v>4025</v>
      </c>
      <c r="B17" t="s">
        <v>460</v>
      </c>
      <c r="C17" s="1" t="s">
        <v>461</v>
      </c>
      <c r="D17" t="s">
        <v>795</v>
      </c>
      <c r="E17" s="1" t="s">
        <v>4376</v>
      </c>
      <c r="G17" t="s">
        <v>60</v>
      </c>
      <c r="H17" t="s">
        <v>3680</v>
      </c>
    </row>
    <row r="18" spans="1:8" x14ac:dyDescent="0.25">
      <c r="A18" t="s">
        <v>4025</v>
      </c>
      <c r="B18" t="s">
        <v>4377</v>
      </c>
      <c r="C18" s="1" t="s">
        <v>4378</v>
      </c>
      <c r="D18" t="s">
        <v>795</v>
      </c>
      <c r="E18" s="1" t="s">
        <v>4376</v>
      </c>
      <c r="G18" t="s">
        <v>60</v>
      </c>
      <c r="H18" t="s">
        <v>3679</v>
      </c>
    </row>
    <row r="19" spans="1:8" x14ac:dyDescent="0.25">
      <c r="A19" t="s">
        <v>4025</v>
      </c>
      <c r="B19" t="s">
        <v>4379</v>
      </c>
      <c r="C19" s="1" t="s">
        <v>4380</v>
      </c>
      <c r="D19" t="s">
        <v>795</v>
      </c>
      <c r="E19" s="1" t="s">
        <v>4226</v>
      </c>
      <c r="G19" t="s">
        <v>60</v>
      </c>
      <c r="H19" t="s">
        <v>3679</v>
      </c>
    </row>
    <row r="20" spans="1:8" x14ac:dyDescent="0.25">
      <c r="A20" t="s">
        <v>4025</v>
      </c>
      <c r="B20" t="s">
        <v>4381</v>
      </c>
      <c r="C20" s="1" t="s">
        <v>4382</v>
      </c>
      <c r="D20" t="s">
        <v>795</v>
      </c>
      <c r="E20" s="1" t="s">
        <v>4383</v>
      </c>
      <c r="G20" t="s">
        <v>60</v>
      </c>
      <c r="H20" t="s">
        <v>3679</v>
      </c>
    </row>
    <row r="21" spans="1:8" x14ac:dyDescent="0.25">
      <c r="A21" t="s">
        <v>4025</v>
      </c>
      <c r="B21" t="s">
        <v>4384</v>
      </c>
      <c r="C21" s="1" t="s">
        <v>4385</v>
      </c>
      <c r="D21" t="s">
        <v>795</v>
      </c>
      <c r="E21" s="1" t="s">
        <v>4386</v>
      </c>
      <c r="G21" t="s">
        <v>60</v>
      </c>
      <c r="H21" t="s">
        <v>3679</v>
      </c>
    </row>
    <row r="22" spans="1:8" x14ac:dyDescent="0.25">
      <c r="A22" t="s">
        <v>4025</v>
      </c>
      <c r="B22" t="s">
        <v>4387</v>
      </c>
      <c r="C22" s="1" t="s">
        <v>4388</v>
      </c>
      <c r="D22" t="s">
        <v>795</v>
      </c>
      <c r="E22" s="1" t="s">
        <v>4217</v>
      </c>
      <c r="G22" t="s">
        <v>60</v>
      </c>
      <c r="H22" t="s">
        <v>3679</v>
      </c>
    </row>
    <row r="23" spans="1:8" x14ac:dyDescent="0.25">
      <c r="A23" t="s">
        <v>4025</v>
      </c>
      <c r="B23" t="s">
        <v>4389</v>
      </c>
      <c r="C23" s="1" t="s">
        <v>4390</v>
      </c>
      <c r="D23" t="s">
        <v>795</v>
      </c>
      <c r="E23" s="1" t="s">
        <v>4391</v>
      </c>
      <c r="G23" t="s">
        <v>60</v>
      </c>
      <c r="H23" t="s">
        <v>3679</v>
      </c>
    </row>
    <row r="24" spans="1:8" ht="30" hidden="1" x14ac:dyDescent="0.25">
      <c r="A24" t="s">
        <v>4338</v>
      </c>
      <c r="B24" t="s">
        <v>4392</v>
      </c>
      <c r="C24" s="1" t="s">
        <v>4393</v>
      </c>
      <c r="D24" t="s">
        <v>4394</v>
      </c>
      <c r="E24" s="1" t="s">
        <v>4395</v>
      </c>
      <c r="G24" t="s">
        <v>60</v>
      </c>
      <c r="H24" t="s">
        <v>3680</v>
      </c>
    </row>
    <row r="25" spans="1:8" ht="30" x14ac:dyDescent="0.25">
      <c r="A25" t="s">
        <v>4338</v>
      </c>
      <c r="B25" t="s">
        <v>4396</v>
      </c>
      <c r="C25" s="1" t="s">
        <v>4397</v>
      </c>
      <c r="D25" t="s">
        <v>795</v>
      </c>
      <c r="E25" s="1" t="s">
        <v>4398</v>
      </c>
      <c r="G25" t="s">
        <v>60</v>
      </c>
      <c r="H25" t="s">
        <v>3679</v>
      </c>
    </row>
    <row r="26" spans="1:8" x14ac:dyDescent="0.25">
      <c r="A26" t="s">
        <v>4025</v>
      </c>
      <c r="B26" t="s">
        <v>4399</v>
      </c>
      <c r="C26" s="1" t="s">
        <v>4400</v>
      </c>
      <c r="D26" t="s">
        <v>795</v>
      </c>
      <c r="E26" s="1" t="s">
        <v>4216</v>
      </c>
      <c r="G26" t="s">
        <v>60</v>
      </c>
      <c r="H26" t="s">
        <v>3679</v>
      </c>
    </row>
    <row r="27" spans="1:8" x14ac:dyDescent="0.25">
      <c r="A27" t="s">
        <v>4025</v>
      </c>
      <c r="B27" t="s">
        <v>4401</v>
      </c>
      <c r="C27" s="1" t="s">
        <v>4402</v>
      </c>
      <c r="D27" t="s">
        <v>795</v>
      </c>
      <c r="E27" s="1" t="s">
        <v>4206</v>
      </c>
      <c r="G27" t="s">
        <v>60</v>
      </c>
      <c r="H27" t="s">
        <v>3679</v>
      </c>
    </row>
    <row r="28" spans="1:8" x14ac:dyDescent="0.25">
      <c r="A28" t="s">
        <v>4025</v>
      </c>
      <c r="B28" t="s">
        <v>4403</v>
      </c>
      <c r="C28" s="1" t="s">
        <v>4404</v>
      </c>
      <c r="D28" t="s">
        <v>327</v>
      </c>
      <c r="G28" t="s">
        <v>60</v>
      </c>
      <c r="H28" t="s">
        <v>3679</v>
      </c>
    </row>
    <row r="29" spans="1:8" ht="105" hidden="1" x14ac:dyDescent="0.25">
      <c r="A29" t="s">
        <v>3954</v>
      </c>
      <c r="B29" t="s">
        <v>4405</v>
      </c>
      <c r="C29" s="1" t="s">
        <v>4406</v>
      </c>
      <c r="D29" t="s">
        <v>562</v>
      </c>
      <c r="F29" s="65" t="s">
        <v>4407</v>
      </c>
      <c r="G29" t="s">
        <v>60</v>
      </c>
      <c r="H29" t="s">
        <v>3680</v>
      </c>
    </row>
    <row r="30" spans="1:8" x14ac:dyDescent="0.25">
      <c r="A30" t="s">
        <v>4025</v>
      </c>
      <c r="B30" t="s">
        <v>4408</v>
      </c>
      <c r="C30" s="1" t="s">
        <v>4409</v>
      </c>
      <c r="D30" t="s">
        <v>795</v>
      </c>
      <c r="E30" s="1" t="s">
        <v>4194</v>
      </c>
      <c r="G30" t="s">
        <v>60</v>
      </c>
      <c r="H30" t="s">
        <v>3679</v>
      </c>
    </row>
    <row r="31" spans="1:8" x14ac:dyDescent="0.25">
      <c r="A31" t="s">
        <v>4025</v>
      </c>
      <c r="B31" t="s">
        <v>4410</v>
      </c>
      <c r="C31" s="1" t="s">
        <v>4411</v>
      </c>
      <c r="D31" t="s">
        <v>795</v>
      </c>
      <c r="E31" s="1" t="s">
        <v>4199</v>
      </c>
      <c r="G31" t="s">
        <v>60</v>
      </c>
      <c r="H31" t="s">
        <v>3679</v>
      </c>
    </row>
    <row r="32" spans="1:8" ht="45" x14ac:dyDescent="0.25">
      <c r="A32" t="s">
        <v>4025</v>
      </c>
      <c r="B32" t="s">
        <v>4412</v>
      </c>
      <c r="C32" s="1" t="s">
        <v>4413</v>
      </c>
      <c r="D32" t="s">
        <v>1336</v>
      </c>
      <c r="G32" t="s">
        <v>60</v>
      </c>
      <c r="H32" t="s">
        <v>3679</v>
      </c>
    </row>
    <row r="33" spans="1:8" ht="60" x14ac:dyDescent="0.25">
      <c r="A33" t="s">
        <v>4025</v>
      </c>
      <c r="B33" t="s">
        <v>4414</v>
      </c>
      <c r="C33" s="1" t="s">
        <v>4415</v>
      </c>
      <c r="D33" t="s">
        <v>1336</v>
      </c>
      <c r="G33" t="s">
        <v>60</v>
      </c>
      <c r="H33" t="s">
        <v>3679</v>
      </c>
    </row>
    <row r="34" spans="1:8" ht="60" x14ac:dyDescent="0.25">
      <c r="A34" t="s">
        <v>4025</v>
      </c>
      <c r="B34" t="s">
        <v>4416</v>
      </c>
      <c r="C34" s="1" t="s">
        <v>4417</v>
      </c>
      <c r="D34" t="s">
        <v>562</v>
      </c>
      <c r="E34" s="1" t="s">
        <v>4249</v>
      </c>
      <c r="G34" t="s">
        <v>60</v>
      </c>
      <c r="H34" t="s">
        <v>3679</v>
      </c>
    </row>
    <row r="35" spans="1:8" x14ac:dyDescent="0.25">
      <c r="A35" t="s">
        <v>4025</v>
      </c>
      <c r="B35" t="s">
        <v>4418</v>
      </c>
      <c r="C35" s="1" t="s">
        <v>4419</v>
      </c>
      <c r="D35" t="s">
        <v>795</v>
      </c>
      <c r="E35" s="1" t="s">
        <v>4248</v>
      </c>
      <c r="G35" t="s">
        <v>60</v>
      </c>
      <c r="H35" t="s">
        <v>3679</v>
      </c>
    </row>
    <row r="36" spans="1:8" hidden="1" x14ac:dyDescent="0.25">
      <c r="A36" t="s">
        <v>3689</v>
      </c>
      <c r="B36" t="s">
        <v>4420</v>
      </c>
      <c r="C36" s="1" t="s">
        <v>4421</v>
      </c>
      <c r="D36" t="s">
        <v>1336</v>
      </c>
      <c r="E36" s="1" t="s">
        <v>4248</v>
      </c>
      <c r="G36" t="s">
        <v>60</v>
      </c>
      <c r="H36" t="s">
        <v>3680</v>
      </c>
    </row>
    <row r="37" spans="1:8" ht="30" x14ac:dyDescent="0.25">
      <c r="A37" t="s">
        <v>4025</v>
      </c>
      <c r="B37" t="s">
        <v>4422</v>
      </c>
      <c r="C37" s="1" t="s">
        <v>4423</v>
      </c>
      <c r="D37" t="s">
        <v>1336</v>
      </c>
      <c r="G37" t="s">
        <v>60</v>
      </c>
      <c r="H37" t="s">
        <v>3679</v>
      </c>
    </row>
    <row r="38" spans="1:8" ht="60" x14ac:dyDescent="0.25">
      <c r="A38" t="s">
        <v>4025</v>
      </c>
      <c r="B38" t="s">
        <v>4424</v>
      </c>
      <c r="C38" s="1" t="s">
        <v>4425</v>
      </c>
      <c r="D38" t="s">
        <v>1336</v>
      </c>
      <c r="G38" t="s">
        <v>60</v>
      </c>
    </row>
    <row r="39" spans="1:8" ht="60" x14ac:dyDescent="0.25">
      <c r="A39" t="s">
        <v>4025</v>
      </c>
      <c r="B39" t="s">
        <v>4426</v>
      </c>
      <c r="C39" s="1" t="s">
        <v>4427</v>
      </c>
      <c r="D39" t="s">
        <v>1336</v>
      </c>
      <c r="G39" t="s">
        <v>60</v>
      </c>
      <c r="H39" t="s">
        <v>3679</v>
      </c>
    </row>
    <row r="40" spans="1:8" ht="60" x14ac:dyDescent="0.25">
      <c r="A40" t="s">
        <v>4025</v>
      </c>
      <c r="B40" t="s">
        <v>4428</v>
      </c>
      <c r="C40" s="1" t="s">
        <v>4429</v>
      </c>
      <c r="D40" t="s">
        <v>1336</v>
      </c>
      <c r="G40" t="s">
        <v>60</v>
      </c>
      <c r="H40" t="s">
        <v>3679</v>
      </c>
    </row>
    <row r="41" spans="1:8" ht="30" x14ac:dyDescent="0.25">
      <c r="A41" t="s">
        <v>4025</v>
      </c>
      <c r="B41" t="s">
        <v>4430</v>
      </c>
      <c r="C41" s="1" t="s">
        <v>4431</v>
      </c>
      <c r="D41" t="s">
        <v>1336</v>
      </c>
      <c r="G41" t="s">
        <v>60</v>
      </c>
      <c r="H41" t="s">
        <v>3679</v>
      </c>
    </row>
    <row r="42" spans="1:8" x14ac:dyDescent="0.25">
      <c r="A42" t="s">
        <v>4025</v>
      </c>
      <c r="B42" t="s">
        <v>4432</v>
      </c>
      <c r="C42" s="1" t="s">
        <v>4433</v>
      </c>
      <c r="D42" t="s">
        <v>795</v>
      </c>
      <c r="E42" s="1" t="s">
        <v>4434</v>
      </c>
      <c r="G42" t="s">
        <v>60</v>
      </c>
      <c r="H42" t="s">
        <v>3679</v>
      </c>
    </row>
    <row r="43" spans="1:8" x14ac:dyDescent="0.25">
      <c r="A43" t="s">
        <v>4025</v>
      </c>
      <c r="B43" t="s">
        <v>4435</v>
      </c>
      <c r="C43" s="1" t="s">
        <v>4436</v>
      </c>
      <c r="D43" t="s">
        <v>795</v>
      </c>
      <c r="E43" s="1" t="s">
        <v>4314</v>
      </c>
      <c r="G43" t="s">
        <v>60</v>
      </c>
      <c r="H43" t="s">
        <v>3679</v>
      </c>
    </row>
    <row r="44" spans="1:8" ht="60" x14ac:dyDescent="0.25">
      <c r="A44" t="s">
        <v>4025</v>
      </c>
      <c r="B44" t="s">
        <v>4437</v>
      </c>
      <c r="C44" s="1" t="s">
        <v>4438</v>
      </c>
      <c r="D44" t="s">
        <v>562</v>
      </c>
      <c r="E44" s="1" t="s">
        <v>4434</v>
      </c>
      <c r="G44" t="s">
        <v>60</v>
      </c>
      <c r="H44" t="s">
        <v>3679</v>
      </c>
    </row>
    <row r="45" spans="1:8" ht="60" x14ac:dyDescent="0.25">
      <c r="A45" t="s">
        <v>4025</v>
      </c>
      <c r="B45" t="s">
        <v>4439</v>
      </c>
      <c r="C45" s="1" t="s">
        <v>4440</v>
      </c>
      <c r="D45" t="s">
        <v>1336</v>
      </c>
      <c r="E45" s="1" t="s">
        <v>4441</v>
      </c>
      <c r="G45" t="s">
        <v>60</v>
      </c>
      <c r="H45" t="s">
        <v>3679</v>
      </c>
    </row>
    <row r="46" spans="1:8" x14ac:dyDescent="0.25">
      <c r="A46" t="s">
        <v>4025</v>
      </c>
      <c r="B46" t="s">
        <v>4442</v>
      </c>
      <c r="C46" s="1" t="s">
        <v>4443</v>
      </c>
      <c r="D46" t="s">
        <v>1336</v>
      </c>
      <c r="E46" s="1" t="s">
        <v>4444</v>
      </c>
      <c r="F46" s="65" t="s">
        <v>4445</v>
      </c>
      <c r="G46" t="s">
        <v>60</v>
      </c>
      <c r="H46" t="s">
        <v>3679</v>
      </c>
    </row>
    <row r="47" spans="1:8" ht="30" x14ac:dyDescent="0.25">
      <c r="A47" t="s">
        <v>4025</v>
      </c>
      <c r="B47" t="s">
        <v>4446</v>
      </c>
      <c r="C47" s="1" t="s">
        <v>4447</v>
      </c>
      <c r="D47" t="s">
        <v>795</v>
      </c>
      <c r="E47" s="1" t="s">
        <v>4448</v>
      </c>
      <c r="G47" t="s">
        <v>60</v>
      </c>
      <c r="H47" t="s">
        <v>3679</v>
      </c>
    </row>
    <row r="48" spans="1:8" x14ac:dyDescent="0.25">
      <c r="A48" t="s">
        <v>4025</v>
      </c>
      <c r="B48" t="s">
        <v>4449</v>
      </c>
      <c r="C48" s="1" t="s">
        <v>4450</v>
      </c>
      <c r="D48" t="s">
        <v>795</v>
      </c>
      <c r="E48" s="1" t="s">
        <v>4451</v>
      </c>
      <c r="G48" t="s">
        <v>60</v>
      </c>
      <c r="H48" t="s">
        <v>3679</v>
      </c>
    </row>
    <row r="49" spans="1:8" x14ac:dyDescent="0.25">
      <c r="A49" t="s">
        <v>4025</v>
      </c>
      <c r="B49" t="s">
        <v>4452</v>
      </c>
      <c r="C49" s="1" t="s">
        <v>4453</v>
      </c>
      <c r="D49" t="s">
        <v>795</v>
      </c>
      <c r="E49" s="1" t="s">
        <v>4303</v>
      </c>
      <c r="G49" t="s">
        <v>60</v>
      </c>
      <c r="H49" t="s">
        <v>3679</v>
      </c>
    </row>
    <row r="50" spans="1:8" ht="30" x14ac:dyDescent="0.25">
      <c r="A50" t="s">
        <v>4025</v>
      </c>
      <c r="B50" t="s">
        <v>4454</v>
      </c>
      <c r="C50" s="1" t="s">
        <v>4455</v>
      </c>
      <c r="D50" t="s">
        <v>795</v>
      </c>
      <c r="E50" s="1" t="s">
        <v>4456</v>
      </c>
      <c r="G50" t="s">
        <v>60</v>
      </c>
      <c r="H50" t="s">
        <v>3679</v>
      </c>
    </row>
    <row r="51" spans="1:8" x14ac:dyDescent="0.25">
      <c r="A51" t="s">
        <v>4025</v>
      </c>
      <c r="B51" t="s">
        <v>4457</v>
      </c>
      <c r="C51" s="1" t="s">
        <v>4458</v>
      </c>
      <c r="D51" t="s">
        <v>795</v>
      </c>
      <c r="E51" s="1" t="s">
        <v>4308</v>
      </c>
      <c r="G51" t="s">
        <v>60</v>
      </c>
      <c r="H51" t="s">
        <v>3679</v>
      </c>
    </row>
    <row r="52" spans="1:8" x14ac:dyDescent="0.25">
      <c r="A52" t="s">
        <v>4025</v>
      </c>
      <c r="B52" t="s">
        <v>4459</v>
      </c>
      <c r="C52" s="1" t="s">
        <v>4460</v>
      </c>
      <c r="D52" t="s">
        <v>795</v>
      </c>
      <c r="E52" s="1" t="s">
        <v>4461</v>
      </c>
      <c r="G52" t="s">
        <v>60</v>
      </c>
      <c r="H52" t="s">
        <v>3679</v>
      </c>
    </row>
    <row r="53" spans="1:8" ht="90" x14ac:dyDescent="0.25">
      <c r="A53" t="s">
        <v>4025</v>
      </c>
      <c r="B53" t="s">
        <v>4462</v>
      </c>
      <c r="C53" s="1" t="s">
        <v>4463</v>
      </c>
      <c r="D53" t="s">
        <v>562</v>
      </c>
      <c r="E53" s="1" t="s">
        <v>4464</v>
      </c>
      <c r="G53" t="s">
        <v>60</v>
      </c>
      <c r="H53" t="s">
        <v>3679</v>
      </c>
    </row>
    <row r="54" spans="1:8" x14ac:dyDescent="0.25">
      <c r="A54" t="s">
        <v>4025</v>
      </c>
      <c r="B54" t="s">
        <v>4465</v>
      </c>
      <c r="C54" s="1" t="s">
        <v>4466</v>
      </c>
      <c r="D54" t="s">
        <v>795</v>
      </c>
      <c r="E54" s="1" t="s">
        <v>4467</v>
      </c>
      <c r="G54" t="s">
        <v>60</v>
      </c>
      <c r="H54" t="s">
        <v>3679</v>
      </c>
    </row>
    <row r="55" spans="1:8" x14ac:dyDescent="0.25">
      <c r="A55" t="s">
        <v>4025</v>
      </c>
      <c r="B55" t="s">
        <v>4468</v>
      </c>
      <c r="C55" s="1" t="s">
        <v>4469</v>
      </c>
      <c r="D55" t="s">
        <v>795</v>
      </c>
      <c r="E55" s="1" t="s">
        <v>4461</v>
      </c>
      <c r="G55" t="s">
        <v>60</v>
      </c>
      <c r="H55" t="s">
        <v>3679</v>
      </c>
    </row>
    <row r="56" spans="1:8" ht="30" x14ac:dyDescent="0.25">
      <c r="A56" t="s">
        <v>4025</v>
      </c>
      <c r="B56" t="s">
        <v>4470</v>
      </c>
      <c r="C56" s="1" t="s">
        <v>4471</v>
      </c>
      <c r="D56" t="s">
        <v>795</v>
      </c>
      <c r="E56" s="1" t="s">
        <v>4192</v>
      </c>
      <c r="G56" t="s">
        <v>60</v>
      </c>
      <c r="H56" t="s">
        <v>3679</v>
      </c>
    </row>
    <row r="57" spans="1:8" ht="30" x14ac:dyDescent="0.25">
      <c r="A57" t="s">
        <v>4025</v>
      </c>
      <c r="B57" t="s">
        <v>4472</v>
      </c>
      <c r="C57" s="1" t="s">
        <v>4473</v>
      </c>
      <c r="D57" t="s">
        <v>795</v>
      </c>
      <c r="E57" s="1" t="s">
        <v>4474</v>
      </c>
      <c r="G57" t="s">
        <v>60</v>
      </c>
      <c r="H57" t="s">
        <v>3679</v>
      </c>
    </row>
    <row r="58" spans="1:8" x14ac:dyDescent="0.25">
      <c r="A58" t="s">
        <v>4025</v>
      </c>
      <c r="B58" t="s">
        <v>4475</v>
      </c>
      <c r="C58" s="1" t="s">
        <v>4476</v>
      </c>
      <c r="D58" t="s">
        <v>795</v>
      </c>
      <c r="E58" s="1" t="s">
        <v>4305</v>
      </c>
      <c r="G58" t="s">
        <v>60</v>
      </c>
      <c r="H58" t="s">
        <v>3679</v>
      </c>
    </row>
    <row r="59" spans="1:8" ht="30" x14ac:dyDescent="0.25">
      <c r="A59" t="s">
        <v>4025</v>
      </c>
      <c r="B59" t="s">
        <v>4477</v>
      </c>
      <c r="C59" s="1" t="s">
        <v>4478</v>
      </c>
      <c r="D59" t="s">
        <v>795</v>
      </c>
      <c r="E59" s="1" t="s">
        <v>4479</v>
      </c>
      <c r="G59" t="s">
        <v>60</v>
      </c>
      <c r="H59" t="s">
        <v>3679</v>
      </c>
    </row>
    <row r="60" spans="1:8" x14ac:dyDescent="0.25">
      <c r="A60" t="s">
        <v>4025</v>
      </c>
      <c r="B60" t="s">
        <v>4480</v>
      </c>
      <c r="C60" s="1" t="s">
        <v>4481</v>
      </c>
      <c r="D60" t="s">
        <v>795</v>
      </c>
      <c r="E60" s="1" t="s">
        <v>4482</v>
      </c>
      <c r="G60" t="s">
        <v>60</v>
      </c>
      <c r="H60" t="s">
        <v>3679</v>
      </c>
    </row>
    <row r="61" spans="1:8" x14ac:dyDescent="0.25">
      <c r="A61" t="s">
        <v>4025</v>
      </c>
      <c r="B61" t="s">
        <v>4483</v>
      </c>
      <c r="C61" s="1" t="s">
        <v>4484</v>
      </c>
      <c r="D61" t="s">
        <v>795</v>
      </c>
      <c r="E61" s="1" t="s">
        <v>4485</v>
      </c>
      <c r="G61" t="s">
        <v>60</v>
      </c>
      <c r="H61" t="s">
        <v>3679</v>
      </c>
    </row>
    <row r="62" spans="1:8" ht="30" x14ac:dyDescent="0.25">
      <c r="A62" t="s">
        <v>4025</v>
      </c>
      <c r="B62" t="s">
        <v>4486</v>
      </c>
      <c r="C62" s="1" t="s">
        <v>4487</v>
      </c>
      <c r="D62" t="s">
        <v>795</v>
      </c>
      <c r="E62" s="1" t="s">
        <v>4488</v>
      </c>
      <c r="G62" t="s">
        <v>60</v>
      </c>
      <c r="H62" t="s">
        <v>3679</v>
      </c>
    </row>
    <row r="63" spans="1:8" x14ac:dyDescent="0.25">
      <c r="A63" t="s">
        <v>3689</v>
      </c>
      <c r="B63" t="s">
        <v>4489</v>
      </c>
      <c r="C63" s="1" t="s">
        <v>4490</v>
      </c>
      <c r="D63" t="s">
        <v>795</v>
      </c>
      <c r="E63" s="1" t="s">
        <v>4302</v>
      </c>
      <c r="G63" t="s">
        <v>60</v>
      </c>
      <c r="H63" t="s">
        <v>3679</v>
      </c>
    </row>
    <row r="64" spans="1:8" x14ac:dyDescent="0.25">
      <c r="A64" t="s">
        <v>4025</v>
      </c>
      <c r="B64" t="s">
        <v>4491</v>
      </c>
      <c r="C64" s="1" t="s">
        <v>4492</v>
      </c>
      <c r="D64" t="s">
        <v>795</v>
      </c>
      <c r="E64" s="1" t="s">
        <v>3692</v>
      </c>
      <c r="G64" t="s">
        <v>60</v>
      </c>
      <c r="H64" t="s">
        <v>3679</v>
      </c>
    </row>
    <row r="65" spans="1:8" x14ac:dyDescent="0.25">
      <c r="A65" t="s">
        <v>4025</v>
      </c>
      <c r="B65" t="s">
        <v>4493</v>
      </c>
      <c r="C65" s="1" t="s">
        <v>4494</v>
      </c>
      <c r="D65" t="s">
        <v>795</v>
      </c>
      <c r="E65" s="1" t="s">
        <v>4300</v>
      </c>
      <c r="G65" t="s">
        <v>60</v>
      </c>
      <c r="H65" t="s">
        <v>3679</v>
      </c>
    </row>
    <row r="66" spans="1:8" ht="30" x14ac:dyDescent="0.25">
      <c r="A66" t="s">
        <v>4025</v>
      </c>
      <c r="B66" t="s">
        <v>4495</v>
      </c>
      <c r="C66" s="1" t="s">
        <v>4496</v>
      </c>
      <c r="D66" t="s">
        <v>795</v>
      </c>
      <c r="E66" s="1" t="s">
        <v>4497</v>
      </c>
      <c r="G66" t="s">
        <v>60</v>
      </c>
      <c r="H66" t="s">
        <v>3679</v>
      </c>
    </row>
    <row r="67" spans="1:8" ht="30" x14ac:dyDescent="0.25">
      <c r="A67" t="s">
        <v>4025</v>
      </c>
      <c r="B67" t="s">
        <v>4498</v>
      </c>
      <c r="C67" s="1" t="s">
        <v>4499</v>
      </c>
      <c r="D67" t="s">
        <v>795</v>
      </c>
      <c r="E67" s="1" t="s">
        <v>4500</v>
      </c>
      <c r="G67" t="s">
        <v>60</v>
      </c>
      <c r="H67" t="s">
        <v>3679</v>
      </c>
    </row>
    <row r="68" spans="1:8" ht="105" x14ac:dyDescent="0.25">
      <c r="A68" t="s">
        <v>4025</v>
      </c>
      <c r="B68" t="s">
        <v>4501</v>
      </c>
      <c r="C68" s="1" t="s">
        <v>4502</v>
      </c>
      <c r="D68" t="s">
        <v>562</v>
      </c>
      <c r="E68" s="1" t="s">
        <v>4503</v>
      </c>
      <c r="G68" t="s">
        <v>60</v>
      </c>
      <c r="H68" t="s">
        <v>3679</v>
      </c>
    </row>
    <row r="69" spans="1:8" x14ac:dyDescent="0.25">
      <c r="A69" t="s">
        <v>4025</v>
      </c>
      <c r="B69" t="s">
        <v>4504</v>
      </c>
      <c r="C69" s="1" t="s">
        <v>4505</v>
      </c>
      <c r="D69" t="s">
        <v>795</v>
      </c>
      <c r="E69" s="1" t="s">
        <v>4506</v>
      </c>
      <c r="G69" t="s">
        <v>60</v>
      </c>
      <c r="H69" t="s">
        <v>3679</v>
      </c>
    </row>
    <row r="70" spans="1:8" x14ac:dyDescent="0.25">
      <c r="A70" t="s">
        <v>4025</v>
      </c>
      <c r="B70" t="s">
        <v>4507</v>
      </c>
      <c r="C70" s="1" t="s">
        <v>4508</v>
      </c>
      <c r="D70" t="s">
        <v>795</v>
      </c>
      <c r="E70" s="1" t="s">
        <v>4506</v>
      </c>
      <c r="G70" t="s">
        <v>60</v>
      </c>
      <c r="H70" t="s">
        <v>3679</v>
      </c>
    </row>
    <row r="71" spans="1:8" x14ac:dyDescent="0.25">
      <c r="A71" t="s">
        <v>4338</v>
      </c>
      <c r="B71" t="s">
        <v>4509</v>
      </c>
      <c r="C71" s="1" t="s">
        <v>4510</v>
      </c>
      <c r="D71" t="s">
        <v>795</v>
      </c>
      <c r="E71" s="1" t="s">
        <v>4294</v>
      </c>
      <c r="G71" t="s">
        <v>60</v>
      </c>
      <c r="H71" t="s">
        <v>3679</v>
      </c>
    </row>
    <row r="72" spans="1:8" x14ac:dyDescent="0.25">
      <c r="A72" t="s">
        <v>4025</v>
      </c>
      <c r="B72" t="s">
        <v>4511</v>
      </c>
      <c r="C72" s="1" t="s">
        <v>4512</v>
      </c>
      <c r="D72" t="s">
        <v>795</v>
      </c>
      <c r="E72" s="1" t="s">
        <v>4506</v>
      </c>
      <c r="G72" t="s">
        <v>60</v>
      </c>
      <c r="H72" t="s">
        <v>3679</v>
      </c>
    </row>
    <row r="73" spans="1:8" x14ac:dyDescent="0.25">
      <c r="A73" t="s">
        <v>4025</v>
      </c>
      <c r="B73" t="s">
        <v>4513</v>
      </c>
      <c r="C73" s="1" t="s">
        <v>4514</v>
      </c>
      <c r="D73" t="s">
        <v>795</v>
      </c>
      <c r="E73" s="1" t="s">
        <v>4515</v>
      </c>
      <c r="G73" t="s">
        <v>60</v>
      </c>
      <c r="H73" t="s">
        <v>3679</v>
      </c>
    </row>
    <row r="74" spans="1:8" ht="30" x14ac:dyDescent="0.25">
      <c r="A74" t="s">
        <v>4025</v>
      </c>
      <c r="B74" t="s">
        <v>4516</v>
      </c>
      <c r="C74" s="1" t="s">
        <v>4517</v>
      </c>
      <c r="D74" t="s">
        <v>795</v>
      </c>
      <c r="E74" s="1" t="s">
        <v>4518</v>
      </c>
      <c r="G74" t="s">
        <v>60</v>
      </c>
      <c r="H74" t="s">
        <v>3679</v>
      </c>
    </row>
    <row r="75" spans="1:8" x14ac:dyDescent="0.25">
      <c r="A75" t="s">
        <v>4025</v>
      </c>
      <c r="B75" t="s">
        <v>4519</v>
      </c>
      <c r="C75" s="1" t="s">
        <v>4520</v>
      </c>
      <c r="D75" t="s">
        <v>795</v>
      </c>
      <c r="E75" s="1" t="s">
        <v>4521</v>
      </c>
      <c r="G75" t="s">
        <v>60</v>
      </c>
      <c r="H75" t="s">
        <v>3679</v>
      </c>
    </row>
    <row r="76" spans="1:8" ht="30" x14ac:dyDescent="0.25">
      <c r="A76" t="s">
        <v>4025</v>
      </c>
      <c r="B76" t="s">
        <v>4522</v>
      </c>
      <c r="C76" s="1" t="s">
        <v>4523</v>
      </c>
      <c r="D76" t="s">
        <v>795</v>
      </c>
      <c r="E76" s="1" t="s">
        <v>4524</v>
      </c>
      <c r="G76" t="s">
        <v>60</v>
      </c>
      <c r="H76" t="s">
        <v>3679</v>
      </c>
    </row>
    <row r="77" spans="1:8" x14ac:dyDescent="0.25">
      <c r="A77" t="s">
        <v>4025</v>
      </c>
      <c r="B77" t="s">
        <v>4525</v>
      </c>
      <c r="C77" s="1" t="s">
        <v>4526</v>
      </c>
      <c r="D77" t="s">
        <v>795</v>
      </c>
      <c r="E77" s="1" t="s">
        <v>4527</v>
      </c>
      <c r="G77" t="s">
        <v>60</v>
      </c>
      <c r="H77" t="s">
        <v>3679</v>
      </c>
    </row>
    <row r="78" spans="1:8" x14ac:dyDescent="0.25">
      <c r="A78" t="s">
        <v>4025</v>
      </c>
      <c r="B78" t="s">
        <v>4528</v>
      </c>
      <c r="C78" s="1" t="s">
        <v>4529</v>
      </c>
      <c r="D78" t="s">
        <v>795</v>
      </c>
      <c r="E78" s="1" t="s">
        <v>4292</v>
      </c>
      <c r="G78" t="s">
        <v>60</v>
      </c>
      <c r="H78" t="s">
        <v>3679</v>
      </c>
    </row>
    <row r="79" spans="1:8" x14ac:dyDescent="0.25">
      <c r="A79" t="s">
        <v>4025</v>
      </c>
      <c r="B79" t="s">
        <v>4530</v>
      </c>
      <c r="C79" s="1" t="s">
        <v>4531</v>
      </c>
      <c r="D79" t="s">
        <v>795</v>
      </c>
      <c r="E79" s="1" t="s">
        <v>4532</v>
      </c>
      <c r="G79" t="s">
        <v>60</v>
      </c>
      <c r="H79" t="s">
        <v>3679</v>
      </c>
    </row>
    <row r="80" spans="1:8" x14ac:dyDescent="0.25">
      <c r="A80" t="s">
        <v>4025</v>
      </c>
      <c r="B80" t="s">
        <v>4533</v>
      </c>
      <c r="C80" s="1" t="s">
        <v>4534</v>
      </c>
      <c r="D80" t="s">
        <v>795</v>
      </c>
      <c r="E80" s="1" t="s">
        <v>4291</v>
      </c>
      <c r="G80" t="s">
        <v>60</v>
      </c>
      <c r="H80" t="s">
        <v>3679</v>
      </c>
    </row>
    <row r="81" spans="1:8" ht="30" x14ac:dyDescent="0.25">
      <c r="A81" t="s">
        <v>4025</v>
      </c>
      <c r="B81" t="s">
        <v>4535</v>
      </c>
      <c r="C81" s="1" t="s">
        <v>4536</v>
      </c>
      <c r="D81" t="s">
        <v>795</v>
      </c>
      <c r="E81" s="1" t="s">
        <v>4537</v>
      </c>
      <c r="G81" t="s">
        <v>60</v>
      </c>
      <c r="H81" t="s">
        <v>3679</v>
      </c>
    </row>
    <row r="82" spans="1:8" ht="105" x14ac:dyDescent="0.25">
      <c r="A82" t="s">
        <v>4025</v>
      </c>
      <c r="B82" t="s">
        <v>4538</v>
      </c>
      <c r="C82" s="1" t="s">
        <v>4539</v>
      </c>
      <c r="D82" t="s">
        <v>562</v>
      </c>
      <c r="E82" s="1" t="s">
        <v>4540</v>
      </c>
      <c r="G82" t="s">
        <v>60</v>
      </c>
      <c r="H82" t="s">
        <v>3679</v>
      </c>
    </row>
    <row r="83" spans="1:8" x14ac:dyDescent="0.25">
      <c r="A83" t="s">
        <v>4025</v>
      </c>
      <c r="B83" t="s">
        <v>4541</v>
      </c>
      <c r="C83" s="1" t="s">
        <v>4542</v>
      </c>
      <c r="D83" t="s">
        <v>795</v>
      </c>
      <c r="E83" s="1" t="s">
        <v>4532</v>
      </c>
      <c r="G83" t="s">
        <v>60</v>
      </c>
      <c r="H83" t="s">
        <v>3679</v>
      </c>
    </row>
    <row r="84" spans="1:8" x14ac:dyDescent="0.25">
      <c r="A84" t="s">
        <v>4025</v>
      </c>
      <c r="B84" t="s">
        <v>4543</v>
      </c>
      <c r="C84" s="1" t="s">
        <v>4544</v>
      </c>
      <c r="D84" t="s">
        <v>795</v>
      </c>
      <c r="E84" s="1" t="s">
        <v>4284</v>
      </c>
      <c r="G84" t="s">
        <v>60</v>
      </c>
      <c r="H84" t="s">
        <v>3679</v>
      </c>
    </row>
    <row r="85" spans="1:8" ht="90" x14ac:dyDescent="0.25">
      <c r="A85" t="s">
        <v>4025</v>
      </c>
      <c r="B85" t="s">
        <v>4545</v>
      </c>
      <c r="C85" s="1" t="s">
        <v>4546</v>
      </c>
      <c r="D85" t="s">
        <v>562</v>
      </c>
      <c r="E85" s="1" t="s">
        <v>4547</v>
      </c>
      <c r="G85" t="s">
        <v>60</v>
      </c>
      <c r="H85" t="s">
        <v>3679</v>
      </c>
    </row>
    <row r="86" spans="1:8" x14ac:dyDescent="0.25">
      <c r="A86" t="s">
        <v>4025</v>
      </c>
      <c r="B86" t="s">
        <v>4548</v>
      </c>
      <c r="C86" s="1" t="s">
        <v>4549</v>
      </c>
      <c r="D86" t="s">
        <v>795</v>
      </c>
      <c r="E86" s="1" t="s">
        <v>4550</v>
      </c>
      <c r="G86" t="s">
        <v>60</v>
      </c>
      <c r="H86" t="s">
        <v>3679</v>
      </c>
    </row>
    <row r="87" spans="1:8" x14ac:dyDescent="0.25">
      <c r="A87" t="s">
        <v>3689</v>
      </c>
      <c r="B87" t="s">
        <v>4551</v>
      </c>
      <c r="C87" s="1" t="s">
        <v>4552</v>
      </c>
      <c r="D87" t="s">
        <v>795</v>
      </c>
      <c r="E87" s="1" t="s">
        <v>4550</v>
      </c>
      <c r="G87" t="s">
        <v>60</v>
      </c>
      <c r="H87" t="s">
        <v>3679</v>
      </c>
    </row>
    <row r="88" spans="1:8" x14ac:dyDescent="0.25">
      <c r="A88" t="s">
        <v>3689</v>
      </c>
      <c r="B88" t="s">
        <v>4553</v>
      </c>
      <c r="C88" s="1" t="s">
        <v>4554</v>
      </c>
      <c r="D88" t="s">
        <v>795</v>
      </c>
      <c r="E88" s="1" t="s">
        <v>4272</v>
      </c>
      <c r="G88" t="s">
        <v>60</v>
      </c>
      <c r="H88" t="s">
        <v>3679</v>
      </c>
    </row>
    <row r="89" spans="1:8" hidden="1" x14ac:dyDescent="0.25">
      <c r="A89" s="62" t="s">
        <v>4555</v>
      </c>
      <c r="B89" s="62" t="s">
        <v>4556</v>
      </c>
      <c r="C89" s="67" t="s">
        <v>4557</v>
      </c>
      <c r="D89" s="62" t="s">
        <v>562</v>
      </c>
      <c r="E89" s="67" t="s">
        <v>4558</v>
      </c>
      <c r="F89" s="66" t="s">
        <v>4559</v>
      </c>
      <c r="G89" s="62" t="s">
        <v>4572</v>
      </c>
      <c r="H89" t="s">
        <v>3680</v>
      </c>
    </row>
    <row r="90" spans="1:8" hidden="1" x14ac:dyDescent="0.25">
      <c r="A90" s="62" t="s">
        <v>4560</v>
      </c>
      <c r="B90" s="62" t="s">
        <v>4561</v>
      </c>
      <c r="C90" s="67" t="s">
        <v>4562</v>
      </c>
      <c r="D90" s="62" t="s">
        <v>644</v>
      </c>
      <c r="E90" s="67" t="s">
        <v>4201</v>
      </c>
      <c r="F90" s="66" t="s">
        <v>4563</v>
      </c>
      <c r="G90" s="62" t="s">
        <v>4572</v>
      </c>
      <c r="H90" t="s">
        <v>3680</v>
      </c>
    </row>
    <row r="91" spans="1:8" hidden="1" x14ac:dyDescent="0.25">
      <c r="A91" s="62" t="s">
        <v>4564</v>
      </c>
      <c r="B91" s="62" t="s">
        <v>404</v>
      </c>
      <c r="C91" s="67" t="s">
        <v>67</v>
      </c>
      <c r="D91" s="62" t="s">
        <v>795</v>
      </c>
      <c r="E91" s="67" t="s">
        <v>4200</v>
      </c>
      <c r="F91" s="62"/>
      <c r="G91" s="62" t="s">
        <v>4572</v>
      </c>
      <c r="H91" s="62" t="s">
        <v>3680</v>
      </c>
    </row>
    <row r="92" spans="1:8" hidden="1" x14ac:dyDescent="0.25">
      <c r="A92" s="62" t="s">
        <v>4565</v>
      </c>
      <c r="B92" s="62" t="s">
        <v>4161</v>
      </c>
      <c r="C92" s="67"/>
      <c r="D92" s="62" t="s">
        <v>644</v>
      </c>
      <c r="E92" s="67" t="s">
        <v>4323</v>
      </c>
      <c r="F92" s="66" t="s">
        <v>4566</v>
      </c>
      <c r="G92" s="62" t="s">
        <v>4572</v>
      </c>
      <c r="H92" t="s">
        <v>3680</v>
      </c>
    </row>
    <row r="93" spans="1:8" x14ac:dyDescent="0.25">
      <c r="A93" s="62" t="s">
        <v>4565</v>
      </c>
      <c r="B93" s="62" t="s">
        <v>4567</v>
      </c>
      <c r="C93" s="67" t="s">
        <v>4568</v>
      </c>
      <c r="D93" s="62"/>
      <c r="E93" s="67" t="s">
        <v>4482</v>
      </c>
      <c r="F93" s="62"/>
      <c r="G93" s="62" t="s">
        <v>4572</v>
      </c>
      <c r="H93" s="62" t="s">
        <v>3679</v>
      </c>
    </row>
    <row r="94" spans="1:8" hidden="1" x14ac:dyDescent="0.25">
      <c r="A94" s="62" t="s">
        <v>4034</v>
      </c>
      <c r="B94" s="62" t="s">
        <v>4569</v>
      </c>
      <c r="C94" s="67" t="s">
        <v>4570</v>
      </c>
      <c r="D94" s="62"/>
      <c r="E94" s="67" t="s">
        <v>4571</v>
      </c>
      <c r="F94" s="62"/>
      <c r="G94" s="62" t="s">
        <v>4572</v>
      </c>
      <c r="H94" s="62" t="s">
        <v>3680</v>
      </c>
    </row>
    <row r="95" spans="1:8" ht="30" hidden="1" x14ac:dyDescent="0.25">
      <c r="A95" t="s">
        <v>3689</v>
      </c>
      <c r="B95" t="s">
        <v>3694</v>
      </c>
      <c r="C95" s="1" t="s">
        <v>3695</v>
      </c>
      <c r="D95" s="61"/>
      <c r="E95" s="1" t="s">
        <v>4192</v>
      </c>
      <c r="G95" t="s">
        <v>61</v>
      </c>
    </row>
    <row r="96" spans="1:8" hidden="1" x14ac:dyDescent="0.25">
      <c r="A96" t="s">
        <v>3689</v>
      </c>
      <c r="B96" t="s">
        <v>3696</v>
      </c>
      <c r="C96" s="1" t="s">
        <v>3697</v>
      </c>
      <c r="D96" s="62"/>
      <c r="E96" s="1" t="s">
        <v>4193</v>
      </c>
      <c r="G96" t="s">
        <v>61</v>
      </c>
    </row>
    <row r="97" spans="1:7" hidden="1" x14ac:dyDescent="0.25">
      <c r="A97" t="s">
        <v>3689</v>
      </c>
      <c r="B97" t="s">
        <v>3698</v>
      </c>
      <c r="C97" s="1" t="s">
        <v>3699</v>
      </c>
      <c r="D97" s="62"/>
      <c r="E97" s="1" t="s">
        <v>4194</v>
      </c>
      <c r="G97" t="s">
        <v>61</v>
      </c>
    </row>
    <row r="98" spans="1:7" hidden="1" x14ac:dyDescent="0.25">
      <c r="A98" t="s">
        <v>3689</v>
      </c>
      <c r="B98" t="s">
        <v>3700</v>
      </c>
      <c r="C98" s="1" t="s">
        <v>3701</v>
      </c>
      <c r="D98" s="62"/>
      <c r="E98" s="1" t="s">
        <v>4195</v>
      </c>
      <c r="G98" t="s">
        <v>61</v>
      </c>
    </row>
    <row r="99" spans="1:7" hidden="1" x14ac:dyDescent="0.25">
      <c r="A99" t="s">
        <v>3689</v>
      </c>
      <c r="B99" t="s">
        <v>3702</v>
      </c>
      <c r="C99" s="1" t="s">
        <v>3703</v>
      </c>
      <c r="D99" s="62"/>
      <c r="E99" s="1" t="s">
        <v>4196</v>
      </c>
      <c r="G99" t="s">
        <v>61</v>
      </c>
    </row>
    <row r="100" spans="1:7" hidden="1" x14ac:dyDescent="0.25">
      <c r="A100" t="s">
        <v>3689</v>
      </c>
      <c r="B100" t="s">
        <v>3704</v>
      </c>
      <c r="C100" s="1" t="s">
        <v>3705</v>
      </c>
      <c r="D100" s="62"/>
      <c r="E100" s="1" t="s">
        <v>4197</v>
      </c>
      <c r="G100" t="s">
        <v>61</v>
      </c>
    </row>
    <row r="101" spans="1:7" hidden="1" x14ac:dyDescent="0.25">
      <c r="A101" t="s">
        <v>3689</v>
      </c>
      <c r="B101" t="s">
        <v>3706</v>
      </c>
      <c r="C101" s="1" t="s">
        <v>3707</v>
      </c>
      <c r="D101" s="62"/>
      <c r="E101" s="1" t="s">
        <v>4193</v>
      </c>
      <c r="G101" t="s">
        <v>61</v>
      </c>
    </row>
    <row r="102" spans="1:7" hidden="1" x14ac:dyDescent="0.25">
      <c r="A102" t="s">
        <v>3689</v>
      </c>
      <c r="B102" t="s">
        <v>3708</v>
      </c>
      <c r="C102" s="1" t="s">
        <v>3709</v>
      </c>
      <c r="D102" s="62"/>
      <c r="E102" s="1" t="s">
        <v>4195</v>
      </c>
      <c r="G102" t="s">
        <v>61</v>
      </c>
    </row>
    <row r="103" spans="1:7" ht="30" hidden="1" x14ac:dyDescent="0.25">
      <c r="A103" t="s">
        <v>3689</v>
      </c>
      <c r="B103" t="s">
        <v>3710</v>
      </c>
      <c r="C103" s="1" t="s">
        <v>3711</v>
      </c>
      <c r="D103" s="62"/>
      <c r="E103" s="1" t="s">
        <v>4198</v>
      </c>
      <c r="G103" t="s">
        <v>61</v>
      </c>
    </row>
    <row r="104" spans="1:7" hidden="1" x14ac:dyDescent="0.25">
      <c r="A104" t="s">
        <v>3689</v>
      </c>
      <c r="B104" t="s">
        <v>3712</v>
      </c>
      <c r="C104" s="1" t="s">
        <v>3713</v>
      </c>
      <c r="D104" s="62"/>
      <c r="E104" s="1" t="s">
        <v>4199</v>
      </c>
      <c r="G104" t="s">
        <v>61</v>
      </c>
    </row>
    <row r="105" spans="1:7" hidden="1" x14ac:dyDescent="0.25">
      <c r="A105" t="s">
        <v>3689</v>
      </c>
      <c r="B105" t="s">
        <v>3714</v>
      </c>
      <c r="C105" s="1" t="s">
        <v>3715</v>
      </c>
      <c r="D105" s="62"/>
      <c r="E105" s="1" t="s">
        <v>4200</v>
      </c>
      <c r="G105" t="s">
        <v>61</v>
      </c>
    </row>
    <row r="106" spans="1:7" hidden="1" x14ac:dyDescent="0.25">
      <c r="A106" t="s">
        <v>3689</v>
      </c>
      <c r="B106" t="s">
        <v>3716</v>
      </c>
      <c r="C106" s="1" t="s">
        <v>3717</v>
      </c>
      <c r="E106" s="1" t="s">
        <v>4197</v>
      </c>
      <c r="G106" t="s">
        <v>61</v>
      </c>
    </row>
    <row r="107" spans="1:7" hidden="1" x14ac:dyDescent="0.25">
      <c r="A107" t="s">
        <v>3689</v>
      </c>
      <c r="B107" t="s">
        <v>3718</v>
      </c>
      <c r="C107" s="1" t="s">
        <v>3719</v>
      </c>
      <c r="E107" s="1" t="s">
        <v>4197</v>
      </c>
      <c r="G107" t="s">
        <v>61</v>
      </c>
    </row>
    <row r="108" spans="1:7" hidden="1" x14ac:dyDescent="0.25">
      <c r="A108" t="s">
        <v>3689</v>
      </c>
      <c r="B108" t="s">
        <v>3720</v>
      </c>
      <c r="C108" s="1" t="s">
        <v>3721</v>
      </c>
      <c r="E108" s="1" t="s">
        <v>4201</v>
      </c>
      <c r="G108" t="s">
        <v>61</v>
      </c>
    </row>
    <row r="109" spans="1:7" hidden="1" x14ac:dyDescent="0.25">
      <c r="A109" t="s">
        <v>3689</v>
      </c>
      <c r="B109" t="s">
        <v>3722</v>
      </c>
      <c r="C109" s="1" t="s">
        <v>3723</v>
      </c>
      <c r="E109" s="1" t="s">
        <v>4202</v>
      </c>
      <c r="G109" t="s">
        <v>61</v>
      </c>
    </row>
    <row r="110" spans="1:7" hidden="1" x14ac:dyDescent="0.25">
      <c r="A110" t="s">
        <v>3689</v>
      </c>
      <c r="B110" t="s">
        <v>3724</v>
      </c>
      <c r="C110" s="1" t="s">
        <v>3725</v>
      </c>
      <c r="E110" s="1" t="s">
        <v>4201</v>
      </c>
      <c r="G110" t="s">
        <v>61</v>
      </c>
    </row>
    <row r="111" spans="1:7" hidden="1" x14ac:dyDescent="0.25">
      <c r="A111" t="s">
        <v>3689</v>
      </c>
      <c r="B111" t="s">
        <v>3726</v>
      </c>
      <c r="C111" s="1" t="s">
        <v>3727</v>
      </c>
      <c r="E111" s="1" t="s">
        <v>4203</v>
      </c>
      <c r="G111" t="s">
        <v>61</v>
      </c>
    </row>
    <row r="112" spans="1:7" hidden="1" x14ac:dyDescent="0.25">
      <c r="A112" t="s">
        <v>3689</v>
      </c>
      <c r="B112" t="s">
        <v>3728</v>
      </c>
      <c r="C112" s="1" t="s">
        <v>3729</v>
      </c>
      <c r="E112" s="1" t="s">
        <v>4204</v>
      </c>
      <c r="G112" t="s">
        <v>61</v>
      </c>
    </row>
    <row r="113" spans="1:7" hidden="1" x14ac:dyDescent="0.25">
      <c r="A113" t="s">
        <v>3689</v>
      </c>
      <c r="B113" t="s">
        <v>3730</v>
      </c>
      <c r="C113" s="1" t="s">
        <v>3731</v>
      </c>
      <c r="E113" s="1" t="s">
        <v>4205</v>
      </c>
      <c r="G113" t="s">
        <v>61</v>
      </c>
    </row>
    <row r="114" spans="1:7" hidden="1" x14ac:dyDescent="0.25">
      <c r="A114" t="s">
        <v>3689</v>
      </c>
      <c r="B114" t="s">
        <v>3732</v>
      </c>
      <c r="C114" s="1" t="s">
        <v>3733</v>
      </c>
      <c r="E114" s="1" t="s">
        <v>4194</v>
      </c>
      <c r="G114" t="s">
        <v>61</v>
      </c>
    </row>
    <row r="115" spans="1:7" hidden="1" x14ac:dyDescent="0.25">
      <c r="A115" t="s">
        <v>3689</v>
      </c>
      <c r="B115" t="s">
        <v>3734</v>
      </c>
      <c r="C115" s="1" t="s">
        <v>3735</v>
      </c>
      <c r="E115" s="1" t="s">
        <v>4193</v>
      </c>
      <c r="G115" t="s">
        <v>61</v>
      </c>
    </row>
    <row r="116" spans="1:7" hidden="1" x14ac:dyDescent="0.25">
      <c r="A116" t="s">
        <v>3689</v>
      </c>
      <c r="B116" t="s">
        <v>3736</v>
      </c>
      <c r="C116" s="1" t="s">
        <v>3737</v>
      </c>
      <c r="E116" s="1" t="s">
        <v>4206</v>
      </c>
      <c r="G116" t="s">
        <v>61</v>
      </c>
    </row>
    <row r="117" spans="1:7" hidden="1" x14ac:dyDescent="0.25">
      <c r="A117" t="s">
        <v>3689</v>
      </c>
      <c r="B117" t="s">
        <v>3738</v>
      </c>
      <c r="C117" s="1" t="s">
        <v>3739</v>
      </c>
      <c r="E117" s="1" t="s">
        <v>4207</v>
      </c>
      <c r="G117" t="s">
        <v>61</v>
      </c>
    </row>
    <row r="118" spans="1:7" hidden="1" x14ac:dyDescent="0.25">
      <c r="A118" t="s">
        <v>3689</v>
      </c>
      <c r="B118" t="s">
        <v>3740</v>
      </c>
      <c r="C118" s="1" t="s">
        <v>3741</v>
      </c>
      <c r="E118" s="1" t="s">
        <v>4207</v>
      </c>
      <c r="G118" t="s">
        <v>61</v>
      </c>
    </row>
    <row r="119" spans="1:7" hidden="1" x14ac:dyDescent="0.25">
      <c r="A119" t="s">
        <v>3689</v>
      </c>
      <c r="B119" t="s">
        <v>3742</v>
      </c>
      <c r="C119" s="1" t="s">
        <v>3743</v>
      </c>
      <c r="E119" s="1" t="s">
        <v>4196</v>
      </c>
      <c r="G119" t="s">
        <v>61</v>
      </c>
    </row>
    <row r="120" spans="1:7" hidden="1" x14ac:dyDescent="0.25">
      <c r="A120" t="s">
        <v>3689</v>
      </c>
      <c r="B120" t="s">
        <v>3744</v>
      </c>
      <c r="C120" s="1" t="s">
        <v>3745</v>
      </c>
      <c r="E120" s="1" t="s">
        <v>4204</v>
      </c>
      <c r="G120" t="s">
        <v>61</v>
      </c>
    </row>
    <row r="121" spans="1:7" hidden="1" x14ac:dyDescent="0.25">
      <c r="A121" t="s">
        <v>3689</v>
      </c>
      <c r="B121" t="s">
        <v>3746</v>
      </c>
      <c r="C121" s="1" t="s">
        <v>3747</v>
      </c>
      <c r="E121" s="1" t="s">
        <v>4208</v>
      </c>
      <c r="G121" t="s">
        <v>61</v>
      </c>
    </row>
    <row r="122" spans="1:7" hidden="1" x14ac:dyDescent="0.25">
      <c r="A122" t="s">
        <v>3689</v>
      </c>
      <c r="B122" t="s">
        <v>3748</v>
      </c>
      <c r="C122" s="1" t="s">
        <v>3749</v>
      </c>
      <c r="E122" s="1" t="s">
        <v>4209</v>
      </c>
      <c r="G122" t="s">
        <v>61</v>
      </c>
    </row>
    <row r="123" spans="1:7" hidden="1" x14ac:dyDescent="0.25">
      <c r="A123" t="s">
        <v>3689</v>
      </c>
      <c r="B123" t="s">
        <v>3750</v>
      </c>
      <c r="C123" s="1" t="s">
        <v>3751</v>
      </c>
      <c r="E123" s="1" t="s">
        <v>4210</v>
      </c>
      <c r="G123" t="s">
        <v>61</v>
      </c>
    </row>
    <row r="124" spans="1:7" hidden="1" x14ac:dyDescent="0.25">
      <c r="A124" t="s">
        <v>3689</v>
      </c>
      <c r="B124" t="s">
        <v>3752</v>
      </c>
      <c r="C124" s="1" t="s">
        <v>3753</v>
      </c>
      <c r="E124" s="1" t="s">
        <v>4201</v>
      </c>
      <c r="G124" t="s">
        <v>61</v>
      </c>
    </row>
    <row r="125" spans="1:7" hidden="1" x14ac:dyDescent="0.25">
      <c r="A125" t="s">
        <v>3689</v>
      </c>
      <c r="B125" t="s">
        <v>3754</v>
      </c>
      <c r="C125" s="1" t="s">
        <v>3755</v>
      </c>
      <c r="E125" s="1" t="s">
        <v>4211</v>
      </c>
      <c r="G125" t="s">
        <v>61</v>
      </c>
    </row>
    <row r="126" spans="1:7" hidden="1" x14ac:dyDescent="0.25">
      <c r="A126" t="s">
        <v>3689</v>
      </c>
      <c r="B126" t="s">
        <v>3756</v>
      </c>
      <c r="C126" s="1" t="s">
        <v>3757</v>
      </c>
      <c r="E126" s="1" t="s">
        <v>4212</v>
      </c>
      <c r="G126" t="s">
        <v>61</v>
      </c>
    </row>
    <row r="127" spans="1:7" hidden="1" x14ac:dyDescent="0.25">
      <c r="A127" t="s">
        <v>3689</v>
      </c>
      <c r="B127" t="s">
        <v>3758</v>
      </c>
      <c r="C127" s="1" t="s">
        <v>3759</v>
      </c>
      <c r="E127" s="1" t="s">
        <v>4213</v>
      </c>
      <c r="G127" t="s">
        <v>61</v>
      </c>
    </row>
    <row r="128" spans="1:7" hidden="1" x14ac:dyDescent="0.25">
      <c r="A128" t="s">
        <v>3689</v>
      </c>
      <c r="B128" t="s">
        <v>3760</v>
      </c>
      <c r="C128" s="1" t="s">
        <v>3761</v>
      </c>
      <c r="E128" s="1" t="s">
        <v>4203</v>
      </c>
      <c r="G128" t="s">
        <v>61</v>
      </c>
    </row>
    <row r="129" spans="1:7" hidden="1" x14ac:dyDescent="0.25">
      <c r="A129" t="s">
        <v>3689</v>
      </c>
      <c r="B129" t="s">
        <v>3762</v>
      </c>
      <c r="C129" s="1" t="s">
        <v>3763</v>
      </c>
      <c r="E129" s="1" t="s">
        <v>4205</v>
      </c>
      <c r="G129" t="s">
        <v>61</v>
      </c>
    </row>
    <row r="130" spans="1:7" hidden="1" x14ac:dyDescent="0.25">
      <c r="A130" t="s">
        <v>3689</v>
      </c>
      <c r="B130" t="s">
        <v>3764</v>
      </c>
      <c r="C130" s="1" t="s">
        <v>3765</v>
      </c>
      <c r="E130" s="1" t="s">
        <v>4204</v>
      </c>
      <c r="G130" t="s">
        <v>61</v>
      </c>
    </row>
    <row r="131" spans="1:7" hidden="1" x14ac:dyDescent="0.25">
      <c r="A131" t="s">
        <v>3689</v>
      </c>
      <c r="B131" t="s">
        <v>3766</v>
      </c>
      <c r="C131" s="1" t="s">
        <v>3767</v>
      </c>
      <c r="E131" s="1" t="s">
        <v>4213</v>
      </c>
      <c r="G131" t="s">
        <v>61</v>
      </c>
    </row>
    <row r="132" spans="1:7" hidden="1" x14ac:dyDescent="0.25">
      <c r="A132" t="s">
        <v>3689</v>
      </c>
      <c r="B132" t="s">
        <v>3768</v>
      </c>
      <c r="C132" s="1" t="s">
        <v>3769</v>
      </c>
      <c r="E132" s="1" t="s">
        <v>4214</v>
      </c>
      <c r="G132" t="s">
        <v>61</v>
      </c>
    </row>
    <row r="133" spans="1:7" hidden="1" x14ac:dyDescent="0.25">
      <c r="A133" t="s">
        <v>3689</v>
      </c>
      <c r="B133" t="s">
        <v>3770</v>
      </c>
      <c r="C133" s="1" t="s">
        <v>3771</v>
      </c>
      <c r="E133" s="1" t="s">
        <v>4215</v>
      </c>
      <c r="G133" t="s">
        <v>61</v>
      </c>
    </row>
    <row r="134" spans="1:7" hidden="1" x14ac:dyDescent="0.25">
      <c r="A134" t="s">
        <v>3689</v>
      </c>
      <c r="B134" t="s">
        <v>3772</v>
      </c>
      <c r="C134" s="1" t="s">
        <v>3773</v>
      </c>
      <c r="E134" s="1" t="s">
        <v>4216</v>
      </c>
      <c r="G134" t="s">
        <v>61</v>
      </c>
    </row>
    <row r="135" spans="1:7" hidden="1" x14ac:dyDescent="0.25">
      <c r="A135" t="s">
        <v>3689</v>
      </c>
      <c r="B135" t="s">
        <v>3774</v>
      </c>
      <c r="C135" s="1" t="s">
        <v>3775</v>
      </c>
      <c r="E135" s="1" t="s">
        <v>4205</v>
      </c>
      <c r="G135" t="s">
        <v>61</v>
      </c>
    </row>
    <row r="136" spans="1:7" hidden="1" x14ac:dyDescent="0.25">
      <c r="A136" t="s">
        <v>3689</v>
      </c>
      <c r="B136" t="s">
        <v>3776</v>
      </c>
      <c r="C136" s="1" t="s">
        <v>3777</v>
      </c>
      <c r="E136" s="1" t="s">
        <v>4212</v>
      </c>
      <c r="G136" t="s">
        <v>61</v>
      </c>
    </row>
    <row r="137" spans="1:7" hidden="1" x14ac:dyDescent="0.25">
      <c r="A137" t="s">
        <v>3689</v>
      </c>
      <c r="B137" t="s">
        <v>3778</v>
      </c>
      <c r="C137" s="1" t="s">
        <v>3779</v>
      </c>
      <c r="E137" s="1" t="s">
        <v>4214</v>
      </c>
      <c r="G137" t="s">
        <v>61</v>
      </c>
    </row>
    <row r="138" spans="1:7" hidden="1" x14ac:dyDescent="0.25">
      <c r="A138" t="s">
        <v>3689</v>
      </c>
      <c r="B138" t="s">
        <v>3780</v>
      </c>
      <c r="C138" s="1" t="s">
        <v>3781</v>
      </c>
      <c r="E138" s="1" t="s">
        <v>4212</v>
      </c>
      <c r="G138" t="s">
        <v>61</v>
      </c>
    </row>
    <row r="139" spans="1:7" hidden="1" x14ac:dyDescent="0.25">
      <c r="A139" t="s">
        <v>3689</v>
      </c>
      <c r="B139" t="s">
        <v>3782</v>
      </c>
      <c r="C139" s="1" t="s">
        <v>3783</v>
      </c>
      <c r="E139" s="1" t="s">
        <v>4208</v>
      </c>
      <c r="G139" t="s">
        <v>61</v>
      </c>
    </row>
    <row r="140" spans="1:7" hidden="1" x14ac:dyDescent="0.25">
      <c r="A140" t="s">
        <v>3689</v>
      </c>
      <c r="B140" t="s">
        <v>3784</v>
      </c>
      <c r="C140" s="1" t="s">
        <v>3785</v>
      </c>
      <c r="E140" s="1" t="s">
        <v>4217</v>
      </c>
      <c r="G140" t="s">
        <v>61</v>
      </c>
    </row>
    <row r="141" spans="1:7" hidden="1" x14ac:dyDescent="0.25">
      <c r="A141" t="s">
        <v>3689</v>
      </c>
      <c r="B141" t="s">
        <v>3786</v>
      </c>
      <c r="C141" s="1" t="s">
        <v>3787</v>
      </c>
      <c r="E141" s="1" t="s">
        <v>4217</v>
      </c>
      <c r="G141" t="s">
        <v>61</v>
      </c>
    </row>
    <row r="142" spans="1:7" hidden="1" x14ac:dyDescent="0.25">
      <c r="A142" t="s">
        <v>3689</v>
      </c>
      <c r="B142" t="s">
        <v>3788</v>
      </c>
      <c r="C142" s="1" t="s">
        <v>3789</v>
      </c>
      <c r="E142" s="1" t="s">
        <v>4217</v>
      </c>
      <c r="G142" t="s">
        <v>61</v>
      </c>
    </row>
    <row r="143" spans="1:7" hidden="1" x14ac:dyDescent="0.25">
      <c r="A143" t="s">
        <v>3689</v>
      </c>
      <c r="B143" t="s">
        <v>3790</v>
      </c>
      <c r="C143" s="1" t="s">
        <v>3791</v>
      </c>
      <c r="E143" s="1" t="s">
        <v>4208</v>
      </c>
      <c r="G143" t="s">
        <v>61</v>
      </c>
    </row>
    <row r="144" spans="1:7" hidden="1" x14ac:dyDescent="0.25">
      <c r="A144" t="s">
        <v>3689</v>
      </c>
      <c r="B144" t="s">
        <v>3792</v>
      </c>
      <c r="C144" s="1" t="s">
        <v>3793</v>
      </c>
      <c r="E144" s="1" t="s">
        <v>4210</v>
      </c>
      <c r="G144" t="s">
        <v>61</v>
      </c>
    </row>
    <row r="145" spans="1:7" hidden="1" x14ac:dyDescent="0.25">
      <c r="A145" t="s">
        <v>3689</v>
      </c>
      <c r="B145" t="s">
        <v>3794</v>
      </c>
      <c r="C145" s="1" t="s">
        <v>3795</v>
      </c>
      <c r="E145" s="1" t="s">
        <v>4217</v>
      </c>
      <c r="G145" t="s">
        <v>61</v>
      </c>
    </row>
    <row r="146" spans="1:7" hidden="1" x14ac:dyDescent="0.25">
      <c r="A146" t="s">
        <v>3689</v>
      </c>
      <c r="B146" t="s">
        <v>3796</v>
      </c>
      <c r="C146" s="1" t="s">
        <v>3797</v>
      </c>
      <c r="E146" s="1" t="s">
        <v>4217</v>
      </c>
      <c r="G146" t="s">
        <v>61</v>
      </c>
    </row>
    <row r="147" spans="1:7" ht="45" hidden="1" x14ac:dyDescent="0.25">
      <c r="A147" t="s">
        <v>3689</v>
      </c>
      <c r="B147" t="s">
        <v>3798</v>
      </c>
      <c r="C147" s="1" t="s">
        <v>3799</v>
      </c>
      <c r="E147" s="1" t="s">
        <v>4218</v>
      </c>
      <c r="G147" t="s">
        <v>61</v>
      </c>
    </row>
    <row r="148" spans="1:7" hidden="1" x14ac:dyDescent="0.25">
      <c r="A148" t="s">
        <v>3689</v>
      </c>
      <c r="B148" t="s">
        <v>3800</v>
      </c>
      <c r="C148" s="1" t="s">
        <v>3801</v>
      </c>
      <c r="E148" s="1" t="s">
        <v>4219</v>
      </c>
      <c r="G148" t="s">
        <v>61</v>
      </c>
    </row>
    <row r="149" spans="1:7" hidden="1" x14ac:dyDescent="0.25">
      <c r="A149" t="s">
        <v>3689</v>
      </c>
      <c r="B149" t="s">
        <v>3802</v>
      </c>
      <c r="C149" s="1" t="s">
        <v>3803</v>
      </c>
      <c r="E149" s="1" t="s">
        <v>4215</v>
      </c>
      <c r="G149" t="s">
        <v>61</v>
      </c>
    </row>
    <row r="150" spans="1:7" hidden="1" x14ac:dyDescent="0.25">
      <c r="A150" t="s">
        <v>3689</v>
      </c>
      <c r="B150" t="s">
        <v>3804</v>
      </c>
      <c r="C150" s="1" t="s">
        <v>3805</v>
      </c>
      <c r="E150" s="1" t="s">
        <v>4220</v>
      </c>
      <c r="G150" t="s">
        <v>61</v>
      </c>
    </row>
    <row r="151" spans="1:7" hidden="1" x14ac:dyDescent="0.25">
      <c r="A151" t="s">
        <v>3689</v>
      </c>
      <c r="B151" t="s">
        <v>3806</v>
      </c>
      <c r="C151" s="1" t="s">
        <v>3807</v>
      </c>
      <c r="E151" s="1" t="s">
        <v>4210</v>
      </c>
      <c r="G151" t="s">
        <v>61</v>
      </c>
    </row>
    <row r="152" spans="1:7" hidden="1" x14ac:dyDescent="0.25">
      <c r="A152" t="s">
        <v>3689</v>
      </c>
      <c r="B152" t="s">
        <v>3808</v>
      </c>
      <c r="C152" s="1" t="s">
        <v>3809</v>
      </c>
      <c r="E152" s="1" t="s">
        <v>4221</v>
      </c>
      <c r="G152" t="s">
        <v>61</v>
      </c>
    </row>
    <row r="153" spans="1:7" hidden="1" x14ac:dyDescent="0.25">
      <c r="A153" t="s">
        <v>3689</v>
      </c>
      <c r="B153" t="s">
        <v>3810</v>
      </c>
      <c r="C153" s="1" t="s">
        <v>3811</v>
      </c>
      <c r="E153" s="1" t="s">
        <v>4222</v>
      </c>
      <c r="G153" t="s">
        <v>61</v>
      </c>
    </row>
    <row r="154" spans="1:7" hidden="1" x14ac:dyDescent="0.25">
      <c r="A154" t="s">
        <v>3689</v>
      </c>
      <c r="B154" t="s">
        <v>3812</v>
      </c>
      <c r="C154" s="1" t="s">
        <v>3813</v>
      </c>
      <c r="E154" s="1" t="s">
        <v>4223</v>
      </c>
      <c r="G154" t="s">
        <v>61</v>
      </c>
    </row>
    <row r="155" spans="1:7" hidden="1" x14ac:dyDescent="0.25">
      <c r="A155" t="s">
        <v>3689</v>
      </c>
      <c r="B155" t="s">
        <v>3814</v>
      </c>
      <c r="C155" s="1" t="s">
        <v>3815</v>
      </c>
      <c r="E155" s="1" t="s">
        <v>4222</v>
      </c>
      <c r="G155" t="s">
        <v>61</v>
      </c>
    </row>
    <row r="156" spans="1:7" hidden="1" x14ac:dyDescent="0.25">
      <c r="A156" t="s">
        <v>3689</v>
      </c>
      <c r="B156" t="s">
        <v>3816</v>
      </c>
      <c r="C156" s="1" t="s">
        <v>3817</v>
      </c>
      <c r="E156" s="1" t="s">
        <v>4224</v>
      </c>
      <c r="G156" t="s">
        <v>61</v>
      </c>
    </row>
    <row r="157" spans="1:7" hidden="1" x14ac:dyDescent="0.25">
      <c r="A157" t="s">
        <v>3689</v>
      </c>
      <c r="B157" t="s">
        <v>3818</v>
      </c>
      <c r="C157" s="1" t="s">
        <v>3819</v>
      </c>
      <c r="E157" s="1" t="s">
        <v>4212</v>
      </c>
      <c r="G157" t="s">
        <v>61</v>
      </c>
    </row>
    <row r="158" spans="1:7" hidden="1" x14ac:dyDescent="0.25">
      <c r="A158" t="s">
        <v>3689</v>
      </c>
      <c r="B158" t="s">
        <v>3820</v>
      </c>
      <c r="C158" s="1" t="s">
        <v>3821</v>
      </c>
      <c r="E158" s="1" t="s">
        <v>4223</v>
      </c>
      <c r="G158" t="s">
        <v>61</v>
      </c>
    </row>
    <row r="159" spans="1:7" hidden="1" x14ac:dyDescent="0.25">
      <c r="A159" t="s">
        <v>3689</v>
      </c>
      <c r="B159" t="s">
        <v>3822</v>
      </c>
      <c r="C159" s="1" t="s">
        <v>3823</v>
      </c>
      <c r="E159" s="1" t="s">
        <v>4212</v>
      </c>
      <c r="G159" t="s">
        <v>61</v>
      </c>
    </row>
    <row r="160" spans="1:7" hidden="1" x14ac:dyDescent="0.25">
      <c r="A160" t="s">
        <v>3689</v>
      </c>
      <c r="B160" t="s">
        <v>3824</v>
      </c>
      <c r="C160" s="1" t="s">
        <v>3825</v>
      </c>
      <c r="E160" s="1" t="s">
        <v>4222</v>
      </c>
      <c r="G160" t="s">
        <v>61</v>
      </c>
    </row>
    <row r="161" spans="1:7" hidden="1" x14ac:dyDescent="0.25">
      <c r="A161" t="s">
        <v>3689</v>
      </c>
      <c r="B161" t="s">
        <v>3826</v>
      </c>
      <c r="C161" s="1" t="s">
        <v>3827</v>
      </c>
      <c r="E161" s="1" t="s">
        <v>4217</v>
      </c>
      <c r="G161" t="s">
        <v>61</v>
      </c>
    </row>
    <row r="162" spans="1:7" hidden="1" x14ac:dyDescent="0.25">
      <c r="A162" t="s">
        <v>3689</v>
      </c>
      <c r="B162" t="s">
        <v>3828</v>
      </c>
      <c r="C162" s="1" t="s">
        <v>3829</v>
      </c>
      <c r="E162" s="1" t="s">
        <v>4225</v>
      </c>
      <c r="G162" t="s">
        <v>61</v>
      </c>
    </row>
    <row r="163" spans="1:7" hidden="1" x14ac:dyDescent="0.25">
      <c r="A163" t="s">
        <v>3689</v>
      </c>
      <c r="B163" t="s">
        <v>3830</v>
      </c>
      <c r="C163" s="1" t="s">
        <v>3831</v>
      </c>
      <c r="E163" s="1" t="s">
        <v>4212</v>
      </c>
      <c r="G163" t="s">
        <v>61</v>
      </c>
    </row>
    <row r="164" spans="1:7" hidden="1" x14ac:dyDescent="0.25">
      <c r="A164" t="s">
        <v>3689</v>
      </c>
      <c r="B164" t="s">
        <v>3832</v>
      </c>
      <c r="C164" s="1" t="s">
        <v>3833</v>
      </c>
      <c r="E164" s="1" t="s">
        <v>4213</v>
      </c>
      <c r="G164" t="s">
        <v>61</v>
      </c>
    </row>
    <row r="165" spans="1:7" hidden="1" x14ac:dyDescent="0.25">
      <c r="A165" t="s">
        <v>3689</v>
      </c>
      <c r="B165" t="s">
        <v>3834</v>
      </c>
      <c r="C165" s="1" t="s">
        <v>3835</v>
      </c>
      <c r="E165" s="1" t="s">
        <v>4210</v>
      </c>
      <c r="G165" t="s">
        <v>61</v>
      </c>
    </row>
    <row r="166" spans="1:7" hidden="1" x14ac:dyDescent="0.25">
      <c r="A166" t="s">
        <v>3689</v>
      </c>
      <c r="B166" t="s">
        <v>3836</v>
      </c>
      <c r="C166" s="1" t="s">
        <v>3837</v>
      </c>
      <c r="E166" s="1" t="s">
        <v>4208</v>
      </c>
      <c r="G166" t="s">
        <v>61</v>
      </c>
    </row>
    <row r="167" spans="1:7" hidden="1" x14ac:dyDescent="0.25">
      <c r="A167" t="s">
        <v>3689</v>
      </c>
      <c r="B167" t="s">
        <v>3838</v>
      </c>
      <c r="C167" s="1" t="s">
        <v>3839</v>
      </c>
      <c r="E167" s="1" t="s">
        <v>4226</v>
      </c>
      <c r="G167" t="s">
        <v>61</v>
      </c>
    </row>
    <row r="168" spans="1:7" hidden="1" x14ac:dyDescent="0.25">
      <c r="A168" t="s">
        <v>3689</v>
      </c>
      <c r="B168" t="s">
        <v>3840</v>
      </c>
      <c r="C168" s="1" t="s">
        <v>3841</v>
      </c>
      <c r="E168" s="1" t="s">
        <v>4208</v>
      </c>
      <c r="G168" t="s">
        <v>61</v>
      </c>
    </row>
    <row r="169" spans="1:7" hidden="1" x14ac:dyDescent="0.25">
      <c r="A169" t="s">
        <v>3689</v>
      </c>
      <c r="B169" t="s">
        <v>3842</v>
      </c>
      <c r="C169" s="1" t="s">
        <v>3843</v>
      </c>
      <c r="E169" s="1" t="s">
        <v>4227</v>
      </c>
      <c r="G169" t="s">
        <v>61</v>
      </c>
    </row>
    <row r="170" spans="1:7" hidden="1" x14ac:dyDescent="0.25">
      <c r="A170" t="s">
        <v>3689</v>
      </c>
      <c r="B170" t="s">
        <v>3844</v>
      </c>
      <c r="C170" s="1" t="s">
        <v>3845</v>
      </c>
      <c r="E170" s="1" t="s">
        <v>4228</v>
      </c>
      <c r="G170" t="s">
        <v>61</v>
      </c>
    </row>
    <row r="171" spans="1:7" hidden="1" x14ac:dyDescent="0.25">
      <c r="A171" t="s">
        <v>3689</v>
      </c>
      <c r="B171" t="s">
        <v>3846</v>
      </c>
      <c r="C171" s="1" t="s">
        <v>3847</v>
      </c>
      <c r="E171" s="1" t="s">
        <v>4223</v>
      </c>
      <c r="G171" t="s">
        <v>61</v>
      </c>
    </row>
    <row r="172" spans="1:7" hidden="1" x14ac:dyDescent="0.25">
      <c r="A172" t="s">
        <v>3689</v>
      </c>
      <c r="B172" t="s">
        <v>3848</v>
      </c>
      <c r="C172" s="1" t="s">
        <v>3849</v>
      </c>
      <c r="E172" s="1" t="s">
        <v>4224</v>
      </c>
      <c r="G172" t="s">
        <v>61</v>
      </c>
    </row>
    <row r="173" spans="1:7" hidden="1" x14ac:dyDescent="0.25">
      <c r="A173" t="s">
        <v>3689</v>
      </c>
      <c r="B173" t="s">
        <v>3850</v>
      </c>
      <c r="C173" s="1" t="s">
        <v>3851</v>
      </c>
      <c r="E173" s="1" t="s">
        <v>4223</v>
      </c>
      <c r="G173" t="s">
        <v>61</v>
      </c>
    </row>
    <row r="174" spans="1:7" hidden="1" x14ac:dyDescent="0.25">
      <c r="A174" t="s">
        <v>3689</v>
      </c>
      <c r="B174" t="s">
        <v>3852</v>
      </c>
      <c r="C174" s="1" t="s">
        <v>3853</v>
      </c>
      <c r="E174" s="1" t="s">
        <v>4223</v>
      </c>
      <c r="G174" t="s">
        <v>61</v>
      </c>
    </row>
    <row r="175" spans="1:7" hidden="1" x14ac:dyDescent="0.25">
      <c r="A175" t="s">
        <v>3689</v>
      </c>
      <c r="B175" t="s">
        <v>3842</v>
      </c>
      <c r="C175" s="1" t="s">
        <v>3843</v>
      </c>
      <c r="E175" s="1" t="s">
        <v>4223</v>
      </c>
      <c r="G175" t="s">
        <v>61</v>
      </c>
    </row>
    <row r="176" spans="1:7" hidden="1" x14ac:dyDescent="0.25">
      <c r="A176" t="s">
        <v>3689</v>
      </c>
      <c r="B176" t="s">
        <v>3854</v>
      </c>
      <c r="C176" s="1" t="s">
        <v>3855</v>
      </c>
      <c r="E176" s="1" t="s">
        <v>4229</v>
      </c>
      <c r="G176" t="s">
        <v>61</v>
      </c>
    </row>
    <row r="177" spans="1:7" hidden="1" x14ac:dyDescent="0.25">
      <c r="A177" t="s">
        <v>3689</v>
      </c>
      <c r="B177" t="s">
        <v>3856</v>
      </c>
      <c r="C177" s="1" t="s">
        <v>3857</v>
      </c>
      <c r="E177" s="1" t="s">
        <v>4223</v>
      </c>
      <c r="G177" t="s">
        <v>61</v>
      </c>
    </row>
    <row r="178" spans="1:7" hidden="1" x14ac:dyDescent="0.25">
      <c r="A178" t="s">
        <v>3689</v>
      </c>
      <c r="B178" t="s">
        <v>3858</v>
      </c>
      <c r="C178" s="1" t="s">
        <v>3859</v>
      </c>
      <c r="E178" s="1" t="s">
        <v>4212</v>
      </c>
      <c r="G178" t="s">
        <v>61</v>
      </c>
    </row>
    <row r="179" spans="1:7" hidden="1" x14ac:dyDescent="0.25">
      <c r="A179" t="s">
        <v>3689</v>
      </c>
      <c r="B179" t="s">
        <v>3860</v>
      </c>
      <c r="C179" s="1" t="s">
        <v>3861</v>
      </c>
      <c r="E179" s="1" t="s">
        <v>4230</v>
      </c>
      <c r="G179" t="s">
        <v>61</v>
      </c>
    </row>
    <row r="180" spans="1:7" hidden="1" x14ac:dyDescent="0.25">
      <c r="A180" t="s">
        <v>3689</v>
      </c>
      <c r="B180" t="s">
        <v>3862</v>
      </c>
      <c r="C180" s="1" t="s">
        <v>3863</v>
      </c>
      <c r="E180" s="1" t="s">
        <v>4231</v>
      </c>
      <c r="G180" t="s">
        <v>61</v>
      </c>
    </row>
    <row r="181" spans="1:7" hidden="1" x14ac:dyDescent="0.25">
      <c r="A181" t="s">
        <v>3689</v>
      </c>
      <c r="B181" t="s">
        <v>3864</v>
      </c>
      <c r="C181" s="1" t="s">
        <v>62</v>
      </c>
      <c r="E181" s="1" t="s">
        <v>4232</v>
      </c>
      <c r="G181" t="s">
        <v>61</v>
      </c>
    </row>
    <row r="182" spans="1:7" hidden="1" x14ac:dyDescent="0.25">
      <c r="A182" t="s">
        <v>3689</v>
      </c>
      <c r="B182" t="s">
        <v>3865</v>
      </c>
      <c r="C182" s="1" t="s">
        <v>3866</v>
      </c>
      <c r="E182" s="1" t="s">
        <v>4233</v>
      </c>
      <c r="G182" t="s">
        <v>61</v>
      </c>
    </row>
    <row r="183" spans="1:7" hidden="1" x14ac:dyDescent="0.25">
      <c r="A183" t="s">
        <v>3689</v>
      </c>
      <c r="B183" t="s">
        <v>3867</v>
      </c>
      <c r="C183" s="1" t="s">
        <v>3868</v>
      </c>
      <c r="E183" s="1" t="s">
        <v>4233</v>
      </c>
      <c r="G183" t="s">
        <v>61</v>
      </c>
    </row>
    <row r="184" spans="1:7" hidden="1" x14ac:dyDescent="0.25">
      <c r="A184" t="s">
        <v>3689</v>
      </c>
      <c r="B184" t="s">
        <v>3869</v>
      </c>
      <c r="C184" s="1" t="s">
        <v>3868</v>
      </c>
      <c r="E184" s="1" t="s">
        <v>4234</v>
      </c>
      <c r="G184" t="s">
        <v>61</v>
      </c>
    </row>
    <row r="185" spans="1:7" hidden="1" x14ac:dyDescent="0.25">
      <c r="A185" t="s">
        <v>3689</v>
      </c>
      <c r="B185" t="s">
        <v>3870</v>
      </c>
      <c r="C185" s="1" t="s">
        <v>3871</v>
      </c>
      <c r="E185" s="1" t="s">
        <v>4235</v>
      </c>
      <c r="G185" t="s">
        <v>61</v>
      </c>
    </row>
    <row r="186" spans="1:7" hidden="1" x14ac:dyDescent="0.25">
      <c r="A186" t="s">
        <v>3689</v>
      </c>
      <c r="B186" t="s">
        <v>3872</v>
      </c>
      <c r="C186" s="1" t="s">
        <v>3873</v>
      </c>
      <c r="E186" s="1" t="s">
        <v>4236</v>
      </c>
      <c r="G186" t="s">
        <v>61</v>
      </c>
    </row>
    <row r="187" spans="1:7" hidden="1" x14ac:dyDescent="0.25">
      <c r="A187" t="s">
        <v>3689</v>
      </c>
      <c r="B187" t="s">
        <v>3874</v>
      </c>
      <c r="C187" s="1" t="s">
        <v>3875</v>
      </c>
      <c r="E187" s="1" t="s">
        <v>4237</v>
      </c>
      <c r="G187" t="s">
        <v>61</v>
      </c>
    </row>
    <row r="188" spans="1:7" hidden="1" x14ac:dyDescent="0.25">
      <c r="A188" t="s">
        <v>3689</v>
      </c>
      <c r="B188" t="s">
        <v>3876</v>
      </c>
      <c r="C188" s="1" t="s">
        <v>3877</v>
      </c>
      <c r="E188" s="1" t="s">
        <v>4238</v>
      </c>
      <c r="G188" t="s">
        <v>61</v>
      </c>
    </row>
    <row r="189" spans="1:7" hidden="1" x14ac:dyDescent="0.25">
      <c r="A189" t="s">
        <v>3689</v>
      </c>
      <c r="B189" t="s">
        <v>3878</v>
      </c>
      <c r="C189" s="1" t="s">
        <v>3879</v>
      </c>
      <c r="E189" s="1" t="s">
        <v>4227</v>
      </c>
      <c r="G189" t="s">
        <v>61</v>
      </c>
    </row>
    <row r="190" spans="1:7" hidden="1" x14ac:dyDescent="0.25">
      <c r="A190" t="s">
        <v>3689</v>
      </c>
      <c r="B190" t="s">
        <v>3880</v>
      </c>
      <c r="C190" s="1" t="s">
        <v>3881</v>
      </c>
      <c r="E190" s="1" t="s">
        <v>4239</v>
      </c>
      <c r="G190" t="s">
        <v>61</v>
      </c>
    </row>
    <row r="191" spans="1:7" ht="30" hidden="1" x14ac:dyDescent="0.25">
      <c r="A191" t="s">
        <v>3689</v>
      </c>
      <c r="B191" t="s">
        <v>3882</v>
      </c>
      <c r="C191" s="1" t="s">
        <v>3883</v>
      </c>
      <c r="E191" s="1" t="s">
        <v>4240</v>
      </c>
      <c r="G191" t="s">
        <v>61</v>
      </c>
    </row>
    <row r="192" spans="1:7" hidden="1" x14ac:dyDescent="0.25">
      <c r="A192" t="s">
        <v>3689</v>
      </c>
      <c r="B192" t="s">
        <v>3884</v>
      </c>
      <c r="C192" s="1" t="s">
        <v>3885</v>
      </c>
      <c r="E192" s="1" t="s">
        <v>4236</v>
      </c>
      <c r="G192" t="s">
        <v>61</v>
      </c>
    </row>
    <row r="193" spans="1:7" hidden="1" x14ac:dyDescent="0.25">
      <c r="A193" t="s">
        <v>3689</v>
      </c>
      <c r="B193" t="s">
        <v>3886</v>
      </c>
      <c r="C193" s="1" t="s">
        <v>3887</v>
      </c>
      <c r="E193" s="1" t="s">
        <v>4227</v>
      </c>
      <c r="G193" t="s">
        <v>61</v>
      </c>
    </row>
    <row r="194" spans="1:7" hidden="1" x14ac:dyDescent="0.25">
      <c r="A194" t="s">
        <v>3689</v>
      </c>
      <c r="B194" t="s">
        <v>3888</v>
      </c>
      <c r="C194" s="1" t="s">
        <v>3889</v>
      </c>
      <c r="E194" s="1" t="s">
        <v>4223</v>
      </c>
      <c r="G194" t="s">
        <v>61</v>
      </c>
    </row>
    <row r="195" spans="1:7" hidden="1" x14ac:dyDescent="0.25">
      <c r="A195" t="s">
        <v>3689</v>
      </c>
      <c r="B195" t="s">
        <v>3890</v>
      </c>
      <c r="C195" s="1" t="s">
        <v>3891</v>
      </c>
      <c r="E195" s="1" t="s">
        <v>4227</v>
      </c>
      <c r="G195" t="s">
        <v>61</v>
      </c>
    </row>
    <row r="196" spans="1:7" hidden="1" x14ac:dyDescent="0.25">
      <c r="A196" t="s">
        <v>3689</v>
      </c>
      <c r="B196" t="s">
        <v>3892</v>
      </c>
      <c r="C196" s="1" t="s">
        <v>3893</v>
      </c>
      <c r="E196" s="1" t="s">
        <v>4241</v>
      </c>
      <c r="G196" t="s">
        <v>61</v>
      </c>
    </row>
    <row r="197" spans="1:7" hidden="1" x14ac:dyDescent="0.25">
      <c r="A197" t="s">
        <v>3689</v>
      </c>
      <c r="B197" t="s">
        <v>3894</v>
      </c>
      <c r="C197" s="1" t="s">
        <v>3895</v>
      </c>
      <c r="E197" s="1" t="s">
        <v>4242</v>
      </c>
      <c r="G197" t="s">
        <v>61</v>
      </c>
    </row>
    <row r="198" spans="1:7" hidden="1" x14ac:dyDescent="0.25">
      <c r="A198" t="s">
        <v>3689</v>
      </c>
      <c r="B198" t="s">
        <v>3896</v>
      </c>
      <c r="C198" s="1" t="s">
        <v>3897</v>
      </c>
      <c r="E198" s="1" t="s">
        <v>4243</v>
      </c>
      <c r="G198" t="s">
        <v>61</v>
      </c>
    </row>
    <row r="199" spans="1:7" hidden="1" x14ac:dyDescent="0.25">
      <c r="A199" t="s">
        <v>3689</v>
      </c>
      <c r="B199" t="s">
        <v>3898</v>
      </c>
      <c r="C199" s="1" t="s">
        <v>3899</v>
      </c>
      <c r="E199" s="1" t="s">
        <v>4244</v>
      </c>
      <c r="G199" t="s">
        <v>61</v>
      </c>
    </row>
    <row r="200" spans="1:7" hidden="1" x14ac:dyDescent="0.25">
      <c r="A200" t="s">
        <v>3689</v>
      </c>
      <c r="B200" t="s">
        <v>3900</v>
      </c>
      <c r="C200" s="1" t="s">
        <v>3901</v>
      </c>
      <c r="E200" s="1" t="s">
        <v>4199</v>
      </c>
      <c r="G200" t="s">
        <v>61</v>
      </c>
    </row>
    <row r="201" spans="1:7" hidden="1" x14ac:dyDescent="0.25">
      <c r="A201" t="s">
        <v>3689</v>
      </c>
      <c r="B201" t="s">
        <v>3902</v>
      </c>
      <c r="C201" s="1" t="s">
        <v>3903</v>
      </c>
      <c r="E201" s="1" t="s">
        <v>4199</v>
      </c>
      <c r="G201" t="s">
        <v>61</v>
      </c>
    </row>
    <row r="202" spans="1:7" hidden="1" x14ac:dyDescent="0.25">
      <c r="A202" t="s">
        <v>3689</v>
      </c>
      <c r="B202" t="s">
        <v>3904</v>
      </c>
      <c r="C202" s="1" t="s">
        <v>3905</v>
      </c>
      <c r="E202" s="1" t="s">
        <v>4245</v>
      </c>
      <c r="G202" t="s">
        <v>61</v>
      </c>
    </row>
    <row r="203" spans="1:7" hidden="1" x14ac:dyDescent="0.25">
      <c r="A203" t="s">
        <v>3689</v>
      </c>
      <c r="B203" t="s">
        <v>3906</v>
      </c>
      <c r="C203" s="1" t="s">
        <v>3907</v>
      </c>
      <c r="E203" s="1" t="s">
        <v>4242</v>
      </c>
      <c r="G203" t="s">
        <v>61</v>
      </c>
    </row>
    <row r="204" spans="1:7" hidden="1" x14ac:dyDescent="0.25">
      <c r="A204" t="s">
        <v>3689</v>
      </c>
      <c r="B204" t="s">
        <v>3908</v>
      </c>
      <c r="C204" s="1" t="s">
        <v>3909</v>
      </c>
      <c r="E204" s="1" t="s">
        <v>4246</v>
      </c>
      <c r="G204" t="s">
        <v>61</v>
      </c>
    </row>
    <row r="205" spans="1:7" hidden="1" x14ac:dyDescent="0.25">
      <c r="A205" t="s">
        <v>3689</v>
      </c>
      <c r="B205" t="s">
        <v>3910</v>
      </c>
      <c r="C205" s="1" t="s">
        <v>3911</v>
      </c>
      <c r="E205" s="1" t="s">
        <v>4247</v>
      </c>
      <c r="G205" t="s">
        <v>61</v>
      </c>
    </row>
    <row r="206" spans="1:7" hidden="1" x14ac:dyDescent="0.25">
      <c r="A206" t="s">
        <v>3689</v>
      </c>
      <c r="B206" t="s">
        <v>3912</v>
      </c>
      <c r="C206" s="1" t="s">
        <v>3913</v>
      </c>
      <c r="E206" s="1" t="s">
        <v>4248</v>
      </c>
      <c r="G206" t="s">
        <v>61</v>
      </c>
    </row>
    <row r="207" spans="1:7" hidden="1" x14ac:dyDescent="0.25">
      <c r="A207" t="s">
        <v>3689</v>
      </c>
      <c r="B207" t="s">
        <v>3914</v>
      </c>
      <c r="C207" s="1" t="s">
        <v>3915</v>
      </c>
      <c r="E207" s="1" t="s">
        <v>4249</v>
      </c>
      <c r="G207" t="s">
        <v>61</v>
      </c>
    </row>
    <row r="208" spans="1:7" ht="30" hidden="1" x14ac:dyDescent="0.25">
      <c r="A208" t="s">
        <v>3689</v>
      </c>
      <c r="B208" t="s">
        <v>3916</v>
      </c>
      <c r="C208" s="1" t="s">
        <v>1039</v>
      </c>
      <c r="E208" s="1" t="s">
        <v>4192</v>
      </c>
      <c r="G208" t="s">
        <v>61</v>
      </c>
    </row>
    <row r="209" spans="1:7" hidden="1" x14ac:dyDescent="0.25">
      <c r="A209" t="s">
        <v>3689</v>
      </c>
      <c r="B209" t="s">
        <v>3917</v>
      </c>
      <c r="C209" s="1" t="s">
        <v>3918</v>
      </c>
      <c r="E209" s="1" t="s">
        <v>4250</v>
      </c>
      <c r="G209" t="s">
        <v>61</v>
      </c>
    </row>
    <row r="210" spans="1:7" hidden="1" x14ac:dyDescent="0.25">
      <c r="A210" t="s">
        <v>3689</v>
      </c>
      <c r="B210" t="s">
        <v>3919</v>
      </c>
      <c r="C210" s="1" t="s">
        <v>3920</v>
      </c>
      <c r="E210" s="1" t="s">
        <v>4199</v>
      </c>
      <c r="G210" t="s">
        <v>61</v>
      </c>
    </row>
    <row r="211" spans="1:7" hidden="1" x14ac:dyDescent="0.25">
      <c r="A211" t="s">
        <v>3689</v>
      </c>
      <c r="B211" t="s">
        <v>3921</v>
      </c>
      <c r="C211" s="1" t="s">
        <v>3922</v>
      </c>
      <c r="E211" s="1" t="s">
        <v>4247</v>
      </c>
      <c r="G211" t="s">
        <v>61</v>
      </c>
    </row>
    <row r="212" spans="1:7" hidden="1" x14ac:dyDescent="0.25">
      <c r="A212" t="s">
        <v>3689</v>
      </c>
      <c r="B212" t="s">
        <v>3923</v>
      </c>
      <c r="C212" s="1" t="s">
        <v>3924</v>
      </c>
      <c r="E212" s="1" t="s">
        <v>4251</v>
      </c>
      <c r="G212" t="s">
        <v>61</v>
      </c>
    </row>
    <row r="213" spans="1:7" hidden="1" x14ac:dyDescent="0.25">
      <c r="A213" t="s">
        <v>3689</v>
      </c>
      <c r="B213" t="s">
        <v>3925</v>
      </c>
      <c r="C213" s="1" t="s">
        <v>3926</v>
      </c>
      <c r="E213" s="1" t="s">
        <v>4252</v>
      </c>
      <c r="G213" t="s">
        <v>61</v>
      </c>
    </row>
    <row r="214" spans="1:7" hidden="1" x14ac:dyDescent="0.25">
      <c r="A214" t="s">
        <v>3689</v>
      </c>
      <c r="B214" t="s">
        <v>3927</v>
      </c>
      <c r="C214" s="1" t="s">
        <v>3928</v>
      </c>
      <c r="E214" s="1" t="s">
        <v>4253</v>
      </c>
      <c r="G214" t="s">
        <v>61</v>
      </c>
    </row>
    <row r="215" spans="1:7" hidden="1" x14ac:dyDescent="0.25">
      <c r="A215" t="s">
        <v>3689</v>
      </c>
      <c r="B215" t="s">
        <v>3929</v>
      </c>
      <c r="C215" s="1" t="s">
        <v>3930</v>
      </c>
      <c r="E215" s="1" t="s">
        <v>4254</v>
      </c>
      <c r="G215" t="s">
        <v>61</v>
      </c>
    </row>
    <row r="216" spans="1:7" ht="30" hidden="1" x14ac:dyDescent="0.25">
      <c r="A216" t="s">
        <v>3689</v>
      </c>
      <c r="B216" t="s">
        <v>3931</v>
      </c>
      <c r="C216" s="1" t="s">
        <v>3932</v>
      </c>
      <c r="E216" s="1" t="s">
        <v>4255</v>
      </c>
      <c r="G216" t="s">
        <v>61</v>
      </c>
    </row>
    <row r="217" spans="1:7" hidden="1" x14ac:dyDescent="0.25">
      <c r="A217" t="s">
        <v>3689</v>
      </c>
      <c r="B217" t="s">
        <v>3933</v>
      </c>
      <c r="C217" s="1" t="s">
        <v>3934</v>
      </c>
      <c r="E217" s="1" t="s">
        <v>4256</v>
      </c>
      <c r="G217" t="s">
        <v>61</v>
      </c>
    </row>
    <row r="218" spans="1:7" hidden="1" x14ac:dyDescent="0.25">
      <c r="A218" t="s">
        <v>3689</v>
      </c>
      <c r="B218" t="s">
        <v>3935</v>
      </c>
      <c r="C218" s="1" t="s">
        <v>3936</v>
      </c>
      <c r="E218" s="1" t="s">
        <v>4257</v>
      </c>
      <c r="G218" t="s">
        <v>61</v>
      </c>
    </row>
    <row r="219" spans="1:7" hidden="1" x14ac:dyDescent="0.25">
      <c r="A219" t="s">
        <v>3689</v>
      </c>
      <c r="B219" t="s">
        <v>3937</v>
      </c>
      <c r="C219" s="1" t="s">
        <v>3938</v>
      </c>
      <c r="E219" s="1" t="s">
        <v>4253</v>
      </c>
      <c r="G219" t="s">
        <v>61</v>
      </c>
    </row>
    <row r="220" spans="1:7" hidden="1" x14ac:dyDescent="0.25">
      <c r="A220" t="s">
        <v>3689</v>
      </c>
      <c r="B220" t="s">
        <v>3939</v>
      </c>
      <c r="C220" s="1" t="s">
        <v>3940</v>
      </c>
      <c r="E220" s="1" t="s">
        <v>4258</v>
      </c>
      <c r="G220" t="s">
        <v>61</v>
      </c>
    </row>
    <row r="221" spans="1:7" hidden="1" x14ac:dyDescent="0.25">
      <c r="A221" t="s">
        <v>3689</v>
      </c>
      <c r="B221" t="s">
        <v>3941</v>
      </c>
      <c r="C221" s="1" t="s">
        <v>3942</v>
      </c>
      <c r="E221" s="1" t="s">
        <v>4259</v>
      </c>
      <c r="G221" t="s">
        <v>61</v>
      </c>
    </row>
    <row r="222" spans="1:7" hidden="1" x14ac:dyDescent="0.25">
      <c r="A222" t="s">
        <v>3689</v>
      </c>
      <c r="B222" t="s">
        <v>3943</v>
      </c>
      <c r="C222" s="1" t="s">
        <v>3944</v>
      </c>
      <c r="E222" s="1" t="s">
        <v>4253</v>
      </c>
      <c r="G222" t="s">
        <v>61</v>
      </c>
    </row>
    <row r="223" spans="1:7" hidden="1" x14ac:dyDescent="0.25">
      <c r="A223" t="s">
        <v>3689</v>
      </c>
      <c r="B223" t="s">
        <v>3945</v>
      </c>
      <c r="C223" s="1" t="s">
        <v>3946</v>
      </c>
      <c r="E223" s="1" t="s">
        <v>4260</v>
      </c>
      <c r="G223" t="s">
        <v>61</v>
      </c>
    </row>
    <row r="224" spans="1:7" hidden="1" x14ac:dyDescent="0.25">
      <c r="A224" t="s">
        <v>3689</v>
      </c>
      <c r="B224" t="s">
        <v>3947</v>
      </c>
      <c r="C224" s="1" t="s">
        <v>3948</v>
      </c>
      <c r="E224" s="1" t="s">
        <v>4261</v>
      </c>
      <c r="G224" t="s">
        <v>61</v>
      </c>
    </row>
    <row r="225" spans="1:7" hidden="1" x14ac:dyDescent="0.25">
      <c r="A225" t="s">
        <v>3689</v>
      </c>
      <c r="B225" t="s">
        <v>3949</v>
      </c>
      <c r="C225" s="1" t="s">
        <v>3950</v>
      </c>
      <c r="E225" s="1" t="s">
        <v>4262</v>
      </c>
      <c r="G225" t="s">
        <v>61</v>
      </c>
    </row>
    <row r="226" spans="1:7" hidden="1" x14ac:dyDescent="0.25">
      <c r="A226" t="s">
        <v>3689</v>
      </c>
      <c r="B226" t="s">
        <v>3951</v>
      </c>
      <c r="C226" s="1" t="s">
        <v>3946</v>
      </c>
      <c r="E226" s="1" t="s">
        <v>4263</v>
      </c>
      <c r="G226" t="s">
        <v>61</v>
      </c>
    </row>
    <row r="227" spans="1:7" hidden="1" x14ac:dyDescent="0.25">
      <c r="A227" t="s">
        <v>3689</v>
      </c>
      <c r="B227" t="s">
        <v>3952</v>
      </c>
      <c r="C227" s="1" t="s">
        <v>3953</v>
      </c>
      <c r="E227" s="1" t="s">
        <v>4264</v>
      </c>
      <c r="G227" t="s">
        <v>61</v>
      </c>
    </row>
    <row r="228" spans="1:7" hidden="1" x14ac:dyDescent="0.25">
      <c r="A228" t="s">
        <v>3954</v>
      </c>
      <c r="B228" t="s">
        <v>3955</v>
      </c>
      <c r="C228" s="1" t="s">
        <v>3956</v>
      </c>
      <c r="E228" s="1" t="s">
        <v>4265</v>
      </c>
      <c r="G228" t="s">
        <v>61</v>
      </c>
    </row>
    <row r="229" spans="1:7" hidden="1" x14ac:dyDescent="0.25">
      <c r="A229" t="s">
        <v>3689</v>
      </c>
      <c r="B229" t="s">
        <v>3957</v>
      </c>
      <c r="C229" s="1" t="s">
        <v>3958</v>
      </c>
      <c r="E229" s="1" t="s">
        <v>4266</v>
      </c>
      <c r="G229" t="s">
        <v>61</v>
      </c>
    </row>
    <row r="230" spans="1:7" ht="30" hidden="1" x14ac:dyDescent="0.25">
      <c r="A230" t="s">
        <v>3689</v>
      </c>
      <c r="B230" t="s">
        <v>3959</v>
      </c>
      <c r="C230" s="1" t="s">
        <v>3960</v>
      </c>
      <c r="E230" s="1" t="s">
        <v>4267</v>
      </c>
      <c r="G230" t="s">
        <v>61</v>
      </c>
    </row>
    <row r="231" spans="1:7" ht="45" hidden="1" x14ac:dyDescent="0.25">
      <c r="A231" t="s">
        <v>3689</v>
      </c>
      <c r="B231" t="s">
        <v>3961</v>
      </c>
      <c r="C231" s="1" t="s">
        <v>3962</v>
      </c>
      <c r="E231" s="1" t="s">
        <v>4268</v>
      </c>
      <c r="G231" t="s">
        <v>61</v>
      </c>
    </row>
    <row r="232" spans="1:7" hidden="1" x14ac:dyDescent="0.25">
      <c r="A232" t="s">
        <v>3689</v>
      </c>
      <c r="B232" t="s">
        <v>3963</v>
      </c>
      <c r="C232" s="1" t="s">
        <v>3964</v>
      </c>
      <c r="E232" s="1" t="s">
        <v>4269</v>
      </c>
      <c r="G232" t="s">
        <v>61</v>
      </c>
    </row>
    <row r="233" spans="1:7" hidden="1" x14ac:dyDescent="0.25">
      <c r="A233" t="s">
        <v>3689</v>
      </c>
      <c r="B233" t="s">
        <v>3965</v>
      </c>
      <c r="C233" s="1" t="s">
        <v>3966</v>
      </c>
      <c r="E233" s="1" t="s">
        <v>4254</v>
      </c>
      <c r="G233" t="s">
        <v>61</v>
      </c>
    </row>
    <row r="234" spans="1:7" hidden="1" x14ac:dyDescent="0.25">
      <c r="A234" t="s">
        <v>3689</v>
      </c>
      <c r="B234" t="s">
        <v>3967</v>
      </c>
      <c r="C234" s="1" t="s">
        <v>3968</v>
      </c>
      <c r="E234" s="1" t="s">
        <v>4252</v>
      </c>
      <c r="G234" t="s">
        <v>61</v>
      </c>
    </row>
    <row r="235" spans="1:7" hidden="1" x14ac:dyDescent="0.25">
      <c r="A235" t="s">
        <v>3689</v>
      </c>
      <c r="B235" t="s">
        <v>3969</v>
      </c>
      <c r="C235" s="1" t="s">
        <v>3970</v>
      </c>
      <c r="E235" s="1" t="s">
        <v>4254</v>
      </c>
      <c r="G235" t="s">
        <v>61</v>
      </c>
    </row>
    <row r="236" spans="1:7" hidden="1" x14ac:dyDescent="0.25">
      <c r="A236" t="s">
        <v>3689</v>
      </c>
      <c r="B236" t="s">
        <v>3971</v>
      </c>
      <c r="C236" s="1" t="s">
        <v>3972</v>
      </c>
      <c r="E236" s="1" t="s">
        <v>4254</v>
      </c>
      <c r="G236" t="s">
        <v>61</v>
      </c>
    </row>
    <row r="237" spans="1:7" hidden="1" x14ac:dyDescent="0.25">
      <c r="A237" t="s">
        <v>3689</v>
      </c>
      <c r="B237" t="s">
        <v>3973</v>
      </c>
      <c r="C237" s="1" t="s">
        <v>3974</v>
      </c>
      <c r="E237" s="1" t="s">
        <v>4254</v>
      </c>
      <c r="G237" t="s">
        <v>61</v>
      </c>
    </row>
    <row r="238" spans="1:7" hidden="1" x14ac:dyDescent="0.25">
      <c r="A238" t="s">
        <v>3689</v>
      </c>
      <c r="B238" t="s">
        <v>3975</v>
      </c>
      <c r="C238" s="1" t="s">
        <v>3976</v>
      </c>
      <c r="E238" s="1" t="s">
        <v>4270</v>
      </c>
      <c r="G238" t="s">
        <v>61</v>
      </c>
    </row>
    <row r="239" spans="1:7" hidden="1" x14ac:dyDescent="0.25">
      <c r="A239" t="s">
        <v>3689</v>
      </c>
      <c r="B239" t="s">
        <v>3977</v>
      </c>
      <c r="C239" s="1" t="s">
        <v>3978</v>
      </c>
      <c r="E239" s="1" t="s">
        <v>4271</v>
      </c>
      <c r="G239" t="s">
        <v>61</v>
      </c>
    </row>
    <row r="240" spans="1:7" hidden="1" x14ac:dyDescent="0.25">
      <c r="A240" t="s">
        <v>3689</v>
      </c>
      <c r="B240" t="s">
        <v>3979</v>
      </c>
      <c r="C240" s="1" t="s">
        <v>3980</v>
      </c>
      <c r="E240" s="1" t="s">
        <v>4272</v>
      </c>
      <c r="G240" t="s">
        <v>61</v>
      </c>
    </row>
    <row r="241" spans="1:7" hidden="1" x14ac:dyDescent="0.25">
      <c r="A241" t="s">
        <v>3689</v>
      </c>
      <c r="B241" t="s">
        <v>3981</v>
      </c>
      <c r="C241" s="1" t="s">
        <v>3982</v>
      </c>
      <c r="E241" s="1" t="s">
        <v>4270</v>
      </c>
      <c r="G241" t="s">
        <v>61</v>
      </c>
    </row>
    <row r="242" spans="1:7" hidden="1" x14ac:dyDescent="0.25">
      <c r="A242" t="s">
        <v>3689</v>
      </c>
      <c r="B242" t="s">
        <v>3983</v>
      </c>
      <c r="C242" s="1" t="s">
        <v>3982</v>
      </c>
      <c r="E242" s="1" t="s">
        <v>4273</v>
      </c>
      <c r="G242" t="s">
        <v>61</v>
      </c>
    </row>
    <row r="243" spans="1:7" hidden="1" x14ac:dyDescent="0.25">
      <c r="A243" t="s">
        <v>3689</v>
      </c>
      <c r="B243" t="s">
        <v>3984</v>
      </c>
      <c r="C243" s="1" t="s">
        <v>3985</v>
      </c>
      <c r="E243" s="1" t="s">
        <v>4273</v>
      </c>
      <c r="G243" t="s">
        <v>61</v>
      </c>
    </row>
    <row r="244" spans="1:7" hidden="1" x14ac:dyDescent="0.25">
      <c r="A244" t="s">
        <v>3689</v>
      </c>
      <c r="B244" t="s">
        <v>3986</v>
      </c>
      <c r="C244" s="1" t="s">
        <v>3987</v>
      </c>
      <c r="E244" s="1" t="s">
        <v>4274</v>
      </c>
      <c r="G244" t="s">
        <v>61</v>
      </c>
    </row>
    <row r="245" spans="1:7" hidden="1" x14ac:dyDescent="0.25">
      <c r="A245" t="s">
        <v>3689</v>
      </c>
      <c r="B245" t="s">
        <v>3988</v>
      </c>
      <c r="C245" s="1" t="s">
        <v>3989</v>
      </c>
      <c r="E245" s="1" t="s">
        <v>4274</v>
      </c>
      <c r="G245" t="s">
        <v>61</v>
      </c>
    </row>
    <row r="246" spans="1:7" hidden="1" x14ac:dyDescent="0.25">
      <c r="A246" t="s">
        <v>3689</v>
      </c>
      <c r="B246" t="s">
        <v>3990</v>
      </c>
      <c r="C246" s="1" t="s">
        <v>3991</v>
      </c>
      <c r="E246" s="1" t="s">
        <v>4274</v>
      </c>
      <c r="G246" t="s">
        <v>61</v>
      </c>
    </row>
    <row r="247" spans="1:7" hidden="1" x14ac:dyDescent="0.25">
      <c r="A247" t="s">
        <v>3689</v>
      </c>
      <c r="B247" t="s">
        <v>3992</v>
      </c>
      <c r="C247" s="1" t="s">
        <v>3993</v>
      </c>
      <c r="E247" s="1" t="s">
        <v>4275</v>
      </c>
      <c r="G247" t="s">
        <v>61</v>
      </c>
    </row>
    <row r="248" spans="1:7" hidden="1" x14ac:dyDescent="0.25">
      <c r="A248" t="s">
        <v>3689</v>
      </c>
      <c r="B248" t="s">
        <v>3994</v>
      </c>
      <c r="C248" s="1" t="s">
        <v>3995</v>
      </c>
      <c r="E248" s="1" t="s">
        <v>4276</v>
      </c>
      <c r="G248" t="s">
        <v>61</v>
      </c>
    </row>
    <row r="249" spans="1:7" hidden="1" x14ac:dyDescent="0.25">
      <c r="A249" t="s">
        <v>3689</v>
      </c>
      <c r="B249" t="s">
        <v>3996</v>
      </c>
      <c r="C249" s="1" t="s">
        <v>3997</v>
      </c>
      <c r="E249" s="1" t="s">
        <v>4277</v>
      </c>
      <c r="G249" t="s">
        <v>61</v>
      </c>
    </row>
    <row r="250" spans="1:7" hidden="1" x14ac:dyDescent="0.25">
      <c r="A250" t="s">
        <v>3689</v>
      </c>
      <c r="B250" t="s">
        <v>3998</v>
      </c>
      <c r="C250" s="1" t="s">
        <v>3999</v>
      </c>
      <c r="E250" s="1" t="s">
        <v>4278</v>
      </c>
      <c r="G250" t="s">
        <v>61</v>
      </c>
    </row>
    <row r="251" spans="1:7" hidden="1" x14ac:dyDescent="0.25">
      <c r="A251" t="s">
        <v>3689</v>
      </c>
      <c r="B251" t="s">
        <v>4000</v>
      </c>
      <c r="C251" s="1" t="s">
        <v>4001</v>
      </c>
      <c r="E251" s="1" t="s">
        <v>4279</v>
      </c>
      <c r="G251" t="s">
        <v>61</v>
      </c>
    </row>
    <row r="252" spans="1:7" hidden="1" x14ac:dyDescent="0.25">
      <c r="A252" t="s">
        <v>3689</v>
      </c>
      <c r="B252" t="s">
        <v>4002</v>
      </c>
      <c r="C252" s="1" t="s">
        <v>4003</v>
      </c>
      <c r="E252" s="1" t="s">
        <v>4280</v>
      </c>
      <c r="G252" t="s">
        <v>61</v>
      </c>
    </row>
    <row r="253" spans="1:7" hidden="1" x14ac:dyDescent="0.25">
      <c r="A253" t="s">
        <v>3689</v>
      </c>
      <c r="B253" t="s">
        <v>4004</v>
      </c>
      <c r="C253" s="1" t="s">
        <v>4005</v>
      </c>
      <c r="E253" s="1" t="s">
        <v>4281</v>
      </c>
      <c r="G253" t="s">
        <v>61</v>
      </c>
    </row>
    <row r="254" spans="1:7" hidden="1" x14ac:dyDescent="0.25">
      <c r="A254" t="s">
        <v>3689</v>
      </c>
      <c r="B254" t="s">
        <v>4006</v>
      </c>
      <c r="C254" s="1" t="s">
        <v>4007</v>
      </c>
      <c r="E254" s="1" t="s">
        <v>4282</v>
      </c>
      <c r="G254" t="s">
        <v>61</v>
      </c>
    </row>
    <row r="255" spans="1:7" hidden="1" x14ac:dyDescent="0.25">
      <c r="A255" t="s">
        <v>3689</v>
      </c>
      <c r="B255" t="s">
        <v>4008</v>
      </c>
      <c r="C255" s="1" t="s">
        <v>4008</v>
      </c>
      <c r="E255" s="1" t="s">
        <v>4283</v>
      </c>
      <c r="G255" t="s">
        <v>61</v>
      </c>
    </row>
    <row r="256" spans="1:7" hidden="1" x14ac:dyDescent="0.25">
      <c r="A256" t="s">
        <v>3689</v>
      </c>
      <c r="B256" t="s">
        <v>4009</v>
      </c>
      <c r="C256" s="1" t="s">
        <v>4010</v>
      </c>
      <c r="E256" s="1" t="s">
        <v>4284</v>
      </c>
      <c r="G256" t="s">
        <v>61</v>
      </c>
    </row>
    <row r="257" spans="1:7" hidden="1" x14ac:dyDescent="0.25">
      <c r="A257" t="s">
        <v>3689</v>
      </c>
      <c r="B257" t="s">
        <v>4011</v>
      </c>
      <c r="C257" s="1" t="s">
        <v>4012</v>
      </c>
      <c r="E257" s="1" t="s">
        <v>4285</v>
      </c>
      <c r="G257" t="s">
        <v>61</v>
      </c>
    </row>
    <row r="258" spans="1:7" hidden="1" x14ac:dyDescent="0.25">
      <c r="A258" t="s">
        <v>3689</v>
      </c>
      <c r="B258" t="s">
        <v>4013</v>
      </c>
      <c r="C258" s="1" t="s">
        <v>4014</v>
      </c>
      <c r="E258" s="1" t="s">
        <v>4286</v>
      </c>
      <c r="G258" t="s">
        <v>61</v>
      </c>
    </row>
    <row r="259" spans="1:7" hidden="1" x14ac:dyDescent="0.25">
      <c r="A259" t="s">
        <v>3689</v>
      </c>
      <c r="B259" t="s">
        <v>4015</v>
      </c>
      <c r="C259" s="1" t="s">
        <v>4016</v>
      </c>
      <c r="E259" s="1" t="s">
        <v>4287</v>
      </c>
      <c r="G259" t="s">
        <v>61</v>
      </c>
    </row>
    <row r="260" spans="1:7" hidden="1" x14ac:dyDescent="0.25">
      <c r="A260" t="s">
        <v>3689</v>
      </c>
      <c r="B260" t="s">
        <v>4017</v>
      </c>
      <c r="C260" s="1" t="s">
        <v>4018</v>
      </c>
      <c r="E260" s="1" t="s">
        <v>4288</v>
      </c>
      <c r="G260" t="s">
        <v>61</v>
      </c>
    </row>
    <row r="261" spans="1:7" hidden="1" x14ac:dyDescent="0.25">
      <c r="A261" t="s">
        <v>3689</v>
      </c>
      <c r="B261" t="s">
        <v>4019</v>
      </c>
      <c r="C261" s="1" t="s">
        <v>4020</v>
      </c>
      <c r="E261" s="1" t="s">
        <v>4288</v>
      </c>
      <c r="G261" t="s">
        <v>61</v>
      </c>
    </row>
    <row r="262" spans="1:7" hidden="1" x14ac:dyDescent="0.25">
      <c r="A262" t="s">
        <v>3689</v>
      </c>
      <c r="B262" t="s">
        <v>4021</v>
      </c>
      <c r="C262" s="1" t="s">
        <v>4022</v>
      </c>
      <c r="E262" s="1" t="s">
        <v>4289</v>
      </c>
      <c r="G262" t="s">
        <v>61</v>
      </c>
    </row>
    <row r="263" spans="1:7" hidden="1" x14ac:dyDescent="0.25">
      <c r="A263" t="s">
        <v>3689</v>
      </c>
      <c r="B263" t="s">
        <v>4023</v>
      </c>
      <c r="C263" s="1" t="s">
        <v>4024</v>
      </c>
      <c r="E263" s="1" t="s">
        <v>4290</v>
      </c>
      <c r="G263" t="s">
        <v>61</v>
      </c>
    </row>
    <row r="264" spans="1:7" ht="30" hidden="1" x14ac:dyDescent="0.25">
      <c r="A264" t="s">
        <v>4025</v>
      </c>
      <c r="B264" t="s">
        <v>4026</v>
      </c>
      <c r="C264" s="1" t="s">
        <v>4027</v>
      </c>
      <c r="E264" s="1" t="s">
        <v>4192</v>
      </c>
      <c r="G264" t="s">
        <v>61</v>
      </c>
    </row>
    <row r="265" spans="1:7" hidden="1" x14ac:dyDescent="0.25">
      <c r="A265" t="s">
        <v>3689</v>
      </c>
      <c r="B265" t="s">
        <v>4028</v>
      </c>
      <c r="C265" s="1" t="s">
        <v>4029</v>
      </c>
      <c r="E265" s="1" t="s">
        <v>4283</v>
      </c>
      <c r="G265" t="s">
        <v>61</v>
      </c>
    </row>
    <row r="266" spans="1:7" hidden="1" x14ac:dyDescent="0.25">
      <c r="A266" t="s">
        <v>3689</v>
      </c>
      <c r="B266" t="s">
        <v>4030</v>
      </c>
      <c r="C266" s="1" t="s">
        <v>4031</v>
      </c>
      <c r="E266" s="1" t="s">
        <v>4291</v>
      </c>
      <c r="G266" t="s">
        <v>61</v>
      </c>
    </row>
    <row r="267" spans="1:7" ht="30" hidden="1" x14ac:dyDescent="0.25">
      <c r="A267" t="s">
        <v>3689</v>
      </c>
      <c r="B267" t="s">
        <v>4032</v>
      </c>
      <c r="C267" s="1" t="s">
        <v>4033</v>
      </c>
      <c r="E267" s="1" t="s">
        <v>4292</v>
      </c>
      <c r="G267" t="s">
        <v>61</v>
      </c>
    </row>
    <row r="268" spans="1:7" hidden="1" x14ac:dyDescent="0.25">
      <c r="A268" t="s">
        <v>4034</v>
      </c>
      <c r="B268" t="s">
        <v>4035</v>
      </c>
      <c r="C268" s="1" t="s">
        <v>4036</v>
      </c>
      <c r="E268" s="1" t="s">
        <v>4293</v>
      </c>
      <c r="G268" t="s">
        <v>61</v>
      </c>
    </row>
    <row r="269" spans="1:7" hidden="1" x14ac:dyDescent="0.25">
      <c r="A269" t="s">
        <v>4025</v>
      </c>
      <c r="B269" t="s">
        <v>4037</v>
      </c>
      <c r="C269" s="1" t="s">
        <v>4038</v>
      </c>
      <c r="E269" s="1" t="s">
        <v>4286</v>
      </c>
      <c r="G269" t="s">
        <v>61</v>
      </c>
    </row>
    <row r="270" spans="1:7" hidden="1" x14ac:dyDescent="0.25">
      <c r="A270" t="s">
        <v>3689</v>
      </c>
      <c r="B270" t="s">
        <v>4039</v>
      </c>
      <c r="C270" s="1" t="s">
        <v>4040</v>
      </c>
      <c r="E270" s="1" t="s">
        <v>4294</v>
      </c>
      <c r="G270" t="s">
        <v>61</v>
      </c>
    </row>
    <row r="271" spans="1:7" hidden="1" x14ac:dyDescent="0.25">
      <c r="A271" t="s">
        <v>3689</v>
      </c>
      <c r="B271" t="s">
        <v>4041</v>
      </c>
      <c r="C271" s="1" t="s">
        <v>4042</v>
      </c>
      <c r="E271" s="1" t="s">
        <v>4295</v>
      </c>
      <c r="G271" t="s">
        <v>61</v>
      </c>
    </row>
    <row r="272" spans="1:7" hidden="1" x14ac:dyDescent="0.25">
      <c r="A272" t="s">
        <v>3689</v>
      </c>
      <c r="B272" t="s">
        <v>4043</v>
      </c>
      <c r="C272" s="1" t="s">
        <v>4044</v>
      </c>
      <c r="E272" s="1" t="s">
        <v>4296</v>
      </c>
      <c r="G272" t="s">
        <v>61</v>
      </c>
    </row>
    <row r="273" spans="1:7" hidden="1" x14ac:dyDescent="0.25">
      <c r="A273" t="s">
        <v>3689</v>
      </c>
      <c r="B273" t="s">
        <v>4045</v>
      </c>
      <c r="C273" s="1" t="s">
        <v>4046</v>
      </c>
      <c r="E273" s="1" t="s">
        <v>4295</v>
      </c>
      <c r="G273" t="s">
        <v>61</v>
      </c>
    </row>
    <row r="274" spans="1:7" hidden="1" x14ac:dyDescent="0.25">
      <c r="A274" t="s">
        <v>3689</v>
      </c>
      <c r="B274" t="s">
        <v>4047</v>
      </c>
      <c r="C274" s="1" t="s">
        <v>4046</v>
      </c>
      <c r="E274" s="1" t="s">
        <v>4294</v>
      </c>
      <c r="G274" t="s">
        <v>61</v>
      </c>
    </row>
    <row r="275" spans="1:7" hidden="1" x14ac:dyDescent="0.25">
      <c r="A275" t="s">
        <v>3689</v>
      </c>
      <c r="B275" t="s">
        <v>4048</v>
      </c>
      <c r="C275" s="1" t="s">
        <v>4049</v>
      </c>
      <c r="E275" s="1" t="s">
        <v>4295</v>
      </c>
      <c r="G275" t="s">
        <v>61</v>
      </c>
    </row>
    <row r="276" spans="1:7" hidden="1" x14ac:dyDescent="0.25">
      <c r="A276" t="s">
        <v>3689</v>
      </c>
      <c r="B276" t="s">
        <v>4050</v>
      </c>
      <c r="C276" s="1" t="s">
        <v>4051</v>
      </c>
      <c r="E276" s="1" t="s">
        <v>4288</v>
      </c>
      <c r="G276" t="s">
        <v>61</v>
      </c>
    </row>
    <row r="277" spans="1:7" hidden="1" x14ac:dyDescent="0.25">
      <c r="A277" t="s">
        <v>3689</v>
      </c>
      <c r="B277" t="s">
        <v>4052</v>
      </c>
      <c r="C277" s="1" t="s">
        <v>4053</v>
      </c>
      <c r="E277" s="1" t="s">
        <v>4297</v>
      </c>
      <c r="G277" t="s">
        <v>61</v>
      </c>
    </row>
    <row r="278" spans="1:7" hidden="1" x14ac:dyDescent="0.25">
      <c r="A278" t="s">
        <v>3689</v>
      </c>
      <c r="B278" t="s">
        <v>4054</v>
      </c>
      <c r="C278" s="1" t="s">
        <v>4055</v>
      </c>
      <c r="E278" s="1" t="s">
        <v>4294</v>
      </c>
      <c r="G278" t="s">
        <v>61</v>
      </c>
    </row>
    <row r="279" spans="1:7" hidden="1" x14ac:dyDescent="0.25">
      <c r="A279" t="s">
        <v>3689</v>
      </c>
      <c r="B279" t="s">
        <v>4056</v>
      </c>
      <c r="C279" s="1" t="s">
        <v>4057</v>
      </c>
      <c r="E279" s="1" t="s">
        <v>4298</v>
      </c>
      <c r="G279" t="s">
        <v>61</v>
      </c>
    </row>
    <row r="280" spans="1:7" hidden="1" x14ac:dyDescent="0.25">
      <c r="A280" t="s">
        <v>3689</v>
      </c>
      <c r="B280" t="s">
        <v>4058</v>
      </c>
      <c r="C280" s="1" t="s">
        <v>4059</v>
      </c>
      <c r="E280" s="1" t="s">
        <v>4299</v>
      </c>
      <c r="G280" t="s">
        <v>61</v>
      </c>
    </row>
    <row r="281" spans="1:7" hidden="1" x14ac:dyDescent="0.25">
      <c r="A281" t="s">
        <v>3689</v>
      </c>
      <c r="B281" t="s">
        <v>4060</v>
      </c>
      <c r="C281" s="1" t="s">
        <v>4061</v>
      </c>
      <c r="E281" s="1" t="s">
        <v>4300</v>
      </c>
      <c r="G281" t="s">
        <v>61</v>
      </c>
    </row>
    <row r="282" spans="1:7" hidden="1" x14ac:dyDescent="0.25">
      <c r="A282" t="s">
        <v>3689</v>
      </c>
      <c r="B282" t="s">
        <v>4062</v>
      </c>
      <c r="C282" s="1" t="s">
        <v>4063</v>
      </c>
      <c r="E282" s="1" t="s">
        <v>3692</v>
      </c>
      <c r="G282" t="s">
        <v>61</v>
      </c>
    </row>
    <row r="283" spans="1:7" hidden="1" x14ac:dyDescent="0.25">
      <c r="A283" t="s">
        <v>3689</v>
      </c>
      <c r="B283" t="s">
        <v>4064</v>
      </c>
      <c r="C283" s="1" t="s">
        <v>4063</v>
      </c>
      <c r="E283" s="1" t="s">
        <v>4295</v>
      </c>
      <c r="G283" t="s">
        <v>61</v>
      </c>
    </row>
    <row r="284" spans="1:7" hidden="1" x14ac:dyDescent="0.25">
      <c r="A284" t="s">
        <v>3689</v>
      </c>
      <c r="B284" t="s">
        <v>4065</v>
      </c>
      <c r="C284" s="1" t="s">
        <v>4066</v>
      </c>
      <c r="E284" s="1" t="s">
        <v>4295</v>
      </c>
      <c r="G284" t="s">
        <v>61</v>
      </c>
    </row>
    <row r="285" spans="1:7" hidden="1" x14ac:dyDescent="0.25">
      <c r="A285" t="s">
        <v>3689</v>
      </c>
      <c r="B285" t="s">
        <v>4067</v>
      </c>
      <c r="C285" s="1" t="s">
        <v>4068</v>
      </c>
      <c r="E285" s="1" t="s">
        <v>4296</v>
      </c>
      <c r="G285" t="s">
        <v>61</v>
      </c>
    </row>
    <row r="286" spans="1:7" hidden="1" x14ac:dyDescent="0.25">
      <c r="A286" t="s">
        <v>3689</v>
      </c>
      <c r="B286" t="s">
        <v>4069</v>
      </c>
      <c r="C286" s="1" t="s">
        <v>4070</v>
      </c>
      <c r="E286" s="1" t="s">
        <v>4301</v>
      </c>
      <c r="G286" t="s">
        <v>61</v>
      </c>
    </row>
    <row r="287" spans="1:7" hidden="1" x14ac:dyDescent="0.25">
      <c r="A287" t="s">
        <v>3689</v>
      </c>
      <c r="B287" t="s">
        <v>4071</v>
      </c>
      <c r="C287" s="1" t="s">
        <v>4072</v>
      </c>
      <c r="E287" s="1" t="s">
        <v>4302</v>
      </c>
      <c r="G287" t="s">
        <v>61</v>
      </c>
    </row>
    <row r="288" spans="1:7" hidden="1" x14ac:dyDescent="0.25">
      <c r="A288" t="s">
        <v>3689</v>
      </c>
      <c r="B288" t="s">
        <v>4073</v>
      </c>
      <c r="C288" s="1" t="s">
        <v>4074</v>
      </c>
      <c r="E288" s="1" t="s">
        <v>4303</v>
      </c>
      <c r="G288" t="s">
        <v>61</v>
      </c>
    </row>
    <row r="289" spans="1:7" hidden="1" x14ac:dyDescent="0.25">
      <c r="A289" t="s">
        <v>3689</v>
      </c>
      <c r="B289" t="s">
        <v>4075</v>
      </c>
      <c r="C289" s="1" t="s">
        <v>4076</v>
      </c>
      <c r="E289" s="1" t="s">
        <v>4304</v>
      </c>
      <c r="G289" t="s">
        <v>61</v>
      </c>
    </row>
    <row r="290" spans="1:7" hidden="1" x14ac:dyDescent="0.25">
      <c r="A290" t="s">
        <v>3689</v>
      </c>
      <c r="B290" t="s">
        <v>4077</v>
      </c>
      <c r="C290" s="1" t="s">
        <v>4078</v>
      </c>
      <c r="E290" s="1" t="s">
        <v>4303</v>
      </c>
      <c r="G290" t="s">
        <v>61</v>
      </c>
    </row>
    <row r="291" spans="1:7" hidden="1" x14ac:dyDescent="0.25">
      <c r="A291" t="s">
        <v>3689</v>
      </c>
      <c r="B291" t="s">
        <v>4079</v>
      </c>
      <c r="C291" s="1" t="s">
        <v>4080</v>
      </c>
      <c r="E291" s="1" t="s">
        <v>4305</v>
      </c>
      <c r="G291" t="s">
        <v>61</v>
      </c>
    </row>
    <row r="292" spans="1:7" hidden="1" x14ac:dyDescent="0.25">
      <c r="A292" t="s">
        <v>3689</v>
      </c>
      <c r="B292" t="s">
        <v>4081</v>
      </c>
      <c r="C292" s="1" t="s">
        <v>4082</v>
      </c>
      <c r="E292" s="1" t="s">
        <v>4306</v>
      </c>
      <c r="G292" t="s">
        <v>61</v>
      </c>
    </row>
    <row r="293" spans="1:7" hidden="1" x14ac:dyDescent="0.25">
      <c r="A293" t="s">
        <v>3689</v>
      </c>
      <c r="B293" t="s">
        <v>4083</v>
      </c>
      <c r="C293" s="1" t="s">
        <v>4084</v>
      </c>
      <c r="E293" s="1" t="s">
        <v>4307</v>
      </c>
      <c r="G293" t="s">
        <v>61</v>
      </c>
    </row>
    <row r="294" spans="1:7" ht="30" hidden="1" x14ac:dyDescent="0.25">
      <c r="A294" t="s">
        <v>3689</v>
      </c>
      <c r="B294" t="s">
        <v>4085</v>
      </c>
      <c r="C294" s="1" t="s">
        <v>4086</v>
      </c>
      <c r="E294" s="1" t="s">
        <v>4306</v>
      </c>
      <c r="G294" t="s">
        <v>61</v>
      </c>
    </row>
    <row r="295" spans="1:7" hidden="1" x14ac:dyDescent="0.25">
      <c r="A295" t="s">
        <v>3689</v>
      </c>
      <c r="B295" t="s">
        <v>4087</v>
      </c>
      <c r="C295" s="1" t="s">
        <v>4088</v>
      </c>
      <c r="E295" s="1" t="s">
        <v>4308</v>
      </c>
      <c r="G295" t="s">
        <v>61</v>
      </c>
    </row>
    <row r="296" spans="1:7" hidden="1" x14ac:dyDescent="0.25">
      <c r="A296" t="s">
        <v>3689</v>
      </c>
      <c r="B296" t="s">
        <v>4089</v>
      </c>
      <c r="C296" s="1" t="s">
        <v>4088</v>
      </c>
      <c r="E296" s="1" t="s">
        <v>4309</v>
      </c>
      <c r="G296" t="s">
        <v>61</v>
      </c>
    </row>
    <row r="297" spans="1:7" hidden="1" x14ac:dyDescent="0.25">
      <c r="A297" t="s">
        <v>3689</v>
      </c>
      <c r="B297" t="s">
        <v>4090</v>
      </c>
      <c r="C297" s="1" t="s">
        <v>4091</v>
      </c>
      <c r="E297" s="1" t="s">
        <v>4307</v>
      </c>
      <c r="G297" t="s">
        <v>61</v>
      </c>
    </row>
    <row r="298" spans="1:7" hidden="1" x14ac:dyDescent="0.25">
      <c r="A298" t="s">
        <v>3689</v>
      </c>
      <c r="B298" t="s">
        <v>4092</v>
      </c>
      <c r="C298" s="1" t="s">
        <v>4093</v>
      </c>
      <c r="E298" s="1" t="s">
        <v>4310</v>
      </c>
      <c r="G298" t="s">
        <v>61</v>
      </c>
    </row>
    <row r="299" spans="1:7" hidden="1" x14ac:dyDescent="0.25">
      <c r="A299" t="s">
        <v>3689</v>
      </c>
      <c r="B299" t="s">
        <v>4094</v>
      </c>
      <c r="C299" s="1" t="s">
        <v>4095</v>
      </c>
      <c r="E299" s="1" t="s">
        <v>4311</v>
      </c>
      <c r="G299" t="s">
        <v>61</v>
      </c>
    </row>
    <row r="300" spans="1:7" hidden="1" x14ac:dyDescent="0.25">
      <c r="A300" t="s">
        <v>3689</v>
      </c>
      <c r="B300" t="s">
        <v>4096</v>
      </c>
      <c r="C300" s="1" t="s">
        <v>4097</v>
      </c>
      <c r="E300" s="1" t="s">
        <v>4312</v>
      </c>
      <c r="G300" t="s">
        <v>61</v>
      </c>
    </row>
    <row r="301" spans="1:7" hidden="1" x14ac:dyDescent="0.25">
      <c r="A301" t="s">
        <v>3689</v>
      </c>
      <c r="B301" t="s">
        <v>4098</v>
      </c>
      <c r="C301" s="1" t="s">
        <v>4099</v>
      </c>
      <c r="E301" s="1" t="s">
        <v>4310</v>
      </c>
      <c r="G301" t="s">
        <v>61</v>
      </c>
    </row>
    <row r="302" spans="1:7" hidden="1" x14ac:dyDescent="0.25">
      <c r="A302" t="s">
        <v>3689</v>
      </c>
      <c r="B302" t="s">
        <v>4100</v>
      </c>
      <c r="C302" s="1" t="s">
        <v>4101</v>
      </c>
      <c r="E302" s="1" t="s">
        <v>4311</v>
      </c>
      <c r="G302" t="s">
        <v>61</v>
      </c>
    </row>
    <row r="303" spans="1:7" hidden="1" x14ac:dyDescent="0.25">
      <c r="A303" t="s">
        <v>3689</v>
      </c>
      <c r="B303" t="s">
        <v>4102</v>
      </c>
      <c r="C303" s="1" t="s">
        <v>4103</v>
      </c>
      <c r="E303" s="1" t="s">
        <v>4313</v>
      </c>
      <c r="G303" t="s">
        <v>61</v>
      </c>
    </row>
    <row r="304" spans="1:7" hidden="1" x14ac:dyDescent="0.25">
      <c r="A304" t="s">
        <v>3689</v>
      </c>
      <c r="B304" t="s">
        <v>4104</v>
      </c>
      <c r="C304" s="1" t="s">
        <v>4105</v>
      </c>
      <c r="E304" s="1" t="s">
        <v>4310</v>
      </c>
      <c r="G304" t="s">
        <v>61</v>
      </c>
    </row>
    <row r="305" spans="1:7" hidden="1" x14ac:dyDescent="0.25">
      <c r="A305" t="s">
        <v>3689</v>
      </c>
      <c r="B305" t="s">
        <v>4106</v>
      </c>
      <c r="C305" s="1" t="s">
        <v>4107</v>
      </c>
      <c r="E305" s="1" t="s">
        <v>4312</v>
      </c>
      <c r="G305" t="s">
        <v>61</v>
      </c>
    </row>
    <row r="306" spans="1:7" hidden="1" x14ac:dyDescent="0.25">
      <c r="A306" t="s">
        <v>3689</v>
      </c>
      <c r="B306" t="s">
        <v>4108</v>
      </c>
      <c r="C306" s="1" t="s">
        <v>4109</v>
      </c>
      <c r="E306" s="1" t="s">
        <v>4314</v>
      </c>
      <c r="G306" t="s">
        <v>61</v>
      </c>
    </row>
    <row r="307" spans="1:7" hidden="1" x14ac:dyDescent="0.25">
      <c r="A307" t="s">
        <v>3689</v>
      </c>
      <c r="B307" t="s">
        <v>4110</v>
      </c>
      <c r="C307" s="1" t="s">
        <v>4111</v>
      </c>
      <c r="E307" s="1" t="s">
        <v>4315</v>
      </c>
      <c r="G307" t="s">
        <v>61</v>
      </c>
    </row>
    <row r="308" spans="1:7" hidden="1" x14ac:dyDescent="0.25">
      <c r="A308" t="s">
        <v>3689</v>
      </c>
      <c r="B308" t="s">
        <v>4112</v>
      </c>
      <c r="C308" s="1" t="s">
        <v>4113</v>
      </c>
      <c r="E308" s="1" t="s">
        <v>4313</v>
      </c>
      <c r="G308" t="s">
        <v>61</v>
      </c>
    </row>
    <row r="309" spans="1:7" hidden="1" x14ac:dyDescent="0.25">
      <c r="A309" t="s">
        <v>3689</v>
      </c>
      <c r="B309" t="s">
        <v>4114</v>
      </c>
      <c r="C309" s="1" t="s">
        <v>4115</v>
      </c>
      <c r="E309" s="1" t="s">
        <v>4313</v>
      </c>
      <c r="G309" t="s">
        <v>61</v>
      </c>
    </row>
    <row r="310" spans="1:7" hidden="1" x14ac:dyDescent="0.25">
      <c r="A310" t="s">
        <v>3689</v>
      </c>
      <c r="B310" t="s">
        <v>4116</v>
      </c>
      <c r="C310" s="1" t="s">
        <v>4117</v>
      </c>
      <c r="E310" s="1" t="s">
        <v>4311</v>
      </c>
      <c r="G310" t="s">
        <v>61</v>
      </c>
    </row>
    <row r="311" spans="1:7" hidden="1" x14ac:dyDescent="0.25">
      <c r="A311" t="s">
        <v>3689</v>
      </c>
      <c r="B311" t="s">
        <v>4118</v>
      </c>
      <c r="C311" s="1" t="s">
        <v>4119</v>
      </c>
      <c r="E311" s="1" t="s">
        <v>4313</v>
      </c>
      <c r="G311" t="s">
        <v>61</v>
      </c>
    </row>
    <row r="312" spans="1:7" hidden="1" x14ac:dyDescent="0.25">
      <c r="A312" t="s">
        <v>3689</v>
      </c>
      <c r="B312" t="s">
        <v>4120</v>
      </c>
      <c r="C312" s="1" t="s">
        <v>4121</v>
      </c>
      <c r="E312" s="1" t="s">
        <v>4313</v>
      </c>
      <c r="G312" t="s">
        <v>61</v>
      </c>
    </row>
    <row r="313" spans="1:7" hidden="1" x14ac:dyDescent="0.25">
      <c r="A313" t="s">
        <v>3689</v>
      </c>
      <c r="B313" t="s">
        <v>4122</v>
      </c>
      <c r="C313" s="1" t="s">
        <v>4123</v>
      </c>
      <c r="E313" s="1" t="s">
        <v>4316</v>
      </c>
      <c r="G313" t="s">
        <v>61</v>
      </c>
    </row>
    <row r="314" spans="1:7" hidden="1" x14ac:dyDescent="0.25">
      <c r="A314" t="s">
        <v>3689</v>
      </c>
      <c r="B314" t="s">
        <v>4124</v>
      </c>
      <c r="C314" s="1" t="s">
        <v>4125</v>
      </c>
      <c r="E314" s="1" t="s">
        <v>4247</v>
      </c>
      <c r="G314" t="s">
        <v>61</v>
      </c>
    </row>
    <row r="315" spans="1:7" hidden="1" x14ac:dyDescent="0.25">
      <c r="A315" t="s">
        <v>3689</v>
      </c>
      <c r="B315" t="s">
        <v>4126</v>
      </c>
      <c r="C315" s="1" t="s">
        <v>4127</v>
      </c>
      <c r="E315" s="1" t="s">
        <v>4199</v>
      </c>
      <c r="G315" t="s">
        <v>61</v>
      </c>
    </row>
    <row r="316" spans="1:7" hidden="1" x14ac:dyDescent="0.25">
      <c r="A316" t="s">
        <v>3689</v>
      </c>
      <c r="B316" t="s">
        <v>4128</v>
      </c>
      <c r="C316" s="1" t="s">
        <v>4129</v>
      </c>
      <c r="E316" s="1" t="s">
        <v>4247</v>
      </c>
      <c r="G316" t="s">
        <v>61</v>
      </c>
    </row>
    <row r="317" spans="1:7" hidden="1" x14ac:dyDescent="0.25">
      <c r="A317" t="s">
        <v>3689</v>
      </c>
      <c r="B317" t="s">
        <v>4130</v>
      </c>
      <c r="C317" s="1" t="s">
        <v>4131</v>
      </c>
      <c r="E317" s="1" t="s">
        <v>4246</v>
      </c>
      <c r="G317" t="s">
        <v>61</v>
      </c>
    </row>
    <row r="318" spans="1:7" hidden="1" x14ac:dyDescent="0.25">
      <c r="A318" t="s">
        <v>3689</v>
      </c>
      <c r="B318" t="s">
        <v>4132</v>
      </c>
      <c r="C318" s="1" t="s">
        <v>4133</v>
      </c>
      <c r="E318" s="1" t="s">
        <v>4317</v>
      </c>
      <c r="G318" t="s">
        <v>61</v>
      </c>
    </row>
    <row r="319" spans="1:7" hidden="1" x14ac:dyDescent="0.25">
      <c r="A319" t="s">
        <v>3689</v>
      </c>
      <c r="B319" t="s">
        <v>4134</v>
      </c>
      <c r="C319" s="1" t="s">
        <v>4135</v>
      </c>
      <c r="E319" s="1" t="s">
        <v>4250</v>
      </c>
      <c r="G319" t="s">
        <v>61</v>
      </c>
    </row>
    <row r="320" spans="1:7" hidden="1" x14ac:dyDescent="0.25">
      <c r="A320" t="s">
        <v>3689</v>
      </c>
      <c r="B320" t="s">
        <v>4136</v>
      </c>
      <c r="C320" s="1" t="s">
        <v>4137</v>
      </c>
      <c r="E320" s="1" t="s">
        <v>4247</v>
      </c>
      <c r="G320" t="s">
        <v>61</v>
      </c>
    </row>
    <row r="321" spans="1:7" hidden="1" x14ac:dyDescent="0.25">
      <c r="A321" t="s">
        <v>3689</v>
      </c>
      <c r="B321" t="s">
        <v>4138</v>
      </c>
      <c r="C321" s="1" t="s">
        <v>4139</v>
      </c>
      <c r="E321" s="1" t="s">
        <v>4250</v>
      </c>
      <c r="G321" t="s">
        <v>61</v>
      </c>
    </row>
    <row r="322" spans="1:7" hidden="1" x14ac:dyDescent="0.25">
      <c r="A322" t="s">
        <v>3689</v>
      </c>
      <c r="B322" t="s">
        <v>4140</v>
      </c>
      <c r="C322" s="1" t="s">
        <v>4139</v>
      </c>
      <c r="E322" s="1" t="s">
        <v>4318</v>
      </c>
      <c r="G322" t="s">
        <v>61</v>
      </c>
    </row>
    <row r="323" spans="1:7" ht="30" hidden="1" x14ac:dyDescent="0.25">
      <c r="A323" t="s">
        <v>3689</v>
      </c>
      <c r="B323" t="s">
        <v>4141</v>
      </c>
      <c r="C323" s="1" t="s">
        <v>4141</v>
      </c>
      <c r="E323" s="1" t="s">
        <v>4192</v>
      </c>
      <c r="G323" t="s">
        <v>61</v>
      </c>
    </row>
    <row r="324" spans="1:7" hidden="1" x14ac:dyDescent="0.25">
      <c r="A324" t="s">
        <v>3689</v>
      </c>
      <c r="B324" t="s">
        <v>4142</v>
      </c>
      <c r="C324" s="1" t="s">
        <v>4143</v>
      </c>
      <c r="E324" s="1" t="s">
        <v>4247</v>
      </c>
      <c r="G324" t="s">
        <v>61</v>
      </c>
    </row>
    <row r="325" spans="1:7" hidden="1" x14ac:dyDescent="0.25">
      <c r="A325" t="s">
        <v>3689</v>
      </c>
      <c r="B325" t="s">
        <v>4144</v>
      </c>
      <c r="C325" s="1" t="s">
        <v>4145</v>
      </c>
      <c r="E325" s="1" t="s">
        <v>4310</v>
      </c>
      <c r="G325" t="s">
        <v>61</v>
      </c>
    </row>
    <row r="326" spans="1:7" hidden="1" x14ac:dyDescent="0.25">
      <c r="A326" t="s">
        <v>3689</v>
      </c>
      <c r="B326" t="s">
        <v>4146</v>
      </c>
      <c r="C326" s="1" t="s">
        <v>4143</v>
      </c>
      <c r="E326" s="1" t="s">
        <v>4316</v>
      </c>
      <c r="G326" t="s">
        <v>61</v>
      </c>
    </row>
    <row r="327" spans="1:7" hidden="1" x14ac:dyDescent="0.25">
      <c r="A327" t="s">
        <v>3689</v>
      </c>
      <c r="B327" t="s">
        <v>3892</v>
      </c>
      <c r="C327" s="1" t="s">
        <v>3893</v>
      </c>
      <c r="E327" s="1" t="s">
        <v>4241</v>
      </c>
      <c r="G327" t="s">
        <v>61</v>
      </c>
    </row>
    <row r="328" spans="1:7" hidden="1" x14ac:dyDescent="0.25">
      <c r="A328" t="s">
        <v>3689</v>
      </c>
      <c r="B328" t="s">
        <v>3894</v>
      </c>
      <c r="C328" s="1" t="s">
        <v>3895</v>
      </c>
      <c r="E328" s="1" t="s">
        <v>4242</v>
      </c>
      <c r="G328" t="s">
        <v>61</v>
      </c>
    </row>
    <row r="329" spans="1:7" hidden="1" x14ac:dyDescent="0.25">
      <c r="A329" t="s">
        <v>3689</v>
      </c>
      <c r="B329" t="s">
        <v>3896</v>
      </c>
      <c r="C329" s="1" t="s">
        <v>3897</v>
      </c>
      <c r="E329" s="1" t="s">
        <v>4243</v>
      </c>
      <c r="G329" t="s">
        <v>61</v>
      </c>
    </row>
    <row r="330" spans="1:7" hidden="1" x14ac:dyDescent="0.25">
      <c r="A330" t="s">
        <v>3689</v>
      </c>
      <c r="B330" t="s">
        <v>3898</v>
      </c>
      <c r="C330" s="1" t="s">
        <v>3899</v>
      </c>
      <c r="E330" s="1" t="s">
        <v>4244</v>
      </c>
      <c r="G330" t="s">
        <v>61</v>
      </c>
    </row>
    <row r="331" spans="1:7" hidden="1" x14ac:dyDescent="0.25">
      <c r="A331" t="s">
        <v>3689</v>
      </c>
      <c r="B331" t="s">
        <v>3900</v>
      </c>
      <c r="C331" s="1" t="s">
        <v>3901</v>
      </c>
      <c r="E331" s="1" t="s">
        <v>4199</v>
      </c>
      <c r="G331" t="s">
        <v>61</v>
      </c>
    </row>
    <row r="332" spans="1:7" hidden="1" x14ac:dyDescent="0.25">
      <c r="A332" t="s">
        <v>3689</v>
      </c>
      <c r="B332" t="s">
        <v>3902</v>
      </c>
      <c r="C332" s="1" t="s">
        <v>3903</v>
      </c>
      <c r="E332" s="1" t="s">
        <v>4199</v>
      </c>
      <c r="G332" t="s">
        <v>61</v>
      </c>
    </row>
    <row r="333" spans="1:7" hidden="1" x14ac:dyDescent="0.25">
      <c r="A333" t="s">
        <v>3689</v>
      </c>
      <c r="B333" t="s">
        <v>3904</v>
      </c>
      <c r="C333" s="1" t="s">
        <v>3905</v>
      </c>
      <c r="E333" s="1" t="s">
        <v>4245</v>
      </c>
      <c r="G333" t="s">
        <v>61</v>
      </c>
    </row>
    <row r="334" spans="1:7" hidden="1" x14ac:dyDescent="0.25">
      <c r="A334" t="s">
        <v>3689</v>
      </c>
      <c r="B334" t="s">
        <v>3906</v>
      </c>
      <c r="C334" s="1" t="s">
        <v>3907</v>
      </c>
      <c r="E334" s="1" t="s">
        <v>4242</v>
      </c>
      <c r="G334" t="s">
        <v>61</v>
      </c>
    </row>
    <row r="335" spans="1:7" hidden="1" x14ac:dyDescent="0.25">
      <c r="A335" t="s">
        <v>3689</v>
      </c>
      <c r="B335" t="s">
        <v>3908</v>
      </c>
      <c r="C335" s="1" t="s">
        <v>3909</v>
      </c>
      <c r="E335" s="1" t="s">
        <v>4246</v>
      </c>
      <c r="G335" t="s">
        <v>61</v>
      </c>
    </row>
    <row r="336" spans="1:7" hidden="1" x14ac:dyDescent="0.25">
      <c r="A336" t="s">
        <v>3689</v>
      </c>
      <c r="B336" t="s">
        <v>3910</v>
      </c>
      <c r="C336" s="1" t="s">
        <v>3911</v>
      </c>
      <c r="E336" s="1" t="s">
        <v>4247</v>
      </c>
      <c r="G336" t="s">
        <v>61</v>
      </c>
    </row>
    <row r="337" spans="1:7" hidden="1" x14ac:dyDescent="0.25">
      <c r="A337" t="s">
        <v>3689</v>
      </c>
      <c r="B337" t="s">
        <v>3912</v>
      </c>
      <c r="C337" s="1" t="s">
        <v>3913</v>
      </c>
      <c r="E337" s="1" t="s">
        <v>4248</v>
      </c>
      <c r="G337" t="s">
        <v>61</v>
      </c>
    </row>
    <row r="338" spans="1:7" hidden="1" x14ac:dyDescent="0.25">
      <c r="A338" t="s">
        <v>3689</v>
      </c>
      <c r="B338" t="s">
        <v>3914</v>
      </c>
      <c r="C338" s="1" t="s">
        <v>3915</v>
      </c>
      <c r="E338" s="1" t="s">
        <v>4249</v>
      </c>
      <c r="G338" t="s">
        <v>61</v>
      </c>
    </row>
    <row r="339" spans="1:7" ht="30" hidden="1" x14ac:dyDescent="0.25">
      <c r="A339" t="s">
        <v>3689</v>
      </c>
      <c r="B339" t="s">
        <v>3916</v>
      </c>
      <c r="C339" s="1" t="s">
        <v>1039</v>
      </c>
      <c r="E339" s="1" t="s">
        <v>4192</v>
      </c>
      <c r="G339" t="s">
        <v>61</v>
      </c>
    </row>
    <row r="340" spans="1:7" hidden="1" x14ac:dyDescent="0.25">
      <c r="A340" t="s">
        <v>3689</v>
      </c>
      <c r="B340" t="s">
        <v>3917</v>
      </c>
      <c r="C340" s="1" t="s">
        <v>3918</v>
      </c>
      <c r="E340" s="1" t="s">
        <v>4250</v>
      </c>
      <c r="G340" t="s">
        <v>61</v>
      </c>
    </row>
    <row r="341" spans="1:7" hidden="1" x14ac:dyDescent="0.25">
      <c r="A341" t="s">
        <v>3689</v>
      </c>
      <c r="B341" t="s">
        <v>3919</v>
      </c>
      <c r="C341" s="1" t="s">
        <v>3920</v>
      </c>
      <c r="E341" s="1" t="s">
        <v>4199</v>
      </c>
      <c r="G341" t="s">
        <v>61</v>
      </c>
    </row>
    <row r="342" spans="1:7" hidden="1" x14ac:dyDescent="0.25">
      <c r="A342" t="s">
        <v>3689</v>
      </c>
      <c r="B342" t="s">
        <v>3921</v>
      </c>
      <c r="C342" s="1" t="s">
        <v>3922</v>
      </c>
      <c r="E342" s="1" t="s">
        <v>4247</v>
      </c>
      <c r="G342" t="s">
        <v>61</v>
      </c>
    </row>
    <row r="343" spans="1:7" hidden="1" x14ac:dyDescent="0.25">
      <c r="A343" t="s">
        <v>3689</v>
      </c>
      <c r="B343" t="s">
        <v>4147</v>
      </c>
      <c r="C343" s="1" t="s">
        <v>4148</v>
      </c>
      <c r="E343" s="1" t="s">
        <v>4319</v>
      </c>
      <c r="G343" t="s">
        <v>61</v>
      </c>
    </row>
    <row r="344" spans="1:7" hidden="1" x14ac:dyDescent="0.25">
      <c r="A344" t="s">
        <v>3689</v>
      </c>
      <c r="B344" t="s">
        <v>4149</v>
      </c>
      <c r="C344" s="1" t="s">
        <v>4150</v>
      </c>
      <c r="E344" s="1" t="s">
        <v>4320</v>
      </c>
      <c r="G344" t="s">
        <v>61</v>
      </c>
    </row>
    <row r="345" spans="1:7" hidden="1" x14ac:dyDescent="0.25">
      <c r="A345" t="s">
        <v>3689</v>
      </c>
      <c r="B345" t="s">
        <v>4151</v>
      </c>
      <c r="C345" s="1" t="s">
        <v>4152</v>
      </c>
      <c r="E345" s="1" t="s">
        <v>4195</v>
      </c>
      <c r="G345" t="s">
        <v>61</v>
      </c>
    </row>
    <row r="346" spans="1:7" hidden="1" x14ac:dyDescent="0.25">
      <c r="A346" t="s">
        <v>3689</v>
      </c>
      <c r="B346" t="s">
        <v>4153</v>
      </c>
      <c r="C346" s="1" t="s">
        <v>4154</v>
      </c>
      <c r="E346" s="1" t="s">
        <v>4248</v>
      </c>
      <c r="G346" t="s">
        <v>61</v>
      </c>
    </row>
    <row r="347" spans="1:7" ht="30" hidden="1" x14ac:dyDescent="0.25">
      <c r="A347" t="s">
        <v>3689</v>
      </c>
      <c r="B347" t="s">
        <v>4155</v>
      </c>
      <c r="C347" s="1" t="s">
        <v>4156</v>
      </c>
      <c r="E347" s="1" t="s">
        <v>4321</v>
      </c>
      <c r="G347" t="s">
        <v>61</v>
      </c>
    </row>
    <row r="348" spans="1:7" hidden="1" x14ac:dyDescent="0.25">
      <c r="A348" t="s">
        <v>3689</v>
      </c>
      <c r="B348" t="s">
        <v>4157</v>
      </c>
      <c r="C348" s="1" t="s">
        <v>4158</v>
      </c>
      <c r="E348" s="1" t="s">
        <v>4322</v>
      </c>
      <c r="G348" t="s">
        <v>61</v>
      </c>
    </row>
    <row r="349" spans="1:7" hidden="1" x14ac:dyDescent="0.25">
      <c r="A349" t="s">
        <v>3689</v>
      </c>
      <c r="B349" t="s">
        <v>4159</v>
      </c>
      <c r="C349" s="1" t="s">
        <v>4160</v>
      </c>
      <c r="E349" s="1" t="s">
        <v>4322</v>
      </c>
      <c r="G349" t="s">
        <v>61</v>
      </c>
    </row>
    <row r="350" spans="1:7" hidden="1" x14ac:dyDescent="0.25">
      <c r="A350" t="s">
        <v>3689</v>
      </c>
      <c r="B350" t="s">
        <v>4161</v>
      </c>
      <c r="C350" s="1" t="s">
        <v>4162</v>
      </c>
      <c r="E350" s="1" t="s">
        <v>4323</v>
      </c>
      <c r="G350" t="s">
        <v>61</v>
      </c>
    </row>
    <row r="351" spans="1:7" hidden="1" x14ac:dyDescent="0.25">
      <c r="A351" t="s">
        <v>3689</v>
      </c>
      <c r="B351" t="s">
        <v>4163</v>
      </c>
      <c r="C351" s="1" t="s">
        <v>4164</v>
      </c>
      <c r="E351" s="1" t="s">
        <v>4242</v>
      </c>
      <c r="G351" t="s">
        <v>61</v>
      </c>
    </row>
    <row r="352" spans="1:7" hidden="1" x14ac:dyDescent="0.25">
      <c r="A352" t="s">
        <v>3689</v>
      </c>
      <c r="B352" t="s">
        <v>4165</v>
      </c>
      <c r="C352" s="1" t="s">
        <v>4166</v>
      </c>
      <c r="E352" s="1" t="s">
        <v>4319</v>
      </c>
      <c r="G352" t="s">
        <v>61</v>
      </c>
    </row>
    <row r="353" spans="1:7" hidden="1" x14ac:dyDescent="0.25">
      <c r="A353" t="s">
        <v>3689</v>
      </c>
      <c r="B353" t="s">
        <v>4167</v>
      </c>
      <c r="C353" s="1" t="s">
        <v>4168</v>
      </c>
      <c r="E353" s="1" t="s">
        <v>4324</v>
      </c>
      <c r="G353" t="s">
        <v>61</v>
      </c>
    </row>
    <row r="354" spans="1:7" hidden="1" x14ac:dyDescent="0.25">
      <c r="A354" t="s">
        <v>3689</v>
      </c>
      <c r="B354" t="s">
        <v>4169</v>
      </c>
      <c r="C354" s="1" t="s">
        <v>4170</v>
      </c>
      <c r="E354" s="1" t="s">
        <v>4323</v>
      </c>
      <c r="G354" t="s">
        <v>61</v>
      </c>
    </row>
    <row r="355" spans="1:7" hidden="1" x14ac:dyDescent="0.25">
      <c r="A355" t="s">
        <v>3689</v>
      </c>
      <c r="B355" t="s">
        <v>4171</v>
      </c>
      <c r="C355" s="1" t="s">
        <v>4172</v>
      </c>
      <c r="E355" s="1" t="s">
        <v>4325</v>
      </c>
      <c r="G355" t="s">
        <v>61</v>
      </c>
    </row>
    <row r="356" spans="1:7" hidden="1" x14ac:dyDescent="0.25">
      <c r="A356" t="s">
        <v>3689</v>
      </c>
      <c r="B356" t="s">
        <v>4173</v>
      </c>
      <c r="C356" s="1" t="s">
        <v>4174</v>
      </c>
      <c r="E356" s="1" t="s">
        <v>4326</v>
      </c>
      <c r="G356" t="s">
        <v>61</v>
      </c>
    </row>
    <row r="357" spans="1:7" hidden="1" x14ac:dyDescent="0.25">
      <c r="A357" t="s">
        <v>3689</v>
      </c>
      <c r="B357" t="s">
        <v>4175</v>
      </c>
      <c r="C357" s="1" t="s">
        <v>4176</v>
      </c>
      <c r="E357" s="1" t="s">
        <v>4241</v>
      </c>
      <c r="G357" t="s">
        <v>61</v>
      </c>
    </row>
    <row r="358" spans="1:7" hidden="1" x14ac:dyDescent="0.25">
      <c r="A358" t="s">
        <v>3689</v>
      </c>
      <c r="B358" t="s">
        <v>4177</v>
      </c>
      <c r="C358" s="1" t="s">
        <v>4178</v>
      </c>
      <c r="E358" s="1" t="s">
        <v>4322</v>
      </c>
      <c r="G358" t="s">
        <v>61</v>
      </c>
    </row>
    <row r="359" spans="1:7" hidden="1" x14ac:dyDescent="0.25">
      <c r="A359" t="s">
        <v>3689</v>
      </c>
      <c r="B359" t="s">
        <v>4179</v>
      </c>
      <c r="C359" s="1" t="s">
        <v>4178</v>
      </c>
      <c r="E359" s="1" t="s">
        <v>4242</v>
      </c>
      <c r="G359" t="s">
        <v>61</v>
      </c>
    </row>
    <row r="360" spans="1:7" hidden="1" x14ac:dyDescent="0.25">
      <c r="A360" t="s">
        <v>3689</v>
      </c>
      <c r="B360" t="s">
        <v>4180</v>
      </c>
      <c r="C360" s="1" t="s">
        <v>4181</v>
      </c>
      <c r="E360" s="1" t="s">
        <v>4275</v>
      </c>
      <c r="G360" t="s">
        <v>61</v>
      </c>
    </row>
    <row r="361" spans="1:7" hidden="1" x14ac:dyDescent="0.25">
      <c r="A361" t="s">
        <v>3689</v>
      </c>
      <c r="B361" t="s">
        <v>4182</v>
      </c>
      <c r="C361" s="1" t="s">
        <v>4183</v>
      </c>
      <c r="E361" s="1" t="s">
        <v>4275</v>
      </c>
      <c r="G361" t="s">
        <v>61</v>
      </c>
    </row>
    <row r="362" spans="1:7" hidden="1" x14ac:dyDescent="0.25">
      <c r="A362" t="s">
        <v>3689</v>
      </c>
      <c r="B362" t="s">
        <v>4184</v>
      </c>
      <c r="C362" s="1" t="s">
        <v>4185</v>
      </c>
      <c r="E362" s="1" t="s">
        <v>4276</v>
      </c>
      <c r="G362" t="s">
        <v>61</v>
      </c>
    </row>
    <row r="363" spans="1:7" hidden="1" x14ac:dyDescent="0.25">
      <c r="A363" t="s">
        <v>3689</v>
      </c>
      <c r="B363" t="s">
        <v>4186</v>
      </c>
      <c r="C363" s="1" t="s">
        <v>4187</v>
      </c>
      <c r="E363" s="1" t="s">
        <v>4275</v>
      </c>
      <c r="G363" t="s">
        <v>61</v>
      </c>
    </row>
    <row r="364" spans="1:7" hidden="1" x14ac:dyDescent="0.25">
      <c r="A364" t="s">
        <v>3689</v>
      </c>
      <c r="B364" t="s">
        <v>4188</v>
      </c>
      <c r="C364" s="1" t="s">
        <v>4189</v>
      </c>
      <c r="E364" s="1" t="s">
        <v>4327</v>
      </c>
      <c r="G364" t="s">
        <v>61</v>
      </c>
    </row>
    <row r="365" spans="1:7" hidden="1" x14ac:dyDescent="0.25">
      <c r="A365" t="s">
        <v>3689</v>
      </c>
      <c r="B365" t="s">
        <v>4190</v>
      </c>
      <c r="C365" s="1" t="s">
        <v>4191</v>
      </c>
      <c r="E365" s="1" t="s">
        <v>4327</v>
      </c>
      <c r="G365" t="s">
        <v>61</v>
      </c>
    </row>
  </sheetData>
  <autoFilter ref="A1:H365" xr:uid="{BB89DC83-5445-4B5A-BB41-6982F9EC15F7}">
    <filterColumn colId="6">
      <filters>
        <filter val="Operational"/>
        <filter val="Registered GSE"/>
      </filters>
    </filterColumn>
    <filterColumn colId="7">
      <filters blank="1">
        <filter val="no"/>
      </filters>
    </filterColumn>
  </autoFilter>
  <hyperlinks>
    <hyperlink ref="F2" r:id="rId1" xr:uid="{D4825EE1-8B85-435F-95E3-C8171627ED8E}"/>
    <hyperlink ref="F5" r:id="rId2" xr:uid="{AB786703-9D00-4444-B5F4-435C31A580EC}"/>
    <hyperlink ref="F9" r:id="rId3" xr:uid="{7E284A40-DF5D-4612-9A9C-29024F857F25}"/>
    <hyperlink ref="F16" r:id="rId4" xr:uid="{A8A1476D-C23B-4D6B-A6C6-324F730440B8}"/>
    <hyperlink ref="F29" r:id="rId5" xr:uid="{26AD7392-FB0B-40A1-AD92-7820C88C70D5}"/>
    <hyperlink ref="F46" r:id="rId6" xr:uid="{4576DB4A-79F0-47D9-860E-8FA565D2B066}"/>
    <hyperlink ref="F89" r:id="rId7" xr:uid="{00000000-0004-0000-0000-000000000000}"/>
    <hyperlink ref="F90" r:id="rId8" xr:uid="{00000000-0004-0000-0000-000001000000}"/>
    <hyperlink ref="F92" r:id="rId9" xr:uid="{00000000-0004-0000-0000-000002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55340-4055-4DF1-9E4C-BF14682A9749}">
  <sheetPr codeName="Sheet5"/>
  <dimension ref="A1:E2"/>
  <sheetViews>
    <sheetView workbookViewId="0">
      <selection activeCell="A4" sqref="A4"/>
    </sheetView>
  </sheetViews>
  <sheetFormatPr defaultRowHeight="15" x14ac:dyDescent="0.25"/>
  <cols>
    <col min="1" max="1" width="30.5703125" customWidth="1"/>
    <col min="2" max="2" width="14.5703125" customWidth="1"/>
    <col min="3" max="3" width="35.7109375" customWidth="1"/>
    <col min="4" max="4" width="35.5703125" customWidth="1"/>
    <col min="5" max="5" width="54.7109375" customWidth="1"/>
  </cols>
  <sheetData>
    <row r="1" spans="1:5" x14ac:dyDescent="0.25">
      <c r="A1" t="s">
        <v>0</v>
      </c>
      <c r="B1" t="s">
        <v>6</v>
      </c>
      <c r="C1" t="s">
        <v>1</v>
      </c>
      <c r="D1" t="s">
        <v>2</v>
      </c>
      <c r="E1" t="s">
        <v>3</v>
      </c>
    </row>
    <row r="2" spans="1:5" ht="48" customHeight="1" x14ac:dyDescent="0.25">
      <c r="A2" s="1" t="s">
        <v>5</v>
      </c>
      <c r="B2" t="s">
        <v>7</v>
      </c>
      <c r="C2" s="1" t="s">
        <v>8</v>
      </c>
      <c r="D2" s="1" t="s">
        <v>9</v>
      </c>
      <c r="E2" s="1" t="s">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F19CC-F8E5-426F-85C9-552E1A48A2EA}">
  <sheetPr codeName="Sheet6"/>
  <dimension ref="A1:F45"/>
  <sheetViews>
    <sheetView zoomScaleNormal="100" workbookViewId="0">
      <selection activeCell="A6" sqref="A6"/>
    </sheetView>
  </sheetViews>
  <sheetFormatPr defaultRowHeight="15" x14ac:dyDescent="0.25"/>
  <cols>
    <col min="1" max="1" width="34.42578125" customWidth="1"/>
    <col min="2" max="2" width="11.7109375" customWidth="1"/>
    <col min="3" max="3" width="11" bestFit="1" customWidth="1"/>
    <col min="4" max="4" width="14.7109375" customWidth="1"/>
    <col min="5" max="7" width="11" bestFit="1" customWidth="1"/>
  </cols>
  <sheetData>
    <row r="1" spans="1:6" ht="51.75" x14ac:dyDescent="0.25">
      <c r="A1" t="s">
        <v>26</v>
      </c>
      <c r="B1" s="18">
        <v>5000</v>
      </c>
      <c r="C1" s="18"/>
      <c r="D1" s="2" t="s">
        <v>41</v>
      </c>
      <c r="E1" s="18">
        <v>70</v>
      </c>
    </row>
    <row r="2" spans="1:6" ht="53.25" customHeight="1" x14ac:dyDescent="0.25">
      <c r="A2" t="s">
        <v>25</v>
      </c>
      <c r="B2" s="18">
        <v>2000</v>
      </c>
      <c r="C2" s="18"/>
      <c r="D2" s="2" t="s">
        <v>42</v>
      </c>
      <c r="E2" s="18">
        <v>35</v>
      </c>
    </row>
    <row r="3" spans="1:6" ht="49.5" customHeight="1" x14ac:dyDescent="0.25">
      <c r="A3" t="s">
        <v>36</v>
      </c>
      <c r="B3" s="18">
        <v>3500000000</v>
      </c>
      <c r="C3" s="18"/>
      <c r="D3" s="2" t="s">
        <v>43</v>
      </c>
      <c r="E3" s="18">
        <v>45</v>
      </c>
    </row>
    <row r="4" spans="1:6" x14ac:dyDescent="0.25">
      <c r="A4" t="s">
        <v>35</v>
      </c>
      <c r="B4" s="18">
        <v>175000000</v>
      </c>
      <c r="C4" s="18"/>
      <c r="D4" s="2" t="s">
        <v>18</v>
      </c>
      <c r="E4" s="18">
        <v>8</v>
      </c>
    </row>
    <row r="5" spans="1:6" x14ac:dyDescent="0.25">
      <c r="A5" t="s">
        <v>37</v>
      </c>
      <c r="B5" s="18">
        <v>2200000000</v>
      </c>
      <c r="C5" s="18"/>
      <c r="D5" s="18"/>
      <c r="E5" s="18"/>
    </row>
    <row r="6" spans="1:6" ht="30" x14ac:dyDescent="0.25">
      <c r="A6" s="1" t="s">
        <v>39</v>
      </c>
      <c r="B6" s="18">
        <v>210000</v>
      </c>
      <c r="C6" s="18"/>
      <c r="D6" s="18"/>
      <c r="E6" s="18"/>
    </row>
    <row r="7" spans="1:6" ht="30" x14ac:dyDescent="0.25">
      <c r="A7" s="1" t="s">
        <v>40</v>
      </c>
      <c r="B7" s="18">
        <v>85000</v>
      </c>
      <c r="C7" s="18"/>
      <c r="D7" s="18"/>
      <c r="E7" s="18"/>
    </row>
    <row r="8" spans="1:6" ht="15.75" thickBot="1" x14ac:dyDescent="0.3"/>
    <row r="9" spans="1:6" x14ac:dyDescent="0.25">
      <c r="A9" s="11"/>
      <c r="B9" s="4" t="s">
        <v>11</v>
      </c>
      <c r="C9" s="13"/>
      <c r="D9" s="13"/>
      <c r="E9" s="13"/>
      <c r="F9" s="5"/>
    </row>
    <row r="10" spans="1:6" ht="15.75" thickBot="1" x14ac:dyDescent="0.3">
      <c r="A10" s="11"/>
      <c r="B10" s="14">
        <v>3</v>
      </c>
      <c r="C10" s="15">
        <v>20</v>
      </c>
      <c r="D10" s="15">
        <v>200</v>
      </c>
      <c r="E10" s="15">
        <v>600</v>
      </c>
      <c r="F10" s="6">
        <v>1000</v>
      </c>
    </row>
    <row r="11" spans="1:6" x14ac:dyDescent="0.25">
      <c r="A11" s="3" t="s">
        <v>16</v>
      </c>
      <c r="B11" s="12">
        <v>1500</v>
      </c>
      <c r="C11" s="12">
        <v>1500</v>
      </c>
      <c r="D11" s="12">
        <v>1200</v>
      </c>
      <c r="E11" s="12">
        <v>1100</v>
      </c>
      <c r="F11" s="12">
        <v>1050</v>
      </c>
    </row>
    <row r="12" spans="1:6" x14ac:dyDescent="0.25">
      <c r="A12" s="3" t="s">
        <v>17</v>
      </c>
      <c r="B12" s="3">
        <v>25</v>
      </c>
      <c r="C12" s="3">
        <v>30</v>
      </c>
      <c r="D12" s="3">
        <v>40</v>
      </c>
      <c r="E12" s="3">
        <v>45</v>
      </c>
      <c r="F12" s="3">
        <v>50</v>
      </c>
    </row>
    <row r="13" spans="1:6" x14ac:dyDescent="0.25">
      <c r="A13" s="3" t="s">
        <v>19</v>
      </c>
      <c r="B13" s="3">
        <v>35</v>
      </c>
      <c r="C13" s="3">
        <v>45</v>
      </c>
      <c r="D13" s="3">
        <v>45</v>
      </c>
      <c r="E13" s="3">
        <v>45</v>
      </c>
      <c r="F13" s="3">
        <v>45</v>
      </c>
    </row>
    <row r="14" spans="1:6" x14ac:dyDescent="0.25">
      <c r="A14" s="3" t="s">
        <v>18</v>
      </c>
      <c r="B14" s="3">
        <v>8</v>
      </c>
      <c r="C14" s="3">
        <v>8</v>
      </c>
      <c r="D14" s="3">
        <v>8</v>
      </c>
      <c r="E14" s="3">
        <v>8</v>
      </c>
      <c r="F14" s="3">
        <v>8</v>
      </c>
    </row>
    <row r="15" spans="1:6" x14ac:dyDescent="0.25">
      <c r="A15" s="3" t="s">
        <v>21</v>
      </c>
      <c r="B15" s="3">
        <v>-2600</v>
      </c>
      <c r="C15" s="3">
        <v>-18800</v>
      </c>
      <c r="D15" s="3">
        <v>-157000</v>
      </c>
      <c r="E15" s="3">
        <v>-438000</v>
      </c>
      <c r="F15" s="3">
        <v>-700600</v>
      </c>
    </row>
    <row r="17" spans="1:6" x14ac:dyDescent="0.25">
      <c r="A17" t="s">
        <v>23</v>
      </c>
      <c r="B17">
        <f>B11*B10</f>
        <v>4500</v>
      </c>
      <c r="C17">
        <f>C11*C10</f>
        <v>30000</v>
      </c>
      <c r="D17">
        <f>D11*D10</f>
        <v>240000</v>
      </c>
      <c r="E17">
        <f>E11*E10</f>
        <v>660000</v>
      </c>
      <c r="F17">
        <f>F11*F10</f>
        <v>1050000</v>
      </c>
    </row>
    <row r="18" spans="1:6" x14ac:dyDescent="0.25">
      <c r="A18" t="s">
        <v>33</v>
      </c>
      <c r="B18">
        <f>(B11+B12)*B10</f>
        <v>4575</v>
      </c>
      <c r="C18">
        <f>(C11+C12)*C10</f>
        <v>30600</v>
      </c>
      <c r="D18">
        <f>(D11+D12)*D10</f>
        <v>248000</v>
      </c>
      <c r="E18">
        <f>(E11+E12)*E10</f>
        <v>687000</v>
      </c>
      <c r="F18">
        <f>(F11+F12)*F10</f>
        <v>1100000</v>
      </c>
    </row>
    <row r="19" spans="1:6" x14ac:dyDescent="0.25">
      <c r="A19" t="s">
        <v>24</v>
      </c>
      <c r="B19">
        <f>AVERAGE(B17:F17)</f>
        <v>396900</v>
      </c>
    </row>
    <row r="20" spans="1:6" ht="15.75" thickBot="1" x14ac:dyDescent="0.3">
      <c r="A20" t="s">
        <v>34</v>
      </c>
      <c r="B20">
        <f>(AVERAGE(B18:F18))</f>
        <v>414035</v>
      </c>
    </row>
    <row r="21" spans="1:6" x14ac:dyDescent="0.25">
      <c r="A21" s="4"/>
      <c r="B21" s="13" t="s">
        <v>11</v>
      </c>
      <c r="C21" s="13"/>
      <c r="D21" s="13"/>
      <c r="E21" s="13"/>
      <c r="F21" s="5"/>
    </row>
    <row r="22" spans="1:6" x14ac:dyDescent="0.25">
      <c r="A22" s="16" t="s">
        <v>10</v>
      </c>
      <c r="B22" s="3">
        <v>3</v>
      </c>
      <c r="C22" s="3">
        <v>20</v>
      </c>
      <c r="D22" s="3">
        <v>200</v>
      </c>
      <c r="E22" s="3">
        <v>600</v>
      </c>
      <c r="F22" s="17">
        <v>1000</v>
      </c>
    </row>
    <row r="23" spans="1:6" x14ac:dyDescent="0.25">
      <c r="A23" s="16" t="s">
        <v>12</v>
      </c>
      <c r="B23" s="3">
        <v>52</v>
      </c>
      <c r="C23" s="3">
        <v>64</v>
      </c>
      <c r="D23" s="3">
        <v>78</v>
      </c>
      <c r="E23" s="3">
        <v>80</v>
      </c>
      <c r="F23" s="17">
        <v>78</v>
      </c>
    </row>
    <row r="24" spans="1:6" x14ac:dyDescent="0.25">
      <c r="A24" s="16" t="s">
        <v>20</v>
      </c>
      <c r="B24" s="3">
        <v>96</v>
      </c>
      <c r="C24" s="3">
        <v>96</v>
      </c>
      <c r="D24" s="3">
        <v>100</v>
      </c>
      <c r="E24" s="3">
        <v>100</v>
      </c>
      <c r="F24" s="17">
        <v>100</v>
      </c>
    </row>
    <row r="25" spans="1:6" ht="15.75" thickBot="1" x14ac:dyDescent="0.3">
      <c r="A25" s="19" t="s">
        <v>13</v>
      </c>
      <c r="B25" s="20">
        <f>B24-B23</f>
        <v>44</v>
      </c>
      <c r="C25" s="20">
        <f>C24-C23</f>
        <v>32</v>
      </c>
      <c r="D25" s="20">
        <f>D24-D23</f>
        <v>22</v>
      </c>
      <c r="E25" s="20">
        <f>E24-E23</f>
        <v>20</v>
      </c>
      <c r="F25" s="21">
        <f>F24-F23</f>
        <v>22</v>
      </c>
    </row>
    <row r="26" spans="1:6" x14ac:dyDescent="0.25">
      <c r="A26" s="4" t="s">
        <v>22</v>
      </c>
      <c r="B26" s="13"/>
      <c r="C26" s="13"/>
      <c r="D26" s="13"/>
      <c r="E26" s="13"/>
      <c r="F26" s="5"/>
    </row>
    <row r="27" spans="1:6" x14ac:dyDescent="0.25">
      <c r="A27" s="16" t="s">
        <v>14</v>
      </c>
      <c r="B27" s="3">
        <f>B15*(B23/100)</f>
        <v>-1352</v>
      </c>
      <c r="C27" s="3">
        <f>C15*(C23/100)</f>
        <v>-12032</v>
      </c>
      <c r="D27" s="3">
        <f>D15*(D23/100)</f>
        <v>-122460</v>
      </c>
      <c r="E27" s="3">
        <f>E15*(E23/100)</f>
        <v>-350400</v>
      </c>
      <c r="F27" s="17">
        <f>F15*(F23/100)</f>
        <v>-546468</v>
      </c>
    </row>
    <row r="28" spans="1:6" ht="15.75" thickBot="1" x14ac:dyDescent="0.3">
      <c r="A28" s="14" t="s">
        <v>15</v>
      </c>
      <c r="B28" s="15">
        <f>B15*(B25/100)</f>
        <v>-1144</v>
      </c>
      <c r="C28" s="15">
        <f>C15*(C25/100)</f>
        <v>-6016</v>
      </c>
      <c r="D28" s="15">
        <f>D15*(D25/100)</f>
        <v>-34540</v>
      </c>
      <c r="E28" s="15">
        <f>E15*(E25/100)</f>
        <v>-87600</v>
      </c>
      <c r="F28" s="6">
        <f>F15*(F25/100)</f>
        <v>-154132</v>
      </c>
    </row>
    <row r="30" spans="1:6" x14ac:dyDescent="0.25">
      <c r="B30" t="s">
        <v>11</v>
      </c>
    </row>
    <row r="31" spans="1:6" ht="15.75" thickBot="1" x14ac:dyDescent="0.3">
      <c r="B31">
        <v>3</v>
      </c>
      <c r="C31">
        <v>20</v>
      </c>
      <c r="D31">
        <v>200</v>
      </c>
      <c r="E31">
        <v>600</v>
      </c>
      <c r="F31">
        <v>1000</v>
      </c>
    </row>
    <row r="32" spans="1:6" ht="15.75" thickBot="1" x14ac:dyDescent="0.3">
      <c r="B32" s="22">
        <v>0.25</v>
      </c>
      <c r="C32" s="23">
        <v>0.25</v>
      </c>
      <c r="D32" s="24">
        <v>0.16700000000000001</v>
      </c>
      <c r="E32" s="24">
        <v>0.16700000000000001</v>
      </c>
      <c r="F32" s="25">
        <v>0.16700000000000001</v>
      </c>
    </row>
    <row r="33" spans="1:6" x14ac:dyDescent="0.25">
      <c r="B33">
        <v>0.25</v>
      </c>
      <c r="C33">
        <v>0.25</v>
      </c>
      <c r="D33">
        <v>0.16700000000000001</v>
      </c>
      <c r="E33">
        <v>0.16700000000000001</v>
      </c>
      <c r="F33">
        <v>0.16700000000000001</v>
      </c>
    </row>
    <row r="34" spans="1:6" x14ac:dyDescent="0.25">
      <c r="A34" t="s">
        <v>27</v>
      </c>
      <c r="B34">
        <f>$B$1*B33</f>
        <v>1250</v>
      </c>
      <c r="C34">
        <f>$B$1*C33</f>
        <v>1250</v>
      </c>
      <c r="D34">
        <f>$B$1*D33</f>
        <v>835</v>
      </c>
      <c r="E34">
        <f>$B$1*E33</f>
        <v>835</v>
      </c>
      <c r="F34">
        <f>$B$1*F33</f>
        <v>835</v>
      </c>
    </row>
    <row r="35" spans="1:6" ht="30" x14ac:dyDescent="0.25">
      <c r="A35" s="1" t="s">
        <v>29</v>
      </c>
      <c r="B35">
        <f>$B$7*B33</f>
        <v>21250</v>
      </c>
      <c r="C35">
        <f>$B$7*C33</f>
        <v>21250</v>
      </c>
      <c r="D35">
        <f>$B$7*D33</f>
        <v>14195</v>
      </c>
      <c r="E35">
        <f>$B$7*E33</f>
        <v>14195</v>
      </c>
      <c r="F35">
        <f>$B$7*F33</f>
        <v>14195</v>
      </c>
    </row>
    <row r="38" spans="1:6" x14ac:dyDescent="0.25">
      <c r="B38" t="s">
        <v>28</v>
      </c>
    </row>
    <row r="39" spans="1:6" x14ac:dyDescent="0.25">
      <c r="B39">
        <f>$B$5/B28</f>
        <v>-1923076.923076923</v>
      </c>
      <c r="C39">
        <f>$B$5/C28</f>
        <v>-365691.48936170212</v>
      </c>
      <c r="D39">
        <f>$B$5/D28</f>
        <v>-63694.267515923566</v>
      </c>
      <c r="E39">
        <f>$B$5/E28</f>
        <v>-25114.155251141554</v>
      </c>
      <c r="F39">
        <f>$B$5/F28</f>
        <v>-14273.479874393377</v>
      </c>
    </row>
    <row r="42" spans="1:6" x14ac:dyDescent="0.25">
      <c r="A42" t="s">
        <v>30</v>
      </c>
      <c r="B42">
        <f>B35*B17</f>
        <v>95625000</v>
      </c>
      <c r="C42">
        <f>C35*C17</f>
        <v>637500000</v>
      </c>
      <c r="D42">
        <f>D35*D17</f>
        <v>3406800000</v>
      </c>
      <c r="E42">
        <f>E35*E17</f>
        <v>9368700000</v>
      </c>
      <c r="F42">
        <f>F35*F17</f>
        <v>14904750000</v>
      </c>
    </row>
    <row r="43" spans="1:6" ht="15.75" thickBot="1" x14ac:dyDescent="0.3">
      <c r="A43" t="s">
        <v>31</v>
      </c>
      <c r="B43">
        <f>B42*(1+B25)</f>
        <v>4303125000</v>
      </c>
      <c r="C43">
        <f>C42*(1+C25)</f>
        <v>21037500000</v>
      </c>
      <c r="D43">
        <f>D42*(1+D25)</f>
        <v>78356400000</v>
      </c>
      <c r="E43">
        <f>E42*(1+E25)</f>
        <v>196742700000</v>
      </c>
      <c r="F43">
        <f>F42*(1+F25)</f>
        <v>342809250000</v>
      </c>
    </row>
    <row r="44" spans="1:6" x14ac:dyDescent="0.25">
      <c r="A44" s="7" t="s">
        <v>32</v>
      </c>
      <c r="B44" s="8">
        <f>B5/B19</f>
        <v>5542.957923910305</v>
      </c>
    </row>
    <row r="45" spans="1:6" ht="30.75" thickBot="1" x14ac:dyDescent="0.3">
      <c r="A45" s="9" t="s">
        <v>38</v>
      </c>
      <c r="B45" s="10">
        <f>B3/B20</f>
        <v>8453.3916214812762</v>
      </c>
    </row>
  </sheetData>
  <pageMargins left="0.7" right="0.7" top="0.75" bottom="0.75" header="0.3" footer="0.3"/>
  <pageSetup paperSize="9" orientation="landscape"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C74E5-31E9-492A-85CD-7FF589FC500C}">
  <sheetPr codeName="Sheet7"/>
  <dimension ref="A1:X17"/>
  <sheetViews>
    <sheetView topLeftCell="A13" workbookViewId="0">
      <selection activeCell="B5" sqref="B5"/>
    </sheetView>
  </sheetViews>
  <sheetFormatPr defaultRowHeight="15" x14ac:dyDescent="0.25"/>
  <sheetData>
    <row r="1" spans="1:24" s="38" customFormat="1" ht="33.75" customHeight="1" x14ac:dyDescent="0.2">
      <c r="A1" s="33" t="s">
        <v>44</v>
      </c>
      <c r="B1" s="33" t="s">
        <v>45</v>
      </c>
      <c r="C1" s="34" t="s">
        <v>355</v>
      </c>
      <c r="D1" s="35" t="s">
        <v>457</v>
      </c>
      <c r="E1" s="35" t="s">
        <v>418</v>
      </c>
      <c r="F1" s="34" t="s">
        <v>550</v>
      </c>
      <c r="G1" s="35" t="s">
        <v>68</v>
      </c>
      <c r="H1" s="33" t="s">
        <v>172</v>
      </c>
      <c r="I1" s="35" t="s">
        <v>419</v>
      </c>
      <c r="J1" s="36" t="s">
        <v>127</v>
      </c>
      <c r="K1" s="36" t="s">
        <v>420</v>
      </c>
      <c r="L1" s="36" t="s">
        <v>421</v>
      </c>
      <c r="M1" s="36" t="s">
        <v>511</v>
      </c>
      <c r="N1" s="36" t="s">
        <v>422</v>
      </c>
      <c r="O1" s="37" t="s">
        <v>502</v>
      </c>
      <c r="P1" s="35" t="s">
        <v>48</v>
      </c>
      <c r="Q1" s="35" t="s">
        <v>293</v>
      </c>
      <c r="R1" s="35" t="s">
        <v>296</v>
      </c>
      <c r="S1" s="35" t="s">
        <v>46</v>
      </c>
      <c r="T1" s="35" t="s">
        <v>47</v>
      </c>
      <c r="U1" s="35" t="s">
        <v>50</v>
      </c>
      <c r="V1" s="33" t="s">
        <v>82</v>
      </c>
      <c r="W1" s="33" t="s">
        <v>49</v>
      </c>
      <c r="X1" s="35" t="s">
        <v>349</v>
      </c>
    </row>
    <row r="2" spans="1:24" ht="77.25" x14ac:dyDescent="0.25">
      <c r="A2" s="2" t="s">
        <v>171</v>
      </c>
      <c r="B2" s="2" t="s">
        <v>170</v>
      </c>
      <c r="C2" s="1"/>
      <c r="D2" s="2">
        <v>1</v>
      </c>
      <c r="E2" s="2">
        <v>31</v>
      </c>
      <c r="F2" s="1"/>
      <c r="G2" s="2" t="s">
        <v>173</v>
      </c>
      <c r="H2" s="2">
        <v>19.32</v>
      </c>
      <c r="I2" s="2">
        <v>25</v>
      </c>
      <c r="J2" s="2" t="s">
        <v>194</v>
      </c>
      <c r="K2" s="1"/>
      <c r="L2" s="1"/>
      <c r="M2" s="1"/>
      <c r="N2" s="1"/>
      <c r="P2" s="2" t="s">
        <v>192</v>
      </c>
      <c r="Q2" s="2" t="s">
        <v>169</v>
      </c>
      <c r="R2" s="2" t="s">
        <v>168</v>
      </c>
      <c r="S2" s="2" t="s">
        <v>197</v>
      </c>
      <c r="T2" s="2"/>
      <c r="U2" s="2"/>
      <c r="V2" s="2" t="s">
        <v>167</v>
      </c>
      <c r="W2" s="2" t="s">
        <v>208</v>
      </c>
      <c r="X2" s="2" t="s">
        <v>193</v>
      </c>
    </row>
    <row r="3" spans="1:24" ht="77.25" x14ac:dyDescent="0.25">
      <c r="A3" s="2" t="s">
        <v>174</v>
      </c>
      <c r="B3" s="2" t="s">
        <v>175</v>
      </c>
      <c r="C3" s="1"/>
      <c r="D3" s="2">
        <v>1</v>
      </c>
      <c r="E3" s="2">
        <v>40</v>
      </c>
      <c r="F3" s="1"/>
      <c r="G3" s="2" t="s">
        <v>176</v>
      </c>
      <c r="H3" s="2">
        <v>22.08</v>
      </c>
      <c r="I3" s="2">
        <v>20</v>
      </c>
      <c r="J3" s="2" t="s">
        <v>194</v>
      </c>
      <c r="K3" s="1"/>
      <c r="L3" s="1"/>
      <c r="M3" s="1"/>
      <c r="N3" s="1"/>
      <c r="P3" s="2" t="s">
        <v>192</v>
      </c>
      <c r="Q3" s="2" t="s">
        <v>169</v>
      </c>
      <c r="R3" s="2" t="s">
        <v>168</v>
      </c>
      <c r="S3" s="2" t="s">
        <v>197</v>
      </c>
      <c r="T3" s="2"/>
      <c r="U3" s="2"/>
      <c r="V3" s="2" t="s">
        <v>167</v>
      </c>
      <c r="W3" s="2" t="s">
        <v>208</v>
      </c>
      <c r="X3" s="2" t="s">
        <v>193</v>
      </c>
    </row>
    <row r="4" spans="1:24" ht="77.25" x14ac:dyDescent="0.25">
      <c r="A4" s="2" t="s">
        <v>177</v>
      </c>
      <c r="B4" s="2" t="s">
        <v>178</v>
      </c>
      <c r="C4" s="1"/>
      <c r="D4" s="2">
        <v>1</v>
      </c>
      <c r="E4" s="2">
        <v>40</v>
      </c>
      <c r="F4" s="26"/>
      <c r="G4" s="2" t="s">
        <v>179</v>
      </c>
      <c r="H4" s="2">
        <v>22.08</v>
      </c>
      <c r="I4" s="2">
        <v>18</v>
      </c>
      <c r="J4" s="2" t="s">
        <v>194</v>
      </c>
      <c r="K4" s="26"/>
      <c r="L4" s="26"/>
      <c r="M4" s="26"/>
      <c r="N4" s="26"/>
      <c r="P4" s="2" t="s">
        <v>192</v>
      </c>
      <c r="Q4" s="2" t="s">
        <v>169</v>
      </c>
      <c r="R4" s="2" t="s">
        <v>168</v>
      </c>
      <c r="S4" s="2" t="s">
        <v>197</v>
      </c>
      <c r="T4" s="2"/>
      <c r="U4" s="2"/>
      <c r="V4" s="2" t="s">
        <v>167</v>
      </c>
      <c r="W4" s="2" t="s">
        <v>208</v>
      </c>
      <c r="X4" s="2" t="s">
        <v>193</v>
      </c>
    </row>
    <row r="5" spans="1:24" ht="77.25" x14ac:dyDescent="0.25">
      <c r="A5" s="2" t="s">
        <v>180</v>
      </c>
      <c r="B5" s="2" t="s">
        <v>178</v>
      </c>
      <c r="C5" s="1"/>
      <c r="D5" s="2">
        <v>1</v>
      </c>
      <c r="E5" s="2">
        <v>36</v>
      </c>
      <c r="F5" s="26"/>
      <c r="G5" s="2" t="s">
        <v>181</v>
      </c>
      <c r="H5" s="2">
        <v>22.08</v>
      </c>
      <c r="I5" s="2">
        <v>30</v>
      </c>
      <c r="J5" s="2" t="s">
        <v>194</v>
      </c>
      <c r="K5" s="26"/>
      <c r="L5" s="26"/>
      <c r="M5" s="26"/>
      <c r="N5" s="26"/>
      <c r="P5" s="2" t="s">
        <v>192</v>
      </c>
      <c r="Q5" s="2" t="s">
        <v>169</v>
      </c>
      <c r="R5" s="2" t="s">
        <v>168</v>
      </c>
      <c r="S5" s="2" t="s">
        <v>197</v>
      </c>
      <c r="T5" s="2"/>
      <c r="U5" s="2"/>
      <c r="V5" s="2" t="s">
        <v>167</v>
      </c>
      <c r="W5" s="2" t="s">
        <v>208</v>
      </c>
      <c r="X5" s="2" t="s">
        <v>193</v>
      </c>
    </row>
    <row r="6" spans="1:24" ht="77.25" x14ac:dyDescent="0.25">
      <c r="A6" s="2" t="s">
        <v>182</v>
      </c>
      <c r="B6" s="2" t="s">
        <v>178</v>
      </c>
      <c r="C6" s="1"/>
      <c r="D6" s="2">
        <v>1</v>
      </c>
      <c r="E6" s="2">
        <v>40</v>
      </c>
      <c r="F6" s="26"/>
      <c r="G6" s="2" t="s">
        <v>183</v>
      </c>
      <c r="H6" s="2">
        <v>22.08</v>
      </c>
      <c r="I6" s="2">
        <v>44</v>
      </c>
      <c r="J6" s="2" t="s">
        <v>194</v>
      </c>
      <c r="K6" s="26"/>
      <c r="L6" s="26"/>
      <c r="M6" s="26"/>
      <c r="N6" s="26"/>
      <c r="P6" s="2" t="s">
        <v>192</v>
      </c>
      <c r="Q6" s="2" t="s">
        <v>169</v>
      </c>
      <c r="R6" s="2" t="s">
        <v>168</v>
      </c>
      <c r="S6" s="2" t="s">
        <v>197</v>
      </c>
      <c r="T6" s="2"/>
      <c r="U6" s="2"/>
      <c r="V6" s="2" t="s">
        <v>167</v>
      </c>
      <c r="W6" s="2" t="s">
        <v>208</v>
      </c>
      <c r="X6" s="2" t="s">
        <v>193</v>
      </c>
    </row>
    <row r="7" spans="1:24" ht="77.25" x14ac:dyDescent="0.25">
      <c r="A7" s="2" t="s">
        <v>184</v>
      </c>
      <c r="B7" s="2" t="s">
        <v>178</v>
      </c>
      <c r="C7" s="1"/>
      <c r="D7" s="2">
        <v>1</v>
      </c>
      <c r="E7" s="2">
        <v>40</v>
      </c>
      <c r="F7" s="26"/>
      <c r="G7" s="2" t="s">
        <v>185</v>
      </c>
      <c r="H7" s="2">
        <v>22.08</v>
      </c>
      <c r="I7" s="2">
        <v>62</v>
      </c>
      <c r="J7" s="2" t="s">
        <v>194</v>
      </c>
      <c r="K7" s="26"/>
      <c r="L7" s="26"/>
      <c r="M7" s="26"/>
      <c r="N7" s="26"/>
      <c r="P7" s="2" t="s">
        <v>192</v>
      </c>
      <c r="Q7" s="2" t="s">
        <v>169</v>
      </c>
      <c r="R7" s="2" t="s">
        <v>168</v>
      </c>
      <c r="S7" s="2" t="s">
        <v>197</v>
      </c>
      <c r="T7" s="2"/>
      <c r="U7" s="2"/>
      <c r="V7" s="2" t="s">
        <v>167</v>
      </c>
      <c r="W7" s="2" t="s">
        <v>208</v>
      </c>
      <c r="X7" s="2" t="s">
        <v>193</v>
      </c>
    </row>
    <row r="8" spans="1:24" ht="77.25" x14ac:dyDescent="0.25">
      <c r="A8" s="2" t="s">
        <v>186</v>
      </c>
      <c r="B8" s="2" t="s">
        <v>178</v>
      </c>
      <c r="C8" s="1"/>
      <c r="D8" s="2">
        <v>1</v>
      </c>
      <c r="E8" s="2">
        <v>40</v>
      </c>
      <c r="F8" s="26"/>
      <c r="G8" s="2" t="s">
        <v>187</v>
      </c>
      <c r="H8" s="2">
        <v>22.08</v>
      </c>
      <c r="I8" s="2">
        <v>39</v>
      </c>
      <c r="J8" s="2" t="s">
        <v>194</v>
      </c>
      <c r="K8" s="26"/>
      <c r="L8" s="26"/>
      <c r="M8" s="26"/>
      <c r="N8" s="26"/>
      <c r="P8" s="2" t="s">
        <v>192</v>
      </c>
      <c r="Q8" s="2" t="s">
        <v>169</v>
      </c>
      <c r="R8" s="2" t="s">
        <v>168</v>
      </c>
      <c r="S8" s="2" t="s">
        <v>197</v>
      </c>
      <c r="T8" s="2"/>
      <c r="U8" s="2"/>
      <c r="V8" s="2" t="s">
        <v>167</v>
      </c>
      <c r="W8" s="2" t="s">
        <v>208</v>
      </c>
      <c r="X8" s="2" t="s">
        <v>193</v>
      </c>
    </row>
    <row r="9" spans="1:24" ht="77.25" x14ac:dyDescent="0.25">
      <c r="A9" s="2" t="s">
        <v>188</v>
      </c>
      <c r="B9" s="2" t="s">
        <v>189</v>
      </c>
      <c r="C9" s="1"/>
      <c r="D9" s="2">
        <v>1</v>
      </c>
      <c r="E9" s="2">
        <v>40</v>
      </c>
      <c r="F9" s="26"/>
      <c r="G9" s="2"/>
      <c r="H9" s="2">
        <v>22.08</v>
      </c>
      <c r="I9" s="2">
        <v>38</v>
      </c>
      <c r="J9" s="2" t="s">
        <v>194</v>
      </c>
      <c r="K9" s="26"/>
      <c r="L9" s="26"/>
      <c r="M9" s="26"/>
      <c r="N9" s="26"/>
      <c r="P9" s="2" t="s">
        <v>192</v>
      </c>
      <c r="Q9" s="2" t="s">
        <v>169</v>
      </c>
      <c r="R9" s="2" t="s">
        <v>168</v>
      </c>
      <c r="S9" s="2" t="s">
        <v>197</v>
      </c>
      <c r="T9" s="2"/>
      <c r="U9" s="2"/>
      <c r="V9" s="2" t="s">
        <v>167</v>
      </c>
      <c r="W9" s="2" t="s">
        <v>208</v>
      </c>
      <c r="X9" s="2" t="s">
        <v>193</v>
      </c>
    </row>
    <row r="10" spans="1:24" ht="77.25" x14ac:dyDescent="0.25">
      <c r="A10" s="2" t="s">
        <v>190</v>
      </c>
      <c r="B10" s="2" t="s">
        <v>189</v>
      </c>
      <c r="C10" s="1"/>
      <c r="D10" s="2">
        <v>1</v>
      </c>
      <c r="E10" s="2">
        <v>40</v>
      </c>
      <c r="F10" s="26"/>
      <c r="G10" s="2"/>
      <c r="H10" s="2">
        <v>22.08</v>
      </c>
      <c r="I10" s="2">
        <v>38</v>
      </c>
      <c r="J10" s="2" t="s">
        <v>194</v>
      </c>
      <c r="K10" s="26"/>
      <c r="L10" s="26"/>
      <c r="M10" s="26"/>
      <c r="N10" s="26"/>
      <c r="P10" s="2" t="s">
        <v>192</v>
      </c>
      <c r="Q10" s="2" t="s">
        <v>169</v>
      </c>
      <c r="R10" s="2" t="s">
        <v>168</v>
      </c>
      <c r="S10" s="2" t="s">
        <v>197</v>
      </c>
      <c r="T10" s="2"/>
      <c r="U10" s="2"/>
      <c r="V10" s="2" t="s">
        <v>167</v>
      </c>
      <c r="W10" s="2" t="s">
        <v>208</v>
      </c>
      <c r="X10" s="2" t="s">
        <v>193</v>
      </c>
    </row>
    <row r="11" spans="1:24" ht="77.25" x14ac:dyDescent="0.25">
      <c r="A11" s="2" t="s">
        <v>191</v>
      </c>
      <c r="B11" s="2" t="s">
        <v>189</v>
      </c>
      <c r="C11" s="1"/>
      <c r="D11" s="2">
        <v>1</v>
      </c>
      <c r="E11" s="2">
        <v>40</v>
      </c>
      <c r="F11" s="26"/>
      <c r="G11" s="2"/>
      <c r="H11" s="2">
        <v>22.08</v>
      </c>
      <c r="I11" s="2">
        <v>38</v>
      </c>
      <c r="J11" s="2" t="s">
        <v>194</v>
      </c>
      <c r="K11" s="26"/>
      <c r="L11" s="26"/>
      <c r="M11" s="26"/>
      <c r="N11" s="26"/>
      <c r="P11" s="2" t="s">
        <v>192</v>
      </c>
      <c r="Q11" s="2" t="s">
        <v>169</v>
      </c>
      <c r="R11" s="2" t="s">
        <v>168</v>
      </c>
      <c r="S11" s="2" t="s">
        <v>197</v>
      </c>
      <c r="T11" s="2"/>
      <c r="U11" s="2"/>
      <c r="V11" s="2" t="s">
        <v>167</v>
      </c>
      <c r="W11" s="2" t="s">
        <v>208</v>
      </c>
      <c r="X11" s="2" t="s">
        <v>193</v>
      </c>
    </row>
    <row r="12" spans="1:24" ht="51.75" x14ac:dyDescent="0.25">
      <c r="A12" s="2" t="s">
        <v>195</v>
      </c>
      <c r="B12" s="2" t="s">
        <v>196</v>
      </c>
      <c r="C12" s="1"/>
      <c r="D12" s="2">
        <v>1</v>
      </c>
      <c r="E12" s="2"/>
      <c r="F12" s="26"/>
      <c r="G12" s="2"/>
      <c r="H12" s="2"/>
      <c r="I12" s="2"/>
      <c r="J12" s="2"/>
      <c r="K12" s="26"/>
      <c r="L12" s="26"/>
      <c r="M12" s="26"/>
      <c r="N12" s="26"/>
      <c r="P12" s="2" t="s">
        <v>201</v>
      </c>
      <c r="Q12" s="2" t="s">
        <v>199</v>
      </c>
      <c r="R12" s="2" t="s">
        <v>200</v>
      </c>
      <c r="S12" s="2" t="s">
        <v>198</v>
      </c>
      <c r="T12" s="2"/>
      <c r="U12" s="2"/>
      <c r="V12" s="2"/>
      <c r="W12" s="2" t="s">
        <v>208</v>
      </c>
      <c r="X12" s="2"/>
    </row>
    <row r="13" spans="1:24" ht="409.6" x14ac:dyDescent="0.25">
      <c r="A13" s="2" t="s">
        <v>202</v>
      </c>
      <c r="B13" s="2" t="s">
        <v>203</v>
      </c>
      <c r="C13" s="26"/>
      <c r="D13" s="2">
        <v>1</v>
      </c>
      <c r="E13" s="2">
        <v>250</v>
      </c>
      <c r="F13" s="26"/>
      <c r="G13" s="2">
        <v>57</v>
      </c>
      <c r="H13" s="2"/>
      <c r="I13" s="2"/>
      <c r="J13" s="2" t="s">
        <v>207</v>
      </c>
      <c r="K13" s="26"/>
      <c r="L13" s="26"/>
      <c r="M13" s="26"/>
      <c r="N13" s="26"/>
      <c r="P13" s="2" t="s">
        <v>259</v>
      </c>
      <c r="Q13" s="2" t="s">
        <v>204</v>
      </c>
      <c r="R13" s="2" t="s">
        <v>205</v>
      </c>
      <c r="S13" s="2"/>
      <c r="T13" s="2"/>
      <c r="U13" s="2"/>
      <c r="V13" s="2" t="s">
        <v>206</v>
      </c>
      <c r="W13" s="2" t="s">
        <v>208</v>
      </c>
      <c r="X13" s="2"/>
    </row>
    <row r="14" spans="1:24" ht="64.5" x14ac:dyDescent="0.25">
      <c r="A14" s="2" t="s">
        <v>223</v>
      </c>
      <c r="B14" s="2" t="s">
        <v>189</v>
      </c>
      <c r="C14" s="26"/>
      <c r="D14" s="2">
        <v>1</v>
      </c>
      <c r="E14" s="2">
        <v>15.2</v>
      </c>
      <c r="F14" s="26"/>
      <c r="G14" s="2"/>
      <c r="H14" s="2"/>
      <c r="I14" s="2"/>
      <c r="J14" s="2" t="s">
        <v>194</v>
      </c>
      <c r="K14" s="26"/>
      <c r="L14" s="26"/>
      <c r="M14" s="26"/>
      <c r="N14" s="26"/>
      <c r="P14" s="2" t="s">
        <v>225</v>
      </c>
      <c r="Q14" s="2" t="s">
        <v>224</v>
      </c>
      <c r="R14" s="2"/>
      <c r="S14" s="2"/>
      <c r="T14" s="2"/>
      <c r="U14" s="2"/>
      <c r="V14" s="2"/>
      <c r="W14" s="2"/>
      <c r="X14" s="2"/>
    </row>
    <row r="15" spans="1:24" ht="51.75" x14ac:dyDescent="0.25">
      <c r="A15" s="26" t="s">
        <v>301</v>
      </c>
      <c r="B15" s="26" t="s">
        <v>302</v>
      </c>
      <c r="C15" s="26"/>
      <c r="D15" s="26">
        <v>1</v>
      </c>
      <c r="E15" s="26">
        <v>51</v>
      </c>
      <c r="F15" s="26"/>
      <c r="G15" s="26"/>
      <c r="H15" s="26"/>
      <c r="I15" s="26"/>
      <c r="J15" s="2" t="s">
        <v>194</v>
      </c>
      <c r="K15" s="26"/>
      <c r="L15" s="26"/>
      <c r="M15" s="26"/>
      <c r="N15" s="26"/>
      <c r="P15" s="26" t="s">
        <v>227</v>
      </c>
      <c r="Q15" s="26" t="s">
        <v>303</v>
      </c>
      <c r="R15" s="26"/>
      <c r="S15" s="26" t="s">
        <v>56</v>
      </c>
      <c r="T15" s="26"/>
      <c r="U15" s="26"/>
      <c r="V15" s="26"/>
      <c r="W15" s="26" t="s">
        <v>308</v>
      </c>
      <c r="X15" s="26"/>
    </row>
    <row r="16" spans="1:24" ht="51.75" x14ac:dyDescent="0.25">
      <c r="A16" s="26" t="s">
        <v>304</v>
      </c>
      <c r="B16" s="26" t="s">
        <v>305</v>
      </c>
      <c r="C16" s="26"/>
      <c r="D16" s="26">
        <v>1</v>
      </c>
      <c r="E16" s="26">
        <v>43</v>
      </c>
      <c r="F16" s="26"/>
      <c r="G16" s="26"/>
      <c r="H16" s="26"/>
      <c r="I16" s="26"/>
      <c r="J16" s="2" t="s">
        <v>194</v>
      </c>
      <c r="K16" s="26"/>
      <c r="L16" s="26"/>
      <c r="M16" s="26"/>
      <c r="N16" s="26"/>
      <c r="P16" s="26" t="s">
        <v>227</v>
      </c>
      <c r="Q16" s="26" t="s">
        <v>303</v>
      </c>
      <c r="R16" s="26"/>
      <c r="S16" s="26" t="s">
        <v>56</v>
      </c>
      <c r="T16" s="26"/>
      <c r="U16" s="26"/>
      <c r="V16" s="26"/>
      <c r="W16" s="26" t="s">
        <v>308</v>
      </c>
      <c r="X16" s="26"/>
    </row>
    <row r="17" spans="1:24" ht="51.75" x14ac:dyDescent="0.25">
      <c r="A17" s="26" t="s">
        <v>306</v>
      </c>
      <c r="B17" s="26" t="s">
        <v>307</v>
      </c>
      <c r="C17" s="26"/>
      <c r="D17" s="26">
        <v>1</v>
      </c>
      <c r="E17" s="26">
        <v>150</v>
      </c>
      <c r="F17" s="26"/>
      <c r="G17" s="26"/>
      <c r="H17" s="26"/>
      <c r="I17" s="26">
        <v>125</v>
      </c>
      <c r="J17" s="2" t="s">
        <v>194</v>
      </c>
      <c r="K17" s="26"/>
      <c r="L17" s="26"/>
      <c r="M17" s="26"/>
      <c r="N17" s="26"/>
      <c r="P17" s="26" t="s">
        <v>227</v>
      </c>
      <c r="Q17" s="26" t="s">
        <v>303</v>
      </c>
      <c r="R17" s="26"/>
      <c r="S17" s="26" t="s">
        <v>56</v>
      </c>
      <c r="T17" s="26"/>
      <c r="U17" s="26"/>
      <c r="V17" s="26"/>
      <c r="W17" s="26" t="s">
        <v>308</v>
      </c>
      <c r="X17" s="2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Main CERs</vt:lpstr>
      <vt:lpstr>Calculations</vt:lpstr>
      <vt:lpstr>GSE portal data</vt:lpstr>
      <vt:lpstr>Piedmonte Typology of members</vt:lpstr>
      <vt:lpstr>Lombardy data</vt:lpstr>
      <vt:lpstr>Forecast + optimal</vt:lpstr>
      <vt:lpstr>BMs of Regulator</vt:lpstr>
      <vt:lpstr>Existing AUC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Maksym Koltunov</dc:creator>
  <cp:lastModifiedBy>KOLTUNOV MAKSYM [PHD1500007]</cp:lastModifiedBy>
  <cp:lastPrinted>2024-03-19T15:59:21Z</cp:lastPrinted>
  <dcterms:created xsi:type="dcterms:W3CDTF">2024-03-15T07:12:02Z</dcterms:created>
  <dcterms:modified xsi:type="dcterms:W3CDTF">2025-05-31T17:34:37Z</dcterms:modified>
</cp:coreProperties>
</file>